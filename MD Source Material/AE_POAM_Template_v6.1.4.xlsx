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https://lunarline.sharepoint.com/sites/FEDX/CMS/tem_lib/AE_Template_POA&amp;M/Latest_Approved_Version/"/>
    </mc:Choice>
  </mc:AlternateContent>
  <xr:revisionPtr revIDLastSave="0" documentId="8_{7752A123-232A-409D-902A-C4A864EABDC1}" xr6:coauthVersionLast="47" xr6:coauthVersionMax="47" xr10:uidLastSave="{00000000-0000-0000-0000-000000000000}"/>
  <bookViews>
    <workbookView xWindow="-120" yWindow="-120" windowWidth="38640" windowHeight="21120" tabRatio="822" xr2:uid="{00000000-000D-0000-FFFF-FFFF00000000}"/>
  </bookViews>
  <sheets>
    <sheet name="POA&amp;M Metrics" sheetId="4" r:id="rId1"/>
    <sheet name="POA&amp;M Template" sheetId="1" r:id="rId2"/>
    <sheet name="Vulnerability Tracking" sheetId="13" r:id="rId3"/>
    <sheet name="POA&amp;M Instructions" sheetId="12" r:id="rId4"/>
    <sheet name="Risk Calculation Instructions" sheetId="11" r:id="rId5"/>
    <sheet name="POA&amp;M Sample" sheetId="8" r:id="rId6"/>
    <sheet name="Data Sheet" sheetId="7" state="hidden" r:id="rId7"/>
    <sheet name="Change Log " sheetId="10" r:id="rId8"/>
  </sheets>
  <definedNames>
    <definedName name="_xlnm._FilterDatabase" localSheetId="1" hidden="1">'POA&amp;M Template'!$A$16:$S$5040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36" i="4" l="1"/>
  <c r="H36" i="4"/>
  <c r="G36" i="4"/>
  <c r="F36" i="4"/>
  <c r="H4" i="13"/>
  <c r="B4" i="1"/>
  <c r="E36" i="4" l="1"/>
  <c r="I35" i="4"/>
  <c r="H35" i="4"/>
  <c r="G35" i="4"/>
  <c r="F35" i="4"/>
  <c r="E35" i="4" l="1"/>
  <c r="I30" i="4" l="1"/>
  <c r="I29" i="4"/>
  <c r="H30" i="4"/>
  <c r="H29" i="4"/>
  <c r="G30" i="4"/>
  <c r="G29" i="4"/>
  <c r="F30" i="4"/>
  <c r="F29" i="4"/>
  <c r="E30" i="4" l="1"/>
  <c r="E29" i="4"/>
  <c r="A13" i="12" l="1"/>
  <c r="B19" i="4" l="1"/>
  <c r="F21" i="4"/>
  <c r="G21" i="4"/>
  <c r="H21" i="4"/>
  <c r="I21" i="4"/>
  <c r="H28" i="4"/>
  <c r="H34" i="4"/>
  <c r="H33" i="4"/>
  <c r="H32" i="4"/>
  <c r="H31" i="4"/>
  <c r="H27" i="4"/>
  <c r="H26" i="4"/>
  <c r="H25" i="4"/>
  <c r="H24" i="4"/>
  <c r="H23" i="4"/>
  <c r="H22" i="4"/>
  <c r="H20" i="4"/>
  <c r="H19" i="4"/>
  <c r="H18" i="4"/>
  <c r="H17" i="4"/>
  <c r="H16" i="4"/>
  <c r="B27" i="4" a="1"/>
  <c r="B27" i="4" s="1"/>
  <c r="B26" i="4" a="1"/>
  <c r="B26" i="4" s="1"/>
  <c r="B25" i="4" a="1"/>
  <c r="B25" i="4" s="1"/>
  <c r="B24" i="4" a="1"/>
  <c r="B24" i="4" s="1"/>
  <c r="F19" i="4"/>
  <c r="E21" i="4" l="1"/>
  <c r="O13" i="1" l="1"/>
  <c r="I28" i="4"/>
  <c r="G28" i="4"/>
  <c r="F28" i="4"/>
  <c r="I34" i="4"/>
  <c r="G34" i="4"/>
  <c r="F34" i="4"/>
  <c r="I33" i="4"/>
  <c r="G33" i="4"/>
  <c r="F33" i="4"/>
  <c r="I32" i="4"/>
  <c r="G32" i="4"/>
  <c r="F32" i="4"/>
  <c r="I31" i="4"/>
  <c r="G31" i="4"/>
  <c r="F31" i="4"/>
  <c r="I27" i="4"/>
  <c r="G27" i="4"/>
  <c r="F27" i="4"/>
  <c r="I26" i="4"/>
  <c r="G26" i="4"/>
  <c r="F26" i="4"/>
  <c r="I25" i="4"/>
  <c r="G25" i="4"/>
  <c r="F25" i="4"/>
  <c r="I24" i="4"/>
  <c r="G24" i="4"/>
  <c r="F24" i="4"/>
  <c r="I23" i="4"/>
  <c r="G23" i="4"/>
  <c r="F23" i="4"/>
  <c r="I22" i="4"/>
  <c r="G22" i="4"/>
  <c r="F22" i="4"/>
  <c r="I20" i="4"/>
  <c r="G20" i="4"/>
  <c r="F20" i="4"/>
  <c r="I19" i="4"/>
  <c r="G19" i="4"/>
  <c r="E19" i="4" s="1"/>
  <c r="B20" i="4"/>
  <c r="I18" i="4"/>
  <c r="G18" i="4"/>
  <c r="F18" i="4"/>
  <c r="B18" i="4"/>
  <c r="I17" i="4"/>
  <c r="G17" i="4"/>
  <c r="F17" i="4"/>
  <c r="B17" i="4"/>
  <c r="I16" i="4"/>
  <c r="G16" i="4"/>
  <c r="F16" i="4"/>
  <c r="B30" i="4" l="1"/>
  <c r="E18" i="4"/>
  <c r="E27" i="4"/>
  <c r="E17" i="4"/>
  <c r="E16" i="4"/>
  <c r="E22" i="4"/>
  <c r="E23" i="4"/>
  <c r="E32" i="4"/>
  <c r="E33" i="4"/>
  <c r="E26" i="4"/>
  <c r="E31" i="4"/>
  <c r="E20" i="4"/>
  <c r="E24" i="4"/>
  <c r="E34" i="4"/>
  <c r="E25" i="4"/>
  <c r="E28" i="4"/>
  <c r="B28" i="4"/>
  <c r="B21" i="4"/>
  <c r="C14" i="8" l="1"/>
  <c r="C13" i="1"/>
  <c r="A14" i="8"/>
  <c r="B11" i="4"/>
  <c r="B10" i="4"/>
  <c r="B9" i="4"/>
  <c r="B8" i="4"/>
  <c r="A1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<sst xmlns="http://schemas.openxmlformats.org/spreadsheetml/2006/main" count="574" uniqueCount="275">
  <si>
    <t>Plan of Action &amp; Milestones (POA&amp;M) Metrics</t>
  </si>
  <si>
    <t>ADMINISTERING ENTITY:</t>
  </si>
  <si>
    <t>SYSTEM NAME:</t>
  </si>
  <si>
    <t>SYSTEM ACRONYM:</t>
  </si>
  <si>
    <t>CURRENT FISCAL YEAR:</t>
  </si>
  <si>
    <t xml:space="preserve"> </t>
  </si>
  <si>
    <t xml:space="preserve">Ongoing </t>
  </si>
  <si>
    <t>Delayed</t>
  </si>
  <si>
    <t>Completed</t>
  </si>
  <si>
    <t>Risk Accepted</t>
  </si>
  <si>
    <t>POA&amp;M Findings Status</t>
  </si>
  <si>
    <t>AC</t>
  </si>
  <si>
    <t>ONGOING</t>
  </si>
  <si>
    <t>AT</t>
  </si>
  <si>
    <t>DELAYED</t>
  </si>
  <si>
    <t>AU</t>
  </si>
  <si>
    <t>COMPLETED</t>
  </si>
  <si>
    <t>CA</t>
  </si>
  <si>
    <t>RISK ACCEPTED</t>
  </si>
  <si>
    <t>CM</t>
  </si>
  <si>
    <t>Total</t>
  </si>
  <si>
    <t>CP</t>
  </si>
  <si>
    <t>IA</t>
  </si>
  <si>
    <t>Open Findings by Risk Level</t>
  </si>
  <si>
    <t>IR</t>
  </si>
  <si>
    <t>CRITICAL</t>
  </si>
  <si>
    <t>MA</t>
  </si>
  <si>
    <t>HIGH</t>
  </si>
  <si>
    <t>MP</t>
  </si>
  <si>
    <t>MODERATE</t>
  </si>
  <si>
    <t>PE</t>
  </si>
  <si>
    <t>LOW</t>
  </si>
  <si>
    <t>PL</t>
  </si>
  <si>
    <t>PS</t>
  </si>
  <si>
    <t>RA</t>
  </si>
  <si>
    <t>SA</t>
  </si>
  <si>
    <t>SC</t>
  </si>
  <si>
    <t>SI</t>
  </si>
  <si>
    <t>PM</t>
  </si>
  <si>
    <r>
      <t xml:space="preserve">Total# of Open Findings
</t>
    </r>
    <r>
      <rPr>
        <sz val="10"/>
        <rFont val="Arial"/>
        <family val="2"/>
      </rPr>
      <t>(Ongoing, Delayed &amp; Risk Accepted)</t>
    </r>
  </si>
  <si>
    <t>Plan of Action &amp; Milestones (POA&amp;M)</t>
  </si>
  <si>
    <t>System Name</t>
  </si>
  <si>
    <t>System Acronym</t>
  </si>
  <si>
    <t>System Criticality as defined by FIPS</t>
  </si>
  <si>
    <t>Confidentiality</t>
  </si>
  <si>
    <t>Availability</t>
  </si>
  <si>
    <t>Integrity</t>
  </si>
  <si>
    <t>If no findings identified, provide a reason</t>
  </si>
  <si>
    <t>Risk Subtotal</t>
  </si>
  <si>
    <t>Moderate</t>
  </si>
  <si>
    <r>
      <rPr>
        <b/>
        <sz val="10"/>
        <rFont val="Arial"/>
        <family val="2"/>
      </rPr>
      <t>Finding</t>
    </r>
    <r>
      <rPr>
        <b/>
        <sz val="10"/>
        <color theme="1"/>
        <rFont val="Arial"/>
        <family val="2"/>
      </rPr>
      <t xml:space="preserve"> Identifier</t>
    </r>
  </si>
  <si>
    <t xml:space="preserve"> Control Details</t>
  </si>
  <si>
    <t>Finding Description</t>
  </si>
  <si>
    <t>Affected Host(s)
(For Technical Findings Only)</t>
  </si>
  <si>
    <t>Finding Source</t>
  </si>
  <si>
    <t>POC</t>
  </si>
  <si>
    <t>Resources Required</t>
  </si>
  <si>
    <t xml:space="preserve">Milestones With Completion Dates </t>
  </si>
  <si>
    <t>Changes to Milestones 
with Completion Dates</t>
  </si>
  <si>
    <t>Updated Scheduled Completion Date</t>
  </si>
  <si>
    <t>Actual Completion Date</t>
  </si>
  <si>
    <t>Finding Status</t>
  </si>
  <si>
    <t>Risk Level</t>
  </si>
  <si>
    <t>Compensating Controls</t>
  </si>
  <si>
    <t>Comments</t>
  </si>
  <si>
    <t>Ongoing</t>
  </si>
  <si>
    <t>Finding Identifier</t>
  </si>
  <si>
    <t>Control Family</t>
  </si>
  <si>
    <t>Control Details</t>
  </si>
  <si>
    <t>Changes to Milestones Date</t>
  </si>
  <si>
    <t>From Appendix G</t>
  </si>
  <si>
    <t>Likelihood of Occurrence</t>
  </si>
  <si>
    <t>Table G-2: Assessment Scale - Likelihood of Threat Event Initiation (Adversarial)</t>
  </si>
  <si>
    <t>Qualitative Values</t>
  </si>
  <si>
    <t>Semi-Quantitative Values</t>
  </si>
  <si>
    <t>Description</t>
  </si>
  <si>
    <t>Critical</t>
  </si>
  <si>
    <t>96-100</t>
  </si>
  <si>
    <t>10</t>
  </si>
  <si>
    <r>
      <t>Adversary is</t>
    </r>
    <r>
      <rPr>
        <b/>
        <sz val="12"/>
        <rFont val="Arial"/>
        <family val="2"/>
      </rPr>
      <t xml:space="preserve"> </t>
    </r>
    <r>
      <rPr>
        <b/>
        <i/>
        <sz val="12"/>
        <rFont val="Arial"/>
        <family val="2"/>
      </rPr>
      <t>almost certain</t>
    </r>
    <r>
      <rPr>
        <sz val="12"/>
        <rFont val="Arial"/>
        <family val="2"/>
      </rPr>
      <t xml:space="preserve"> to initiate the threat event.</t>
    </r>
  </si>
  <si>
    <t>High</t>
  </si>
  <si>
    <t>80-95</t>
  </si>
  <si>
    <t>8</t>
  </si>
  <si>
    <r>
      <t xml:space="preserve">Adversary is </t>
    </r>
    <r>
      <rPr>
        <b/>
        <i/>
        <sz val="12"/>
        <rFont val="Arial"/>
        <family val="2"/>
      </rPr>
      <t>highly likely</t>
    </r>
    <r>
      <rPr>
        <sz val="12"/>
        <rFont val="Arial"/>
        <family val="2"/>
      </rPr>
      <t xml:space="preserve"> to initiate the threat event.</t>
    </r>
  </si>
  <si>
    <t>21-79</t>
  </si>
  <si>
    <t>5</t>
  </si>
  <si>
    <t>Low</t>
  </si>
  <si>
    <t>5-20</t>
  </si>
  <si>
    <t>2</t>
  </si>
  <si>
    <r>
      <t xml:space="preserve">Adversary is </t>
    </r>
    <r>
      <rPr>
        <b/>
        <i/>
        <sz val="12"/>
        <rFont val="Arial"/>
        <family val="2"/>
      </rPr>
      <t>unlikely</t>
    </r>
    <r>
      <rPr>
        <sz val="12"/>
        <rFont val="Arial"/>
        <family val="2"/>
      </rPr>
      <t xml:space="preserve"> to initiate the threat event.</t>
    </r>
  </si>
  <si>
    <t>Very Low</t>
  </si>
  <si>
    <t>0-4</t>
  </si>
  <si>
    <t>0</t>
  </si>
  <si>
    <r>
      <t xml:space="preserve">Adversary is </t>
    </r>
    <r>
      <rPr>
        <b/>
        <i/>
        <sz val="12"/>
        <rFont val="Arial"/>
        <family val="2"/>
      </rPr>
      <t xml:space="preserve">highly unlikely </t>
    </r>
    <r>
      <rPr>
        <sz val="12"/>
        <rFont val="Arial"/>
        <family val="2"/>
      </rPr>
      <t>to initiate the threat event.</t>
    </r>
  </si>
  <si>
    <r>
      <t xml:space="preserve">Error, accident, or act of nature is </t>
    </r>
    <r>
      <rPr>
        <b/>
        <i/>
        <sz val="12"/>
        <rFont val="Arial"/>
        <family val="2"/>
      </rPr>
      <t>almost certain</t>
    </r>
    <r>
      <rPr>
        <sz val="12"/>
        <rFont val="Arial"/>
        <family val="2"/>
      </rPr>
      <t xml:space="preserve"> to occur; or occurs more than 100 times a year.</t>
    </r>
  </si>
  <si>
    <r>
      <t>Error, accident, or act of nature is</t>
    </r>
    <r>
      <rPr>
        <b/>
        <i/>
        <sz val="12"/>
        <rFont val="Arial"/>
        <family val="2"/>
      </rPr>
      <t xml:space="preserve"> highly likely</t>
    </r>
    <r>
      <rPr>
        <sz val="12"/>
        <rFont val="Arial"/>
        <family val="2"/>
      </rPr>
      <t xml:space="preserve"> to occur; or occurs between 10-100 times a year.</t>
    </r>
  </si>
  <si>
    <r>
      <t xml:space="preserve">Error, accident, or act of nature is </t>
    </r>
    <r>
      <rPr>
        <b/>
        <i/>
        <sz val="12"/>
        <rFont val="Arial"/>
        <family val="2"/>
      </rPr>
      <t>somewhat likely</t>
    </r>
    <r>
      <rPr>
        <b/>
        <sz val="12"/>
        <rFont val="Arial"/>
        <family val="2"/>
      </rPr>
      <t xml:space="preserve"> </t>
    </r>
    <r>
      <rPr>
        <sz val="12"/>
        <rFont val="Arial"/>
        <family val="2"/>
      </rPr>
      <t>to occur; or occurs between 1-10 times a year.</t>
    </r>
  </si>
  <si>
    <r>
      <t xml:space="preserve">Error, accident, or act of nature is </t>
    </r>
    <r>
      <rPr>
        <b/>
        <i/>
        <sz val="12"/>
        <rFont val="Arial"/>
        <family val="2"/>
      </rPr>
      <t>unlikely</t>
    </r>
    <r>
      <rPr>
        <sz val="12"/>
        <rFont val="Arial"/>
        <family val="2"/>
      </rPr>
      <t xml:space="preserve"> to occur; or occurs less than once a year, but more than once every 10 years.</t>
    </r>
  </si>
  <si>
    <r>
      <t xml:space="preserve">Error, accident, or act of nature is </t>
    </r>
    <r>
      <rPr>
        <b/>
        <i/>
        <sz val="12"/>
        <rFont val="Arial"/>
        <family val="2"/>
      </rPr>
      <t>highly unlikely</t>
    </r>
    <r>
      <rPr>
        <sz val="12"/>
        <rFont val="Arial"/>
        <family val="2"/>
      </rPr>
      <t xml:space="preserve"> to occur; or occurs less than once every 10 years.</t>
    </r>
  </si>
  <si>
    <t>Table G-4: Assessment Scale - Likelihood of Threat Event Resulting in Adverse Impacts</t>
  </si>
  <si>
    <r>
      <t xml:space="preserve">If the threat event is initiated or occurs, it is </t>
    </r>
    <r>
      <rPr>
        <b/>
        <i/>
        <sz val="12"/>
        <rFont val="Arial"/>
        <family val="2"/>
      </rPr>
      <t>almost certain</t>
    </r>
    <r>
      <rPr>
        <sz val="12"/>
        <rFont val="Arial"/>
        <family val="2"/>
      </rPr>
      <t xml:space="preserve"> to have adverse impacts.</t>
    </r>
  </si>
  <si>
    <r>
      <t xml:space="preserve">If the threat event is initiated or occurs, it is </t>
    </r>
    <r>
      <rPr>
        <b/>
        <i/>
        <sz val="12"/>
        <rFont val="Arial"/>
        <family val="2"/>
      </rPr>
      <t>highly likely</t>
    </r>
    <r>
      <rPr>
        <sz val="12"/>
        <rFont val="Arial"/>
        <family val="2"/>
      </rPr>
      <t xml:space="preserve"> to have adverse impacts.</t>
    </r>
  </si>
  <si>
    <r>
      <t>If the threat event is initiated or occurs, it is</t>
    </r>
    <r>
      <rPr>
        <b/>
        <i/>
        <sz val="12"/>
        <rFont val="Arial"/>
        <family val="2"/>
      </rPr>
      <t xml:space="preserve"> somewhat likely</t>
    </r>
    <r>
      <rPr>
        <sz val="12"/>
        <rFont val="Arial"/>
        <family val="2"/>
      </rPr>
      <t xml:space="preserve"> to have adverse impacts.</t>
    </r>
  </si>
  <si>
    <r>
      <t xml:space="preserve">If the threat event is initiated or occurs, it is </t>
    </r>
    <r>
      <rPr>
        <b/>
        <i/>
        <sz val="12"/>
        <rFont val="Arial"/>
        <family val="2"/>
      </rPr>
      <t>unlikely</t>
    </r>
    <r>
      <rPr>
        <sz val="12"/>
        <rFont val="Arial"/>
        <family val="2"/>
      </rPr>
      <t xml:space="preserve"> to have adverse impacts.</t>
    </r>
  </si>
  <si>
    <r>
      <t xml:space="preserve">If the threat event is initiated or occurs, it is </t>
    </r>
    <r>
      <rPr>
        <b/>
        <i/>
        <sz val="12"/>
        <rFont val="Arial"/>
        <family val="2"/>
      </rPr>
      <t>highly unlikely</t>
    </r>
    <r>
      <rPr>
        <sz val="12"/>
        <rFont val="Arial"/>
        <family val="2"/>
      </rPr>
      <t xml:space="preserve"> to have adverse impacts.</t>
    </r>
  </si>
  <si>
    <t>Table G-5: Assessment Scale - Overall Likelihood</t>
  </si>
  <si>
    <t>Likelihood of Threat Event Initiation or Occurrence</t>
  </si>
  <si>
    <t>Likelihood Threat Events Result in Adverse Impacts</t>
  </si>
  <si>
    <t>Very High</t>
  </si>
  <si>
    <t>From Appendix H</t>
  </si>
  <si>
    <t>Impact</t>
  </si>
  <si>
    <t>Table H-2: Examples of Adverse Impacts</t>
  </si>
  <si>
    <t>Type of Impact</t>
  </si>
  <si>
    <t>Harm to Operations</t>
  </si>
  <si>
    <t xml:space="preserve">(1) Inability to perform current missions/business functions.
     -In a sufficiently timely manner.
     -With sufficient confidence and/or correctness.
     -Within planned resource constraints
(2) Inability, or limited ability, to perform missions/business functions in the future.
     -Inability to restore missions/business functions.
     -In a sufficiently timely manner.
     -With sufficient confidence and/or correctness.
     -Within planned resource constraints.
(3) Harms (e.g., financial costs, sanctions) due to noncompliance.
     -With applicable laws or regulations.
     -With contractual requirements or other requirements in other binding agreements (e.g., liability).
(4) Direct financial costs.
(5) Relational harms.
     -Damage to trust relationships.
     -Damage to image or reputation (and hence future or potential trust relationships).
</t>
  </si>
  <si>
    <t>Harm to Assets</t>
  </si>
  <si>
    <t>(1) Damage to or loss of physical facilities.
(2) Damage to or loss of information systems or networks.
(3) Damage to or loss of information technology or equipment.
(4) Damage to or loss of component parts or supplies.
(5) Damage to or of loss of information assets.
(6) Loss of intellectual property.</t>
  </si>
  <si>
    <t>Harm to Individuals</t>
  </si>
  <si>
    <t>(1) Injury or loss of life.
(2) Physical or psychological mistreatment.
(3) Identity theft.
(4) Loss of Personally Identifiable Information.
(5) Damage to image or reputation.</t>
  </si>
  <si>
    <t>Harm to Other Organizations</t>
  </si>
  <si>
    <t>(1) Harms (e.g., financial costs, sanctions) due to noncompliance.
     -With applicable laws or regulations.
     -With contractual requirements or other requirements in other binding agreements.
(2) Direct financial costs.
(3) Relational harms
     -Damage to trust relationships.
     -Damage to reputation (and hence future or potential trust relationships).</t>
  </si>
  <si>
    <t>Harm to Nation</t>
  </si>
  <si>
    <t>(1) Damage to or incapacitation of a critical infrastructure sector.
(2) Loss of government continuity of operations.
(3) Relational harms. 
     -Damage to trust relationships with other governments or with nongovernmental entities.
     -Damage to national reputation (and hence future or potential trust relationships).
(4) Damage to current or future ability to achieve national objectives.
     -Harm to national security.</t>
  </si>
  <si>
    <t>Table H-3: Assessment Scale - Impact of Threat Events</t>
  </si>
  <si>
    <t>The threat event could be expected to have multiple severe or catastrophic adverse effects on organizational operations, organizational assets, individuals, other organizations, or the Nation.</t>
  </si>
  <si>
    <t>The threat event could be expected to have a severe or catastrophic adverse effect on organizational operations, organizational assets, individuals, other organizations, or the Nation. A severe or catastrophic adverse effect means that, for example, the threat event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life-threatening injuries.</t>
  </si>
  <si>
    <t>The threat event could be expected to have a serious adverse effect on organizational operations, organizational assets, individuals other organizations, or the Nation. A serious adverse effect means that, for example, the threat event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life-threatening injuries.</t>
  </si>
  <si>
    <t>The threat event could be expected to have a limited adverse effect on organizational operations, organizational assets, individuals other organizations, or the Nation. A limited adverse effect means that, for example, the threat event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t>
  </si>
  <si>
    <t>From Appendix I</t>
  </si>
  <si>
    <t>Risk Determination</t>
  </si>
  <si>
    <t>Table I-2: Assessment Scale - Level of Risk (Combination of Likelihood and Impact)</t>
  </si>
  <si>
    <r>
      <rPr>
        <b/>
        <sz val="12"/>
        <rFont val="Arial"/>
        <family val="2"/>
      </rPr>
      <t>Likelihood</t>
    </r>
    <r>
      <rPr>
        <sz val="11"/>
        <rFont val="Arial"/>
        <family val="2"/>
      </rPr>
      <t xml:space="preserve"> 
(Threat Event Occurs and Results in Adverse Impact)</t>
    </r>
  </si>
  <si>
    <t>Level of Impact</t>
  </si>
  <si>
    <t>Table I-3: Assessment Scale - Level of Risk</t>
  </si>
  <si>
    <r>
      <rPr>
        <b/>
        <sz val="12"/>
        <rFont val="Arial"/>
        <family val="2"/>
      </rPr>
      <t>Critical risk</t>
    </r>
    <r>
      <rPr>
        <sz val="12"/>
        <rFont val="Arial"/>
        <family val="2"/>
      </rPr>
      <t xml:space="preserve"> means that a threat event could be expected to have multiple severe or catastrophic adverse effects on organizational operations, organizational assets, individuals, other organizations, or the Nation.</t>
    </r>
  </si>
  <si>
    <r>
      <rPr>
        <b/>
        <sz val="12"/>
        <rFont val="Arial"/>
        <family val="2"/>
      </rPr>
      <t>High risk</t>
    </r>
    <r>
      <rPr>
        <sz val="12"/>
        <rFont val="Arial"/>
        <family val="2"/>
      </rPr>
      <t xml:space="preserve"> means that a threat event could be expected to have a severe or catastrophic adverse effect on organizational operations, organizational assets, individuals, other organizations, or the Nation.</t>
    </r>
  </si>
  <si>
    <r>
      <rPr>
        <b/>
        <sz val="12"/>
        <rFont val="Arial"/>
        <family val="2"/>
      </rPr>
      <t>Moderate risk</t>
    </r>
    <r>
      <rPr>
        <sz val="12"/>
        <rFont val="Arial"/>
        <family val="2"/>
      </rPr>
      <t xml:space="preserve"> means that a threat event could be expected to have a serious adverse effect on organizational operations, organizational assets, individuals, other organizations, or the Nation.</t>
    </r>
  </si>
  <si>
    <r>
      <rPr>
        <b/>
        <sz val="12"/>
        <rFont val="Arial"/>
        <family val="2"/>
      </rPr>
      <t>Low risk</t>
    </r>
    <r>
      <rPr>
        <sz val="12"/>
        <rFont val="Arial"/>
        <family val="2"/>
      </rPr>
      <t xml:space="preserve"> means that a threat event could be expected to have a limited adverse effect on organizational operations, organizational assets, individuals, other organizations, or the Nation.</t>
    </r>
  </si>
  <si>
    <r>
      <rPr>
        <b/>
        <sz val="12"/>
        <rFont val="Arial"/>
        <family val="2"/>
      </rPr>
      <t>Very low risk</t>
    </r>
    <r>
      <rPr>
        <sz val="12"/>
        <rFont val="Arial"/>
        <family val="2"/>
      </rPr>
      <t xml:space="preserve"> means that a threat event could be expected to have a negligible adverse effect on organizational operations, organizational assets, individuals, other organizations, or the Nation.</t>
    </r>
  </si>
  <si>
    <t>Virginia</t>
  </si>
  <si>
    <t>VA Test System</t>
  </si>
  <si>
    <t>VATESTSYS</t>
  </si>
  <si>
    <t>System Critically as defined by FIPS</t>
  </si>
  <si>
    <t>If no weaknesses identified, provide a reason</t>
  </si>
  <si>
    <t>Account Management process is not documented.</t>
  </si>
  <si>
    <t>John Doe, CISO</t>
  </si>
  <si>
    <t>8 hours                                                               Existing Staff</t>
  </si>
  <si>
    <t>N/A</t>
  </si>
  <si>
    <t>PE-10</t>
  </si>
  <si>
    <t>There is no EPO in server room 1.</t>
  </si>
  <si>
    <t>20 hours                                                               Existing Staff
$65,000 
Professional Services and Equipment</t>
  </si>
  <si>
    <t>Awaiting funding to implement EPO solution</t>
  </si>
  <si>
    <t>Update the control implementation statement to document the processes used to implement control requirements a-f, h, and i.</t>
  </si>
  <si>
    <t>10 hours                                                               Existing Staff</t>
  </si>
  <si>
    <t>PE6.2</t>
  </si>
  <si>
    <t>Lack of processes for: (a) reviewing physical access logs at least once every two months, and (b) coordinating results of reviews and investigations with the organization's incident response capability.</t>
  </si>
  <si>
    <t>20 hours                                                               Existing Staff</t>
  </si>
  <si>
    <t>Windows server BD1-3 has not been patched in 3 months</t>
  </si>
  <si>
    <t>40 hours                                                               Existing Staff</t>
  </si>
  <si>
    <t xml:space="preserve">
(2) continuing testing  in the test environment
(3) Implement patches on the production server</t>
  </si>
  <si>
    <t xml:space="preserve">Need additional testing due to possible adverse affects of applying the patch. MS14-013 (KB2929961) </t>
  </si>
  <si>
    <t>The organization does not employ vulnerability scanning tools</t>
  </si>
  <si>
    <t>80 hours                                                               Existing Staff
$3000                    
Tools and Training</t>
  </si>
  <si>
    <t>No weaknesses identified</t>
  </si>
  <si>
    <t>Fiscal Year</t>
  </si>
  <si>
    <t>Control</t>
  </si>
  <si>
    <t>All weaknesses eliminated</t>
  </si>
  <si>
    <t>No review conducted</t>
  </si>
  <si>
    <t>No weaknesses found</t>
  </si>
  <si>
    <t>System in development</t>
  </si>
  <si>
    <t>System reclassified – not a system</t>
  </si>
  <si>
    <t>System retired</t>
  </si>
  <si>
    <t>Record of Changes</t>
  </si>
  <si>
    <t>Number</t>
  </si>
  <si>
    <t>Date</t>
  </si>
  <si>
    <t>Reference</t>
  </si>
  <si>
    <t>A = Add
M = Modify
D = Delete</t>
  </si>
  <si>
    <t>Description of Change</t>
  </si>
  <si>
    <t>M</t>
  </si>
  <si>
    <t>Windows server BD1-3</t>
  </si>
  <si>
    <t>Server room 1</t>
  </si>
  <si>
    <t>All servers/workstations</t>
  </si>
  <si>
    <t>Total OPEN</t>
  </si>
  <si>
    <t xml:space="preserve">Initial Scheduled Completion Date </t>
  </si>
  <si>
    <t xml:space="preserve">Initial Scheduled
Completion Date </t>
  </si>
  <si>
    <r>
      <t xml:space="preserve">Adversary is </t>
    </r>
    <r>
      <rPr>
        <b/>
        <i/>
        <sz val="12"/>
        <rFont val="Arial"/>
        <family val="2"/>
      </rPr>
      <t>somewhat likely</t>
    </r>
    <r>
      <rPr>
        <sz val="12"/>
        <rFont val="Arial"/>
        <family val="2"/>
      </rPr>
      <t xml:space="preserve"> to initiate the treat event.</t>
    </r>
  </si>
  <si>
    <t>Table G-3: Assessment Scale - Likelihood of Threat Event Occurrence (Non-Adversarial)</t>
  </si>
  <si>
    <t>Updated Scheduled
Completion Date</t>
  </si>
  <si>
    <t>Affected Host(s)
(for Technical Findings Only)</t>
  </si>
  <si>
    <t>ARC-AMPE Version</t>
  </si>
  <si>
    <t>TESTSYS_A_2024_1</t>
  </si>
  <si>
    <t>TESTSYS_A_2024_2</t>
  </si>
  <si>
    <t>TESTSYS_A_2024_3</t>
  </si>
  <si>
    <t>TESTSYS_A_2024_4</t>
  </si>
  <si>
    <t>TESTSYS_A_2024_5</t>
  </si>
  <si>
    <t>PT</t>
  </si>
  <si>
    <t>SR</t>
  </si>
  <si>
    <t>New version for ARC-AMPE. Removed MARS-E references.</t>
  </si>
  <si>
    <t>Initial Security Assessment Review 02/12/2024</t>
  </si>
  <si>
    <t>SSPP Review        06/10/2024</t>
  </si>
  <si>
    <t>Annual Attestation   03/01/2024</t>
  </si>
  <si>
    <t>(1) Create an account management process 2/28/2024
(2) Document process 03/01/2024
(3) Review process with staff 03/10/2024
(4) Implement Process 03/12/2024
(5) Review effective of new process 03/14/2024
(6) Update POA&amp;M 03/15/2024</t>
  </si>
  <si>
    <t>(1) Solicit vendors to provide EPO solution and estimate of cost 02/25/2024
(2) Choose vendor to perform work 04/15/2024
(3)  Initiate the install of the emergency power shutoff solution 07/01/2024
(4)  Test the implemented EPO solution 07/15/2024
(5) Finalize solution and update POA&amp;M 08/01/2024</t>
  </si>
  <si>
    <t>(1) Update the implementation standards a-f, h, and I for IA-5 in the SSPP 06/20/2024
(2) Review changes to the SSPP with the security staff 07/01/2024
(3) Finalize the implementation standards based on staff comments and recommendations 07/30/2024</t>
  </si>
  <si>
    <t>(1) Create a process reviewing physical access logs at least once every two months and coordinating results of reviews and investigations with the organization's incident response capability: 3/8/2024
(2) Document process 04/01/2024
(3) Review process with staff 04/15/2024
(4) Implement Process 05/01/2024
(5) Review effective of new process 05/15/2024
(6) Update POA&amp;M 05/20/2024</t>
  </si>
  <si>
    <t>(1) Develop a plan and schedule to patch the servers monthly. Update the SSPP to reflect the plan to patch the servers 03/15/2024
(2) Test the outstanding patches in the test environment
(3) Implement patches on the production server</t>
  </si>
  <si>
    <t>(1) Shop vulnerability scanning tools 03/05/2024
(2) Select vulnerability scanning tool 03/10/2024
(3) Obtain training on the product 03/15/2024
(4) Test product in the test environment 03/20/2024
(5) Implement solution in production and monitor 04/01/2024</t>
  </si>
  <si>
    <t>(1) Create an account management process 2/15/2024
(2) Document process 02/20/2024
(3) Review process with staff 02/25/2024
(4) Implement Process 02/26/2024
(5) Review effective of new process 02/28/2024
(6) Update POA&amp;M 03/01/2024</t>
  </si>
  <si>
    <t>(3)  Initiate the install of the emergency power shutoff solution  NEW DATE 05/01/2024
(4)  Test the implemented EPO solution 05/15/2024
(5) Finalize solution and update POA&amp;M 06/01/2024</t>
  </si>
  <si>
    <t xml:space="preserve"> ARC-AMPE Control Family</t>
  </si>
  <si>
    <t>ARC-AMPE Control Family</t>
  </si>
  <si>
    <t>Number of Findings by ARC-AMPE Control Family</t>
  </si>
  <si>
    <t>Plugin</t>
  </si>
  <si>
    <t>Plugin Name</t>
  </si>
  <si>
    <t>Severity</t>
  </si>
  <si>
    <t>Repository</t>
  </si>
  <si>
    <t>DNS Name</t>
  </si>
  <si>
    <t>Plugin Output</t>
  </si>
  <si>
    <t>Solution</t>
  </si>
  <si>
    <t>First Discovered</t>
  </si>
  <si>
    <t>Last Observed</t>
  </si>
  <si>
    <t>POAM ID</t>
  </si>
  <si>
    <t>Vulnerability #</t>
  </si>
  <si>
    <t>Instructions:</t>
  </si>
  <si>
    <t xml:space="preserve">Populate this section with open vulnerabilities that have not been or cannot be mediated within the guidelines
</t>
  </si>
  <si>
    <r>
      <rPr>
        <b/>
        <sz val="10"/>
        <color rgb="FF0000FF"/>
        <rFont val="Arial"/>
        <family val="2"/>
      </rPr>
      <t>Critical</t>
    </r>
    <r>
      <rPr>
        <sz val="10"/>
        <color rgb="FF0000FF"/>
        <rFont val="Arial"/>
        <family val="2"/>
      </rPr>
      <t xml:space="preserve"> severity within fifteen (15) calendar days</t>
    </r>
  </si>
  <si>
    <r>
      <rPr>
        <b/>
        <sz val="10"/>
        <color rgb="FF0000FF"/>
        <rFont val="Arial"/>
        <family val="2"/>
      </rPr>
      <t>High</t>
    </r>
    <r>
      <rPr>
        <sz val="10"/>
        <color rgb="FF0000FF"/>
        <rFont val="Arial"/>
        <family val="2"/>
      </rPr>
      <t xml:space="preserve"> severity within thirty (30) calendar days</t>
    </r>
  </si>
  <si>
    <r>
      <rPr>
        <b/>
        <sz val="10"/>
        <color rgb="FF0000FF"/>
        <rFont val="Arial"/>
        <family val="2"/>
      </rPr>
      <t>Moderate</t>
    </r>
    <r>
      <rPr>
        <sz val="10"/>
        <color rgb="FF0000FF"/>
        <rFont val="Arial"/>
        <family val="2"/>
      </rPr>
      <t xml:space="preserve"> severity within ninety (90) calendar days</t>
    </r>
  </si>
  <si>
    <r>
      <rPr>
        <b/>
        <sz val="10"/>
        <color rgb="FF0000FF"/>
        <rFont val="Arial"/>
        <family val="2"/>
      </rPr>
      <t>Low</t>
    </r>
    <r>
      <rPr>
        <sz val="10"/>
        <color rgb="FF0000FF"/>
        <rFont val="Arial"/>
        <family val="2"/>
      </rPr>
      <t xml:space="preserve"> severity within one (1) year</t>
    </r>
  </si>
  <si>
    <t>6.0</t>
  </si>
  <si>
    <t>Substantive Change
[Y/N]</t>
  </si>
  <si>
    <t>Y</t>
  </si>
  <si>
    <t>Added Vulnerability Tracking tab for adding open vulnerabilities to include as POA&amp;M entries.</t>
  </si>
  <si>
    <t>POA&amp;M Findings Totals</t>
  </si>
  <si>
    <t>Status</t>
  </si>
  <si>
    <t>Open</t>
  </si>
  <si>
    <t>Closed</t>
  </si>
  <si>
    <t>False Positive</t>
  </si>
  <si>
    <t>Reopened</t>
  </si>
  <si>
    <t>Open / RA</t>
  </si>
  <si>
    <t>ARC-AMPE v1.0x</t>
  </si>
  <si>
    <t>6.1.1</t>
  </si>
  <si>
    <t>N</t>
  </si>
  <si>
    <t>In Vulnerability Tracking tab, added a Status column with drop-down list.</t>
  </si>
  <si>
    <t>CVE</t>
  </si>
  <si>
    <t>Other</t>
  </si>
  <si>
    <r>
      <t xml:space="preserve">In column D, </t>
    </r>
    <r>
      <rPr>
        <b/>
        <sz val="10"/>
        <color rgb="FF0000FF"/>
        <rFont val="Arial"/>
        <family val="2"/>
      </rPr>
      <t>Status</t>
    </r>
    <r>
      <rPr>
        <sz val="10"/>
        <color rgb="FF0000FF"/>
        <rFont val="Arial"/>
        <family val="2"/>
      </rPr>
      <t>, select from the drop-down list (Open, Open / RA, Closed, False Positive, or Reopened)</t>
    </r>
  </si>
  <si>
    <t>6.1.2</t>
  </si>
  <si>
    <t>RA-05 Vulnerability Remediation Timelines
(also applies to SI-02 Flaw Remediation)</t>
  </si>
  <si>
    <t>established in both RA-05, Vulnerability Monitoring and Scanning, and SI-02, Flaw Remediation.</t>
  </si>
  <si>
    <t>Added Other as a control dropdown selection. Added instruction that a partially implemented control is a finding to list and track. Referenced SI-02 in Vulnerability Tracking.</t>
  </si>
  <si>
    <t>6.1.3</t>
  </si>
  <si>
    <t>AC-02</t>
  </si>
  <si>
    <t>IA-05</t>
  </si>
  <si>
    <t>SI-02</t>
  </si>
  <si>
    <t>RA-05</t>
  </si>
  <si>
    <t>TESTSYS_A_2025_1</t>
  </si>
  <si>
    <t>Risk Acceptance Form Title (if Risk Accepted)</t>
  </si>
  <si>
    <t>Added column to POA&amp;M Template tab to add RA Title if finding is Risk Accepted.</t>
  </si>
  <si>
    <t>CM-06(01)</t>
  </si>
  <si>
    <t>Manual management, application, and verification of configurations and software creates risk of misconfigurations.</t>
  </si>
  <si>
    <t>Windows server BD1-2</t>
  </si>
  <si>
    <t>Independent Assessment: John Doe, 1/23/2026</t>
  </si>
  <si>
    <t>8 hours, patch automation software</t>
  </si>
  <si>
    <r>
      <t xml:space="preserve">Configuration management is governed by strict security and change controls:
</t>
    </r>
    <r>
      <rPr>
        <u/>
        <sz val="11"/>
        <rFont val="Arial"/>
        <family val="2"/>
      </rPr>
      <t>Access Control</t>
    </r>
    <r>
      <rPr>
        <sz val="11"/>
        <rFont val="Arial"/>
        <family val="2"/>
      </rPr>
      <t xml:space="preserve">: Configuration can only be performed by a privileged administrator account user. Access is protected by firewalls to prevent unauthorized external changes to the production environment.
</t>
    </r>
    <r>
      <rPr>
        <u/>
        <sz val="11"/>
        <rFont val="Arial"/>
        <family val="2"/>
      </rPr>
      <t>Monitoring and Review</t>
    </r>
    <r>
      <rPr>
        <sz val="11"/>
        <rFont val="Arial"/>
        <family val="2"/>
      </rPr>
      <t xml:space="preserve">: A manual review process uses audit log monitoring to detect and confirm any changes.
</t>
    </r>
    <r>
      <rPr>
        <u/>
        <sz val="11"/>
        <rFont val="Arial"/>
        <family val="2"/>
      </rPr>
      <t>Versioning and Recovery</t>
    </r>
    <r>
      <rPr>
        <sz val="11"/>
        <rFont val="Arial"/>
        <family val="2"/>
      </rPr>
      <t>: All configurations are baselined and stored. In the event of an unintended or unplanned change, this approved baseline is used to restore the configuration.</t>
    </r>
  </si>
  <si>
    <t>2026-RA-CM-06(01)</t>
  </si>
  <si>
    <t>All configuration updates are manually validated with test scenarios against baseline checks to ensure system functionality. The organization accepts the outlined risk and will continue to evaluate automated processes as funding becomes available.</t>
  </si>
  <si>
    <t>IP Address or Host Name</t>
  </si>
  <si>
    <t>(1) Complete Internal Security Risk Assessment - 12/9/2025
(2) Review Risk and Determine Acceptance - 12/12/2025
1/16/2026 - Performed annual Risk Acceptance review</t>
  </si>
  <si>
    <t>6.1.4</t>
  </si>
  <si>
    <t>Leave columns A-C unchanged</t>
  </si>
  <si>
    <t>Columns D-O headers default to Nessus output, but can be modified as needed</t>
  </si>
  <si>
    <r>
      <t xml:space="preserve">This tab is </t>
    </r>
    <r>
      <rPr>
        <b/>
        <u/>
        <sz val="10"/>
        <color rgb="FF0000FF"/>
        <rFont val="Arial"/>
        <family val="2"/>
      </rPr>
      <t>Optional</t>
    </r>
    <r>
      <rPr>
        <b/>
        <sz val="10"/>
        <color rgb="FF0000FF"/>
        <rFont val="Arial"/>
        <family val="2"/>
      </rPr>
      <t>, and its format defaults to Nessus output but can be modified to accommodate other tools.</t>
    </r>
  </si>
  <si>
    <t>Updated Vulnerability Tracking tab instructions stating it is optional to complete and columns can be tailored with the exception of A-C.</t>
  </si>
  <si>
    <t>Version 6.1.4, Dated March 11,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</si>
</sst>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m/d/yyyy;@"/>
  </numFmts>
  <fonts count="29" x14ac:knownFonts="1">
    <font>
      <sz val="10"/>
      <name val="Arial"/>
    </font>
    <font>
      <b/>
      <sz val="12"/>
      <name val="Arial"/>
      <family val="2"/>
    </font>
    <font>
      <b/>
      <sz val="10"/>
      <name val="Arial"/>
      <family val="2"/>
    </font>
    <font>
      <i/>
      <sz val="10"/>
      <name val="Arial"/>
      <family val="2"/>
    </font>
    <font>
      <sz val="10"/>
      <name val="Arial"/>
      <family val="2"/>
    </font>
    <font>
      <sz val="11"/>
      <name val="Arial"/>
      <family val="2"/>
    </font>
    <font>
      <sz val="12"/>
      <name val="Arial"/>
      <family val="2"/>
    </font>
    <font>
      <sz val="14"/>
      <name val="Arial"/>
      <family val="2"/>
    </font>
    <font>
      <b/>
      <sz val="12"/>
      <color rgb="FFFF0000"/>
      <name val="Arial"/>
      <family val="2"/>
    </font>
    <font>
      <b/>
      <sz val="12"/>
      <color theme="1"/>
      <name val="Arial"/>
      <family val="2"/>
    </font>
    <font>
      <sz val="10"/>
      <color theme="1"/>
      <name val="Arial"/>
      <family val="2"/>
    </font>
    <font>
      <b/>
      <sz val="10"/>
      <color theme="1"/>
      <name val="Arial"/>
      <family val="2"/>
    </font>
    <font>
      <b/>
      <sz val="11"/>
      <color rgb="FF000000"/>
      <name val="Arial"/>
      <family val="2"/>
    </font>
    <font>
      <b/>
      <sz val="14"/>
      <name val="Arial"/>
      <family val="2"/>
    </font>
    <font>
      <b/>
      <i/>
      <sz val="12"/>
      <name val="Arial"/>
      <family val="2"/>
    </font>
    <font>
      <i/>
      <sz val="14"/>
      <name val="Arial"/>
      <family val="2"/>
    </font>
    <font>
      <b/>
      <sz val="16"/>
      <color theme="1"/>
      <name val="Arial"/>
      <family val="2"/>
    </font>
    <font>
      <b/>
      <sz val="16"/>
      <name val="Arial"/>
      <family val="2"/>
    </font>
    <font>
      <sz val="10"/>
      <color rgb="FF000000"/>
      <name val="Arial"/>
      <family val="2"/>
    </font>
    <font>
      <b/>
      <sz val="12"/>
      <color rgb="FF000000"/>
      <name val="Arial"/>
      <family val="2"/>
    </font>
    <font>
      <sz val="10"/>
      <color indexed="10"/>
      <name val="Arial"/>
      <family val="2"/>
    </font>
    <font>
      <sz val="10"/>
      <color rgb="FF0000FF"/>
      <name val="Arial"/>
      <family val="2"/>
    </font>
    <font>
      <b/>
      <sz val="10"/>
      <color rgb="FF0000FF"/>
      <name val="Arial"/>
      <family val="2"/>
    </font>
    <font>
      <b/>
      <i/>
      <sz val="10"/>
      <color rgb="FF0000FF"/>
      <name val="Arial"/>
      <family val="2"/>
    </font>
    <font>
      <b/>
      <u/>
      <sz val="10"/>
      <color rgb="FF0000FF"/>
      <name val="Arial"/>
      <family val="2"/>
    </font>
    <font>
      <sz val="8"/>
      <name val="Arial"/>
    </font>
    <font>
      <b/>
      <sz val="11"/>
      <name val="Arial"/>
      <family val="2"/>
    </font>
    <font>
      <sz val="11"/>
      <color theme="1"/>
      <name val="Arial"/>
      <family val="2"/>
    </font>
    <font>
      <u/>
      <sz val="11"/>
      <name val="Arial"/>
      <family val="2"/>
    </font>
  </fonts>
  <fills count="12">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F7E1"/>
        <bgColor indexed="64"/>
      </patternFill>
    </fill>
  </fills>
  <borders count="34">
    <border>
      <left/>
      <right/>
      <top/>
      <bottom/>
      <diagonal/>
    </border>
    <border>
      <left/>
      <right style="thin">
        <color indexed="8"/>
      </right>
      <top/>
      <bottom/>
      <diagonal/>
    </border>
    <border>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8"/>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auto="1"/>
      </left>
      <right style="hair">
        <color auto="1"/>
      </right>
      <top style="hair">
        <color auto="1"/>
      </top>
      <bottom style="hair">
        <color auto="1"/>
      </bottom>
      <diagonal/>
    </border>
  </borders>
  <cellStyleXfs count="2">
    <xf numFmtId="0" fontId="0" fillId="0" borderId="0"/>
    <xf numFmtId="0" fontId="4" fillId="0" borderId="0"/>
  </cellStyleXfs>
  <cellXfs count="318">
    <xf numFmtId="0" fontId="0" fillId="0" borderId="0" xfId="0"/>
    <xf numFmtId="0" fontId="1" fillId="0" borderId="0" xfId="0" applyFont="1" applyAlignment="1">
      <alignment horizontal="left" wrapText="1"/>
    </xf>
    <xf numFmtId="0" fontId="0" fillId="0" borderId="0" xfId="0" applyAlignment="1">
      <alignment wrapText="1"/>
    </xf>
    <xf numFmtId="0" fontId="4" fillId="0" borderId="3" xfId="0" applyFont="1" applyBorder="1"/>
    <xf numFmtId="0" fontId="5" fillId="2" borderId="8"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0" borderId="3" xfId="0" applyFont="1" applyBorder="1" applyAlignment="1">
      <alignment horizontal="center" vertical="center"/>
    </xf>
    <xf numFmtId="14" fontId="5" fillId="2" borderId="3" xfId="0" applyNumberFormat="1" applyFont="1" applyFill="1" applyBorder="1" applyAlignment="1">
      <alignment horizontal="center" vertical="center" wrapText="1"/>
    </xf>
    <xf numFmtId="0" fontId="5" fillId="0" borderId="8" xfId="1" applyFont="1" applyBorder="1" applyAlignment="1">
      <alignment horizontal="center" vertical="center" wrapText="1"/>
    </xf>
    <xf numFmtId="0" fontId="5" fillId="2" borderId="11" xfId="0" applyFont="1" applyFill="1" applyBorder="1" applyAlignment="1">
      <alignment horizontal="center" vertical="center" wrapText="1"/>
    </xf>
    <xf numFmtId="0" fontId="5" fillId="2" borderId="11" xfId="0" applyFont="1" applyFill="1" applyBorder="1" applyAlignment="1">
      <alignment horizontal="center" vertical="center"/>
    </xf>
    <xf numFmtId="0" fontId="5" fillId="0" borderId="3" xfId="1" applyFont="1" applyBorder="1" applyAlignment="1">
      <alignment horizontal="center" vertical="center" wrapText="1"/>
    </xf>
    <xf numFmtId="0" fontId="5" fillId="2"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8" fillId="0" borderId="0" xfId="0" applyFont="1" applyAlignment="1">
      <alignment horizontal="left" wrapText="1"/>
    </xf>
    <xf numFmtId="0" fontId="0" fillId="0" borderId="3" xfId="0" applyBorder="1" applyAlignment="1" applyProtection="1">
      <alignment wrapText="1"/>
      <protection locked="0"/>
    </xf>
    <xf numFmtId="0" fontId="10" fillId="0" borderId="15" xfId="0" applyFont="1" applyBorder="1" applyAlignment="1">
      <alignment horizontal="center" wrapText="1"/>
    </xf>
    <xf numFmtId="0" fontId="2" fillId="3" borderId="1" xfId="0" applyFont="1" applyFill="1" applyBorder="1" applyAlignment="1">
      <alignment horizontal="center" vertical="top" wrapText="1"/>
    </xf>
    <xf numFmtId="0" fontId="2" fillId="3" borderId="1" xfId="0" applyFont="1" applyFill="1" applyBorder="1" applyAlignment="1" applyProtection="1">
      <alignment horizontal="center" vertical="top" wrapText="1"/>
      <protection locked="0"/>
    </xf>
    <xf numFmtId="0" fontId="11" fillId="0" borderId="3" xfId="0" applyFont="1" applyBorder="1" applyAlignment="1" applyProtection="1">
      <alignment horizontal="center" wrapText="1"/>
      <protection locked="0"/>
    </xf>
    <xf numFmtId="0" fontId="4" fillId="2" borderId="8" xfId="0" applyFont="1" applyFill="1" applyBorder="1" applyAlignment="1" applyProtection="1">
      <alignment horizontal="center" vertical="center" wrapText="1"/>
      <protection locked="0"/>
    </xf>
    <xf numFmtId="0" fontId="6" fillId="3" borderId="3" xfId="0" applyFont="1" applyFill="1" applyBorder="1" applyAlignment="1">
      <alignment horizontal="center" vertical="center"/>
    </xf>
    <xf numFmtId="0" fontId="6" fillId="3" borderId="3" xfId="0" applyFont="1" applyFill="1" applyBorder="1" applyAlignment="1">
      <alignment horizontal="center" vertical="center" wrapText="1"/>
    </xf>
    <xf numFmtId="0" fontId="6" fillId="0" borderId="3" xfId="0" applyFont="1" applyBorder="1" applyAlignment="1">
      <alignment vertical="center" wrapText="1"/>
    </xf>
    <xf numFmtId="0" fontId="6" fillId="0" borderId="3" xfId="0" applyFont="1" applyBorder="1" applyAlignment="1">
      <alignment horizontal="center" vertical="center"/>
    </xf>
    <xf numFmtId="164" fontId="6" fillId="0" borderId="3" xfId="0" applyNumberFormat="1" applyFont="1" applyBorder="1" applyAlignment="1">
      <alignment horizontal="center" vertical="center"/>
    </xf>
    <xf numFmtId="0" fontId="10" fillId="0" borderId="0" xfId="0" applyFont="1"/>
    <xf numFmtId="0" fontId="9" fillId="0" borderId="0" xfId="0" applyFont="1" applyAlignment="1">
      <alignment horizontal="left" wrapText="1"/>
    </xf>
    <xf numFmtId="16" fontId="0" fillId="0" borderId="0" xfId="0" applyNumberFormat="1"/>
    <xf numFmtId="49" fontId="6" fillId="4" borderId="3" xfId="0" applyNumberFormat="1" applyFont="1" applyFill="1" applyBorder="1" applyAlignment="1">
      <alignment horizontal="center"/>
    </xf>
    <xf numFmtId="49" fontId="7" fillId="5" borderId="8" xfId="0" applyNumberFormat="1" applyFont="1" applyFill="1" applyBorder="1" applyAlignment="1">
      <alignment horizontal="center" vertical="center"/>
    </xf>
    <xf numFmtId="0" fontId="3" fillId="0" borderId="0" xfId="0" applyFont="1"/>
    <xf numFmtId="49" fontId="6" fillId="4" borderId="3" xfId="0" applyNumberFormat="1" applyFont="1" applyFill="1" applyBorder="1" applyAlignment="1">
      <alignment horizontal="center" vertical="center"/>
    </xf>
    <xf numFmtId="49" fontId="6" fillId="5" borderId="8" xfId="0" applyNumberFormat="1" applyFont="1" applyFill="1" applyBorder="1" applyAlignment="1">
      <alignment horizontal="center" vertical="center"/>
    </xf>
    <xf numFmtId="49" fontId="6" fillId="5" borderId="3" xfId="0" applyNumberFormat="1" applyFont="1" applyFill="1" applyBorder="1" applyAlignment="1">
      <alignment horizontal="center" vertical="center"/>
    </xf>
    <xf numFmtId="0" fontId="7" fillId="4" borderId="8" xfId="0" applyFont="1" applyFill="1" applyBorder="1" applyAlignment="1">
      <alignment horizontal="center" vertical="center"/>
    </xf>
    <xf numFmtId="49" fontId="6" fillId="4" borderId="8" xfId="0" applyNumberFormat="1" applyFont="1" applyFill="1" applyBorder="1" applyAlignment="1">
      <alignment horizontal="center" vertical="center"/>
    </xf>
    <xf numFmtId="0" fontId="7" fillId="4" borderId="3" xfId="0" applyFont="1" applyFill="1" applyBorder="1" applyAlignment="1">
      <alignment horizontal="center" vertical="center"/>
    </xf>
    <xf numFmtId="0" fontId="7" fillId="5" borderId="3" xfId="0" applyFont="1" applyFill="1" applyBorder="1" applyAlignment="1">
      <alignment horizontal="center" vertical="center"/>
    </xf>
    <xf numFmtId="0" fontId="7" fillId="4" borderId="3" xfId="0" applyFont="1" applyFill="1" applyBorder="1" applyAlignment="1">
      <alignment horizontal="left" vertical="top"/>
    </xf>
    <xf numFmtId="0" fontId="0" fillId="4" borderId="3" xfId="0" applyFill="1" applyBorder="1" applyAlignment="1">
      <alignment horizontal="left" vertical="top"/>
    </xf>
    <xf numFmtId="0" fontId="10" fillId="2" borderId="3" xfId="0" applyFont="1" applyFill="1" applyBorder="1" applyAlignment="1" applyProtection="1">
      <alignment horizontal="center" vertical="center" wrapText="1"/>
      <protection locked="0"/>
    </xf>
    <xf numFmtId="0" fontId="4" fillId="0" borderId="3" xfId="0" applyFont="1" applyBorder="1" applyAlignment="1">
      <alignment horizontal="center"/>
    </xf>
    <xf numFmtId="0" fontId="4" fillId="0" borderId="0" xfId="0" applyFont="1"/>
    <xf numFmtId="0" fontId="6" fillId="0" borderId="0" xfId="1" applyFont="1" applyAlignment="1">
      <alignment horizontal="left"/>
    </xf>
    <xf numFmtId="49" fontId="6" fillId="5" borderId="8" xfId="1" applyNumberFormat="1" applyFont="1" applyFill="1" applyBorder="1" applyAlignment="1">
      <alignment horizontal="center" vertical="center"/>
    </xf>
    <xf numFmtId="49" fontId="6" fillId="5" borderId="3" xfId="1" applyNumberFormat="1" applyFont="1" applyFill="1" applyBorder="1" applyAlignment="1">
      <alignment horizontal="center" vertical="center"/>
    </xf>
    <xf numFmtId="0" fontId="6" fillId="4" borderId="3" xfId="1" applyFont="1" applyFill="1" applyBorder="1" applyAlignment="1">
      <alignment horizontal="center" vertical="center"/>
    </xf>
    <xf numFmtId="49" fontId="6" fillId="4" borderId="3" xfId="1" applyNumberFormat="1" applyFont="1" applyFill="1" applyBorder="1" applyAlignment="1">
      <alignment horizontal="center" vertical="center"/>
    </xf>
    <xf numFmtId="0" fontId="9" fillId="3" borderId="7" xfId="0" applyFont="1" applyFill="1" applyBorder="1" applyAlignment="1">
      <alignment horizontal="left" vertical="center" wrapText="1"/>
    </xf>
    <xf numFmtId="0" fontId="10" fillId="2" borderId="3" xfId="0" applyFont="1" applyFill="1" applyBorder="1" applyAlignment="1">
      <alignment horizontal="center" vertical="center" wrapText="1"/>
    </xf>
    <xf numFmtId="0" fontId="3" fillId="0" borderId="3" xfId="0" applyFont="1" applyBorder="1" applyAlignment="1">
      <alignment vertical="center"/>
    </xf>
    <xf numFmtId="0" fontId="11" fillId="0" borderId="3" xfId="0" applyFont="1" applyBorder="1" applyAlignment="1" applyProtection="1">
      <alignment horizontal="center" vertical="center" wrapText="1"/>
      <protection locked="0"/>
    </xf>
    <xf numFmtId="0" fontId="11" fillId="3" borderId="1" xfId="0" applyFont="1" applyFill="1" applyBorder="1" applyAlignment="1">
      <alignment horizontal="center" vertical="center" wrapText="1"/>
    </xf>
    <xf numFmtId="0" fontId="10" fillId="0" borderId="0" xfId="0" applyFont="1" applyAlignment="1">
      <alignment vertical="center"/>
    </xf>
    <xf numFmtId="0" fontId="11" fillId="3" borderId="3" xfId="0" applyFont="1" applyFill="1" applyBorder="1" applyAlignment="1">
      <alignment horizontal="center" vertical="center" wrapText="1"/>
    </xf>
    <xf numFmtId="0" fontId="10" fillId="0" borderId="15" xfId="0" applyFont="1" applyBorder="1" applyAlignment="1">
      <alignment horizontal="center" vertical="center" wrapText="1"/>
    </xf>
    <xf numFmtId="0" fontId="11" fillId="5" borderId="3" xfId="0" applyFont="1" applyFill="1" applyBorder="1" applyAlignment="1">
      <alignment horizontal="center" vertical="center" wrapText="1"/>
    </xf>
    <xf numFmtId="0" fontId="10" fillId="0" borderId="3" xfId="0" applyFont="1" applyBorder="1" applyAlignment="1" applyProtection="1">
      <alignment vertical="center" wrapText="1"/>
      <protection locked="0"/>
    </xf>
    <xf numFmtId="0" fontId="0" fillId="0" borderId="0" xfId="0" applyAlignment="1">
      <alignment vertical="center"/>
    </xf>
    <xf numFmtId="49" fontId="6" fillId="5" borderId="3" xfId="0" applyNumberFormat="1" applyFont="1" applyFill="1" applyBorder="1" applyAlignment="1">
      <alignment horizontal="center"/>
    </xf>
    <xf numFmtId="0" fontId="6" fillId="4" borderId="3" xfId="0" applyFont="1" applyFill="1" applyBorder="1" applyAlignment="1">
      <alignment horizontal="center"/>
    </xf>
    <xf numFmtId="0" fontId="2" fillId="0" borderId="0" xfId="0" applyFont="1"/>
    <xf numFmtId="0" fontId="1" fillId="0" borderId="8" xfId="0" applyFont="1" applyBorder="1" applyAlignment="1">
      <alignment vertical="center"/>
    </xf>
    <xf numFmtId="0" fontId="1" fillId="0" borderId="3" xfId="0" applyFont="1" applyBorder="1" applyAlignment="1">
      <alignment vertical="center"/>
    </xf>
    <xf numFmtId="0" fontId="2" fillId="2" borderId="3" xfId="0" applyFont="1" applyFill="1" applyBorder="1" applyAlignment="1" applyProtection="1">
      <alignment horizontal="center" vertical="center" wrapText="1"/>
      <protection locked="0"/>
    </xf>
    <xf numFmtId="0" fontId="2" fillId="5" borderId="3" xfId="0" applyFont="1" applyFill="1" applyBorder="1" applyAlignment="1">
      <alignment horizontal="center" wrapText="1"/>
    </xf>
    <xf numFmtId="0" fontId="2" fillId="2" borderId="8" xfId="0" applyFont="1" applyFill="1" applyBorder="1" applyAlignment="1" applyProtection="1">
      <alignment horizontal="center" vertical="center" wrapText="1"/>
      <protection locked="0"/>
    </xf>
    <xf numFmtId="0" fontId="2" fillId="4" borderId="3" xfId="0" applyFont="1" applyFill="1" applyBorder="1" applyAlignment="1">
      <alignment horizontal="center"/>
    </xf>
    <xf numFmtId="0" fontId="2" fillId="2" borderId="3" xfId="0" applyFont="1" applyFill="1" applyBorder="1"/>
    <xf numFmtId="0" fontId="5" fillId="2" borderId="1" xfId="0" applyFont="1" applyFill="1" applyBorder="1" applyAlignment="1">
      <alignment horizontal="center" vertical="center"/>
    </xf>
    <xf numFmtId="0" fontId="17" fillId="0" borderId="0" xfId="0" applyFont="1" applyAlignment="1">
      <alignment vertical="center"/>
    </xf>
    <xf numFmtId="0" fontId="4" fillId="0" borderId="0" xfId="0" applyFont="1" applyAlignment="1">
      <alignment vertical="center"/>
    </xf>
    <xf numFmtId="0" fontId="1" fillId="0" borderId="3" xfId="0" applyFont="1" applyBorder="1" applyAlignment="1">
      <alignment vertical="center" wrapText="1"/>
    </xf>
    <xf numFmtId="0" fontId="11" fillId="0" borderId="0" xfId="0" applyFont="1" applyAlignment="1" applyProtection="1">
      <alignment horizontal="center" vertical="center" wrapText="1"/>
      <protection locked="0"/>
    </xf>
    <xf numFmtId="0" fontId="11" fillId="3" borderId="2"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0" fillId="0" borderId="0" xfId="0" applyFont="1" applyAlignment="1" applyProtection="1">
      <alignment vertical="center"/>
      <protection locked="0"/>
    </xf>
    <xf numFmtId="0" fontId="7" fillId="0" borderId="3" xfId="0" applyFont="1" applyBorder="1" applyAlignment="1">
      <alignment horizontal="center" vertical="center"/>
    </xf>
    <xf numFmtId="0" fontId="2" fillId="3" borderId="3" xfId="0" applyFont="1" applyFill="1" applyBorder="1" applyAlignment="1">
      <alignment horizontal="center" vertical="center" wrapText="1"/>
    </xf>
    <xf numFmtId="0" fontId="11" fillId="0" borderId="0" xfId="0" applyFont="1" applyAlignment="1" applyProtection="1">
      <alignment horizontal="center" wrapText="1"/>
      <protection locked="0"/>
    </xf>
    <xf numFmtId="0" fontId="5" fillId="0" borderId="8" xfId="0" applyFont="1" applyBorder="1" applyAlignment="1">
      <alignment horizontal="center" vertical="center" wrapText="1"/>
    </xf>
    <xf numFmtId="0" fontId="4" fillId="0" borderId="7" xfId="0" applyFont="1" applyBorder="1"/>
    <xf numFmtId="0" fontId="18" fillId="0" borderId="3" xfId="0" applyFont="1" applyBorder="1"/>
    <xf numFmtId="0" fontId="0" fillId="0" borderId="3" xfId="0" applyBorder="1" applyAlignment="1">
      <alignment horizontal="center" vertical="center"/>
    </xf>
    <xf numFmtId="0" fontId="0" fillId="0" borderId="8" xfId="0" applyBorder="1" applyAlignment="1">
      <alignment horizontal="center" vertical="center"/>
    </xf>
    <xf numFmtId="0" fontId="14" fillId="0" borderId="3" xfId="0" applyFont="1" applyBorder="1" applyAlignment="1">
      <alignment horizontal="right" vertical="center"/>
    </xf>
    <xf numFmtId="0" fontId="0" fillId="10" borderId="3" xfId="0" applyFill="1" applyBorder="1" applyAlignment="1">
      <alignment vertical="center"/>
    </xf>
    <xf numFmtId="0" fontId="0" fillId="10" borderId="3" xfId="0" applyFill="1" applyBorder="1" applyAlignment="1">
      <alignment horizontal="center" vertical="center"/>
    </xf>
    <xf numFmtId="0" fontId="4" fillId="0" borderId="3" xfId="0" applyFont="1" applyBorder="1" applyAlignment="1">
      <alignment horizontal="center" vertical="center"/>
    </xf>
    <xf numFmtId="0" fontId="19" fillId="0" borderId="3" xfId="1" applyFont="1" applyBorder="1" applyAlignment="1">
      <alignment horizontal="center" vertical="center"/>
    </xf>
    <xf numFmtId="0" fontId="4" fillId="0" borderId="8" xfId="0" applyFont="1" applyBorder="1" applyAlignment="1">
      <alignment horizontal="center" vertical="center"/>
    </xf>
    <xf numFmtId="0" fontId="19" fillId="0" borderId="8" xfId="1" applyFont="1" applyBorder="1" applyAlignment="1">
      <alignment horizontal="center" vertical="center"/>
    </xf>
    <xf numFmtId="0" fontId="10" fillId="0" borderId="0" xfId="0" applyFont="1" applyProtection="1">
      <protection locked="0"/>
    </xf>
    <xf numFmtId="0" fontId="0" fillId="0" borderId="6" xfId="0" applyBorder="1"/>
    <xf numFmtId="0" fontId="0" fillId="3" borderId="0" xfId="0" applyFill="1"/>
    <xf numFmtId="0" fontId="0" fillId="3" borderId="0" xfId="0" applyFill="1" applyAlignment="1">
      <alignment vertical="top" wrapText="1" readingOrder="1"/>
    </xf>
    <xf numFmtId="0" fontId="0" fillId="3" borderId="0" xfId="0" applyFill="1" applyAlignment="1">
      <alignment vertical="top"/>
    </xf>
    <xf numFmtId="0" fontId="0" fillId="3" borderId="0" xfId="0" applyFill="1" applyAlignment="1">
      <alignment horizontal="left" vertical="top" wrapText="1"/>
    </xf>
    <xf numFmtId="0" fontId="4" fillId="3" borderId="0" xfId="0" applyFont="1" applyFill="1" applyAlignment="1">
      <alignment horizontal="left" vertical="top" wrapText="1"/>
    </xf>
    <xf numFmtId="0" fontId="4" fillId="3" borderId="0" xfId="0" applyFont="1" applyFill="1"/>
    <xf numFmtId="0" fontId="2" fillId="3" borderId="0" xfId="0" applyFont="1" applyFill="1"/>
    <xf numFmtId="0" fontId="4" fillId="3" borderId="0" xfId="0" applyFont="1" applyFill="1" applyAlignment="1">
      <alignment vertical="top" wrapText="1"/>
    </xf>
    <xf numFmtId="0" fontId="4" fillId="3" borderId="0" xfId="0" applyFont="1" applyFill="1" applyAlignment="1">
      <alignment horizontal="left"/>
    </xf>
    <xf numFmtId="0" fontId="0" fillId="2" borderId="0" xfId="0" applyFill="1"/>
    <xf numFmtId="0" fontId="0" fillId="0" borderId="5" xfId="0" applyBorder="1"/>
    <xf numFmtId="0" fontId="0" fillId="0" borderId="0" xfId="0" applyAlignment="1">
      <alignment vertical="center" wrapText="1"/>
    </xf>
    <xf numFmtId="0" fontId="4" fillId="2" borderId="27" xfId="0" applyFont="1" applyFill="1" applyBorder="1" applyAlignment="1" applyProtection="1">
      <alignment horizontal="left" vertical="center" wrapText="1"/>
      <protection locked="0"/>
    </xf>
    <xf numFmtId="0" fontId="4" fillId="2" borderId="28" xfId="0" applyFont="1" applyFill="1" applyBorder="1" applyAlignment="1" applyProtection="1">
      <alignment horizontal="left" vertical="center" wrapText="1"/>
      <protection locked="0"/>
    </xf>
    <xf numFmtId="14" fontId="4" fillId="2" borderId="7" xfId="0" applyNumberFormat="1" applyFont="1" applyFill="1" applyBorder="1" applyAlignment="1" applyProtection="1">
      <alignment horizontal="left" vertical="center" wrapText="1"/>
      <protection locked="0"/>
    </xf>
    <xf numFmtId="164" fontId="4" fillId="2" borderId="3" xfId="0" applyNumberFormat="1" applyFont="1" applyFill="1" applyBorder="1" applyAlignment="1" applyProtection="1">
      <alignment horizontal="left" vertical="center" wrapText="1"/>
      <protection locked="0"/>
    </xf>
    <xf numFmtId="0" fontId="4" fillId="2" borderId="3" xfId="0" applyFont="1" applyFill="1" applyBorder="1" applyAlignment="1" applyProtection="1">
      <alignment horizontal="left" vertical="center" wrapText="1"/>
      <protection locked="0"/>
    </xf>
    <xf numFmtId="0" fontId="20" fillId="2" borderId="3" xfId="0" applyFont="1" applyFill="1" applyBorder="1" applyAlignment="1" applyProtection="1">
      <alignment horizontal="left" vertical="center" wrapText="1"/>
      <protection locked="0"/>
    </xf>
    <xf numFmtId="0" fontId="4" fillId="2" borderId="3" xfId="0" applyFont="1" applyFill="1" applyBorder="1" applyAlignment="1" applyProtection="1">
      <alignment vertical="center" wrapText="1"/>
      <protection locked="0"/>
    </xf>
    <xf numFmtId="0" fontId="4" fillId="2" borderId="26" xfId="0" applyFont="1" applyFill="1" applyBorder="1" applyAlignment="1" applyProtection="1">
      <alignment horizontal="left" vertical="center" wrapText="1"/>
      <protection locked="0"/>
    </xf>
    <xf numFmtId="164" fontId="4" fillId="2" borderId="3" xfId="0" applyNumberFormat="1" applyFont="1" applyFill="1" applyBorder="1" applyAlignment="1" applyProtection="1">
      <alignment vertical="center" wrapText="1"/>
      <protection locked="0"/>
    </xf>
    <xf numFmtId="0" fontId="0" fillId="2" borderId="3" xfId="0" applyFill="1" applyBorder="1" applyAlignment="1" applyProtection="1">
      <alignment horizontal="left" vertical="center" wrapText="1"/>
      <protection locked="0"/>
    </xf>
    <xf numFmtId="0" fontId="0" fillId="2" borderId="3" xfId="0" applyFill="1" applyBorder="1" applyAlignment="1" applyProtection="1">
      <alignment horizontal="center" vertical="center" wrapText="1"/>
      <protection locked="0"/>
    </xf>
    <xf numFmtId="0" fontId="4" fillId="2" borderId="3" xfId="0" applyFont="1" applyFill="1" applyBorder="1" applyAlignment="1" applyProtection="1">
      <alignment horizontal="center" vertical="center" wrapText="1"/>
      <protection locked="0"/>
    </xf>
    <xf numFmtId="0" fontId="2" fillId="3"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0" fillId="0" borderId="3" xfId="0" applyBorder="1" applyAlignment="1" applyProtection="1">
      <alignment vertical="center" wrapText="1"/>
      <protection locked="0"/>
    </xf>
    <xf numFmtId="0" fontId="2" fillId="5" borderId="3"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10" fillId="0" borderId="18" xfId="0" applyFont="1" applyBorder="1" applyAlignment="1">
      <alignment horizontal="center" vertical="center" wrapText="1"/>
    </xf>
    <xf numFmtId="0" fontId="2" fillId="3" borderId="1" xfId="0" applyFont="1" applyFill="1" applyBorder="1" applyAlignment="1" applyProtection="1">
      <alignment horizontal="center" vertical="center" wrapText="1"/>
      <protection locked="0"/>
    </xf>
    <xf numFmtId="0" fontId="2" fillId="3" borderId="13" xfId="0" applyFont="1" applyFill="1" applyBorder="1" applyAlignment="1">
      <alignment horizontal="center" vertical="center" wrapText="1"/>
    </xf>
    <xf numFmtId="0" fontId="2" fillId="3" borderId="0" xfId="0" applyFont="1" applyFill="1" applyAlignment="1">
      <alignment horizontal="center" vertical="center" wrapText="1"/>
    </xf>
    <xf numFmtId="0" fontId="0" fillId="0" borderId="3" xfId="0" applyBorder="1" applyAlignment="1">
      <alignment horizontal="left" vertical="center" wrapText="1"/>
    </xf>
    <xf numFmtId="0" fontId="12" fillId="0" borderId="0" xfId="1" applyFont="1" applyAlignment="1">
      <alignment horizontal="center" vertical="center"/>
    </xf>
    <xf numFmtId="0" fontId="7" fillId="0" borderId="0" xfId="0" applyFont="1" applyAlignment="1">
      <alignment vertical="center"/>
    </xf>
    <xf numFmtId="0" fontId="6" fillId="0" borderId="0" xfId="0" applyFont="1" applyAlignment="1">
      <alignment vertical="center"/>
    </xf>
    <xf numFmtId="0" fontId="6" fillId="0" borderId="8" xfId="0" applyFont="1" applyBorder="1" applyAlignment="1">
      <alignment horizontal="center" vertical="center"/>
    </xf>
    <xf numFmtId="0" fontId="2" fillId="3" borderId="30" xfId="1" applyFont="1" applyFill="1" applyBorder="1" applyAlignment="1">
      <alignment horizontal="center" vertical="center" wrapText="1"/>
    </xf>
    <xf numFmtId="0" fontId="2" fillId="3" borderId="31" xfId="1" applyFont="1" applyFill="1" applyBorder="1" applyAlignment="1">
      <alignment horizontal="center" vertical="center" wrapText="1"/>
    </xf>
    <xf numFmtId="0" fontId="2" fillId="3" borderId="32" xfId="1" applyFont="1" applyFill="1" applyBorder="1" applyAlignment="1">
      <alignment horizontal="center" vertical="center" wrapText="1"/>
    </xf>
    <xf numFmtId="0" fontId="0" fillId="0" borderId="3" xfId="0" applyBorder="1"/>
    <xf numFmtId="0" fontId="10" fillId="0" borderId="33" xfId="0" applyFont="1" applyBorder="1"/>
    <xf numFmtId="14" fontId="10" fillId="0" borderId="33" xfId="0" applyNumberFormat="1" applyFont="1" applyBorder="1"/>
    <xf numFmtId="0" fontId="16" fillId="0" borderId="0" xfId="0" applyFont="1" applyAlignment="1">
      <alignment vertical="center"/>
    </xf>
    <xf numFmtId="0" fontId="1" fillId="0" borderId="0" xfId="0" applyFont="1" applyAlignment="1">
      <alignment vertical="center"/>
    </xf>
    <xf numFmtId="0" fontId="14" fillId="0" borderId="0" xfId="0" applyFont="1" applyAlignment="1">
      <alignment horizontal="center" vertical="center"/>
    </xf>
    <xf numFmtId="0" fontId="24" fillId="0" borderId="0" xfId="0" applyFont="1" applyAlignment="1">
      <alignment horizontal="right"/>
    </xf>
    <xf numFmtId="49" fontId="6" fillId="3" borderId="3" xfId="0" applyNumberFormat="1" applyFont="1" applyFill="1" applyBorder="1" applyAlignment="1">
      <alignment horizontal="center" vertical="center"/>
    </xf>
    <xf numFmtId="49" fontId="6" fillId="0" borderId="3" xfId="0" applyNumberFormat="1" applyFont="1" applyBorder="1" applyAlignment="1">
      <alignment horizontal="center" vertical="center"/>
    </xf>
    <xf numFmtId="49" fontId="0" fillId="0" borderId="0" xfId="0" applyNumberFormat="1"/>
    <xf numFmtId="165" fontId="5" fillId="2" borderId="8" xfId="0" applyNumberFormat="1" applyFont="1" applyFill="1" applyBorder="1" applyAlignment="1">
      <alignment horizontal="center" vertical="center"/>
    </xf>
    <xf numFmtId="165" fontId="5" fillId="2" borderId="3" xfId="0" applyNumberFormat="1" applyFont="1" applyFill="1" applyBorder="1" applyAlignment="1">
      <alignment horizontal="center" vertical="center"/>
    </xf>
    <xf numFmtId="165" fontId="5" fillId="0" borderId="3" xfId="0" applyNumberFormat="1" applyFont="1" applyBorder="1" applyAlignment="1">
      <alignment horizontal="center" vertical="center"/>
    </xf>
    <xf numFmtId="165" fontId="5" fillId="2" borderId="11" xfId="0" applyNumberFormat="1" applyFont="1" applyFill="1" applyBorder="1" applyAlignment="1">
      <alignment horizontal="center" vertical="center"/>
    </xf>
    <xf numFmtId="165" fontId="5" fillId="2" borderId="4" xfId="0" applyNumberFormat="1" applyFont="1" applyFill="1" applyBorder="1" applyAlignment="1">
      <alignment horizontal="center" vertical="center"/>
    </xf>
    <xf numFmtId="165" fontId="5" fillId="2" borderId="8" xfId="0" applyNumberFormat="1" applyFont="1" applyFill="1" applyBorder="1" applyAlignment="1">
      <alignment horizontal="center" vertical="center" wrapText="1"/>
    </xf>
    <xf numFmtId="165" fontId="5" fillId="2" borderId="3" xfId="0" applyNumberFormat="1" applyFont="1" applyFill="1" applyBorder="1" applyAlignment="1">
      <alignment horizontal="center" vertical="center" wrapText="1"/>
    </xf>
    <xf numFmtId="165" fontId="5" fillId="2" borderId="1" xfId="0" applyNumberFormat="1" applyFont="1" applyFill="1" applyBorder="1" applyAlignment="1">
      <alignment horizontal="center" vertical="center" wrapText="1"/>
    </xf>
    <xf numFmtId="165" fontId="5" fillId="2" borderId="4" xfId="0" applyNumberFormat="1" applyFont="1" applyFill="1" applyBorder="1" applyAlignment="1">
      <alignment horizontal="center" vertical="center" wrapText="1"/>
    </xf>
    <xf numFmtId="0" fontId="23" fillId="0" borderId="0" xfId="0" applyFont="1" applyAlignment="1">
      <alignment vertical="center"/>
    </xf>
    <xf numFmtId="0" fontId="10" fillId="0" borderId="3" xfId="0" applyFont="1" applyBorder="1" applyAlignment="1">
      <alignment horizontal="center" vertical="center"/>
    </xf>
    <xf numFmtId="0" fontId="5" fillId="2" borderId="2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26" xfId="0" applyFont="1" applyFill="1" applyBorder="1" applyAlignment="1">
      <alignment horizontal="center" vertical="center" wrapText="1"/>
    </xf>
    <xf numFmtId="0" fontId="2" fillId="2" borderId="26" xfId="0" applyFont="1" applyFill="1" applyBorder="1" applyAlignment="1" applyProtection="1">
      <alignment horizontal="center" vertical="center" wrapText="1"/>
      <protection locked="0"/>
    </xf>
    <xf numFmtId="0" fontId="5" fillId="2" borderId="1" xfId="0" applyFont="1" applyFill="1" applyBorder="1" applyAlignment="1">
      <alignment horizontal="center" vertical="center" wrapText="1"/>
    </xf>
    <xf numFmtId="165" fontId="5" fillId="2" borderId="26" xfId="0" applyNumberFormat="1" applyFont="1" applyFill="1" applyBorder="1" applyAlignment="1">
      <alignment horizontal="center" vertical="center"/>
    </xf>
    <xf numFmtId="0" fontId="5" fillId="2" borderId="26" xfId="0" applyFont="1" applyFill="1" applyBorder="1" applyAlignment="1">
      <alignment horizontal="center" vertical="center"/>
    </xf>
    <xf numFmtId="165" fontId="5" fillId="2" borderId="26" xfId="0" applyNumberFormat="1" applyFont="1" applyFill="1" applyBorder="1" applyAlignment="1">
      <alignment horizontal="center" vertical="center" wrapText="1"/>
    </xf>
    <xf numFmtId="0" fontId="10" fillId="2" borderId="26" xfId="0" applyFont="1" applyFill="1" applyBorder="1" applyAlignment="1" applyProtection="1">
      <alignment horizontal="center" vertical="center" wrapText="1"/>
      <protection locked="0"/>
    </xf>
    <xf numFmtId="0" fontId="4" fillId="2" borderId="24" xfId="0" applyFont="1" applyFill="1" applyBorder="1" applyAlignment="1" applyProtection="1">
      <alignment horizontal="center" vertical="center" wrapText="1"/>
      <protection locked="0"/>
    </xf>
    <xf numFmtId="0" fontId="26" fillId="2" borderId="3" xfId="0" applyFont="1" applyFill="1" applyBorder="1" applyAlignment="1" applyProtection="1">
      <alignment horizontal="center" vertical="center" wrapText="1"/>
      <protection locked="0"/>
    </xf>
    <xf numFmtId="14" fontId="5" fillId="0" borderId="3" xfId="0" applyNumberFormat="1" applyFont="1" applyBorder="1" applyAlignment="1">
      <alignment horizontal="center" vertical="center"/>
    </xf>
    <xf numFmtId="0" fontId="5" fillId="0" borderId="3" xfId="0" applyFont="1" applyBorder="1"/>
    <xf numFmtId="0" fontId="27" fillId="2" borderId="3" xfId="0" applyFont="1" applyFill="1" applyBorder="1" applyAlignment="1" applyProtection="1">
      <alignment horizontal="center" vertical="center" wrapText="1"/>
      <protection locked="0"/>
    </xf>
    <xf numFmtId="0" fontId="5" fillId="2" borderId="12" xfId="0" applyFont="1" applyFill="1" applyBorder="1" applyAlignment="1">
      <alignment horizontal="center" vertical="center" wrapText="1"/>
    </xf>
    <xf numFmtId="0" fontId="5" fillId="0" borderId="3" xfId="0" applyFont="1" applyBorder="1" applyAlignment="1">
      <alignment wrapText="1"/>
    </xf>
    <xf numFmtId="0" fontId="5" fillId="0" borderId="3" xfId="0" applyFont="1" applyBorder="1" applyAlignment="1">
      <alignment vertical="top" wrapText="1"/>
    </xf>
    <xf numFmtId="0" fontId="5" fillId="0" borderId="3" xfId="0" applyFont="1" applyBorder="1" applyAlignment="1">
      <alignment horizontal="center" vertical="top" wrapText="1"/>
    </xf>
    <xf numFmtId="0" fontId="21" fillId="0" borderId="0" xfId="0" applyFont="1" applyAlignment="1">
      <alignment vertical="top" wrapText="1"/>
    </xf>
    <xf numFmtId="0" fontId="2" fillId="4" borderId="30" xfId="0" applyFont="1" applyFill="1" applyBorder="1"/>
    <xf numFmtId="0" fontId="2" fillId="4" borderId="31" xfId="0" applyFont="1" applyFill="1" applyBorder="1"/>
    <xf numFmtId="0" fontId="2" fillId="11" borderId="31" xfId="0" applyFont="1" applyFill="1" applyBorder="1"/>
    <xf numFmtId="0" fontId="2" fillId="11" borderId="32" xfId="0" applyFont="1" applyFill="1" applyBorder="1"/>
    <xf numFmtId="0" fontId="0" fillId="4" borderId="16" xfId="0" applyFill="1" applyBorder="1"/>
    <xf numFmtId="0" fontId="2" fillId="4" borderId="17" xfId="0" applyFont="1" applyFill="1" applyBorder="1" applyAlignment="1">
      <alignment horizontal="right"/>
    </xf>
    <xf numFmtId="0" fontId="0" fillId="11" borderId="23" xfId="0" applyFill="1" applyBorder="1"/>
    <xf numFmtId="0" fontId="23" fillId="11" borderId="23" xfId="0" applyFont="1" applyFill="1" applyBorder="1" applyAlignment="1">
      <alignment vertical="center"/>
    </xf>
    <xf numFmtId="0" fontId="23" fillId="11" borderId="17" xfId="0" applyFont="1" applyFill="1" applyBorder="1" applyAlignment="1">
      <alignment vertical="center"/>
    </xf>
    <xf numFmtId="0" fontId="2" fillId="11" borderId="16" xfId="0" applyFont="1" applyFill="1" applyBorder="1"/>
    <xf numFmtId="0" fontId="2" fillId="4" borderId="23" xfId="0" applyFont="1" applyFill="1" applyBorder="1" applyAlignment="1">
      <alignment horizontal="center"/>
    </xf>
    <xf numFmtId="0" fontId="22" fillId="0" borderId="0" xfId="0" applyFont="1"/>
    <xf numFmtId="0" fontId="13" fillId="6" borderId="7" xfId="0" applyFont="1" applyFill="1" applyBorder="1" applyAlignment="1">
      <alignment horizontal="center" vertical="center"/>
    </xf>
    <xf numFmtId="0" fontId="13" fillId="6" borderId="18" xfId="0" applyFont="1" applyFill="1" applyBorder="1" applyAlignment="1">
      <alignment horizontal="center" vertical="center"/>
    </xf>
    <xf numFmtId="0" fontId="13" fillId="6" borderId="15" xfId="0" applyFont="1" applyFill="1" applyBorder="1" applyAlignment="1">
      <alignment horizontal="center" vertical="center"/>
    </xf>
    <xf numFmtId="0" fontId="0" fillId="0" borderId="0" xfId="0"/>
    <xf numFmtId="0" fontId="14" fillId="0" borderId="0" xfId="0" applyFont="1" applyAlignment="1">
      <alignment horizontal="center"/>
    </xf>
    <xf numFmtId="0" fontId="1" fillId="0" borderId="0" xfId="0" applyFont="1" applyAlignment="1">
      <alignment horizontal="center"/>
    </xf>
    <xf numFmtId="0" fontId="16" fillId="0" borderId="0" xfId="0" applyFont="1" applyAlignment="1">
      <alignment vertical="center"/>
    </xf>
    <xf numFmtId="0" fontId="1" fillId="3" borderId="16"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0" fillId="0" borderId="0" xfId="0" applyFont="1" applyAlignment="1">
      <alignment horizontal="left" wrapText="1"/>
    </xf>
    <xf numFmtId="0" fontId="10" fillId="0" borderId="9" xfId="0" applyFont="1" applyBorder="1" applyAlignment="1">
      <alignment horizontal="left" wrapText="1"/>
    </xf>
    <xf numFmtId="0" fontId="11" fillId="3" borderId="12"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5" borderId="3"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0" fillId="0" borderId="7" xfId="0" applyFont="1" applyBorder="1" applyAlignment="1">
      <alignment horizontal="center" vertical="center" wrapText="1"/>
    </xf>
    <xf numFmtId="0" fontId="10" fillId="0" borderId="15" xfId="0" applyFont="1" applyBorder="1" applyAlignment="1">
      <alignment horizontal="center" vertical="center" wrapText="1"/>
    </xf>
    <xf numFmtId="0" fontId="11" fillId="3" borderId="14"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1" fillId="5" borderId="15" xfId="0" applyFont="1" applyFill="1" applyBorder="1" applyAlignment="1">
      <alignment horizontal="center" vertical="center" wrapText="1"/>
    </xf>
    <xf numFmtId="0" fontId="9" fillId="3" borderId="3" xfId="0" applyFont="1" applyFill="1" applyBorder="1" applyAlignment="1">
      <alignment horizontal="left" vertical="center" wrapText="1"/>
    </xf>
    <xf numFmtId="0" fontId="17" fillId="0" borderId="0" xfId="0" applyFont="1" applyAlignment="1">
      <alignment vertical="center"/>
    </xf>
    <xf numFmtId="0" fontId="21" fillId="0" borderId="0" xfId="0" applyFont="1" applyAlignment="1">
      <alignment vertical="top" wrapText="1"/>
    </xf>
    <xf numFmtId="0" fontId="24" fillId="0" borderId="0" xfId="0" applyFont="1" applyAlignment="1">
      <alignment horizontal="left" wrapText="1"/>
    </xf>
    <xf numFmtId="0" fontId="21" fillId="0" borderId="0" xfId="0" applyFont="1"/>
    <xf numFmtId="0" fontId="4" fillId="3" borderId="0" xfId="0" applyFont="1" applyFill="1" applyAlignment="1">
      <alignment horizontal="left" vertical="top" wrapText="1"/>
    </xf>
    <xf numFmtId="0" fontId="4" fillId="3" borderId="0" xfId="0" applyFont="1" applyFill="1" applyAlignment="1">
      <alignment vertical="top" wrapText="1"/>
    </xf>
    <xf numFmtId="0" fontId="0" fillId="3" borderId="0" xfId="0" applyFill="1" applyAlignment="1">
      <alignment horizontal="left" vertical="top" wrapText="1" readingOrder="1"/>
    </xf>
    <xf numFmtId="0" fontId="4" fillId="3" borderId="0" xfId="0" applyFont="1" applyFill="1" applyAlignment="1">
      <alignment vertical="top" wrapText="1" readingOrder="1"/>
    </xf>
    <xf numFmtId="0" fontId="0" fillId="3" borderId="0" xfId="0" applyFill="1" applyAlignment="1">
      <alignment vertical="top" wrapText="1" readingOrder="1"/>
    </xf>
    <xf numFmtId="0" fontId="2" fillId="3" borderId="13" xfId="0" applyFont="1" applyFill="1" applyBorder="1" applyAlignment="1">
      <alignment horizontal="center" vertical="center" wrapText="1"/>
    </xf>
    <xf numFmtId="0" fontId="0" fillId="3" borderId="14" xfId="0" applyFill="1" applyBorder="1" applyAlignment="1">
      <alignment horizontal="center" vertical="center" wrapText="1"/>
    </xf>
    <xf numFmtId="0" fontId="2" fillId="5" borderId="3" xfId="0" applyFont="1" applyFill="1" applyBorder="1" applyAlignment="1">
      <alignment horizontal="center" vertical="center" wrapText="1"/>
    </xf>
    <xf numFmtId="0" fontId="2" fillId="3" borderId="29"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5" xfId="0" applyFont="1" applyFill="1" applyBorder="1" applyAlignment="1">
      <alignment horizontal="center" vertical="center" wrapText="1"/>
    </xf>
    <xf numFmtId="0" fontId="0" fillId="0" borderId="9" xfId="0" applyBorder="1" applyAlignment="1">
      <alignment horizontal="left" wrapText="1"/>
    </xf>
    <xf numFmtId="0" fontId="0" fillId="0" borderId="0" xfId="0" applyAlignment="1">
      <alignment horizontal="left" wrapText="1"/>
    </xf>
    <xf numFmtId="0" fontId="2" fillId="3" borderId="3" xfId="0" applyFont="1" applyFill="1" applyBorder="1" applyAlignment="1">
      <alignment horizontal="center" vertical="center" wrapText="1"/>
    </xf>
    <xf numFmtId="0" fontId="6" fillId="4" borderId="3" xfId="0" applyFont="1" applyFill="1" applyBorder="1" applyAlignment="1">
      <alignment vertical="center" wrapText="1"/>
    </xf>
    <xf numFmtId="0" fontId="7" fillId="3" borderId="5" xfId="0" applyFont="1" applyFill="1" applyBorder="1" applyAlignment="1">
      <alignment vertical="top"/>
    </xf>
    <xf numFmtId="0" fontId="0" fillId="0" borderId="6" xfId="0" applyBorder="1"/>
    <xf numFmtId="0" fontId="0" fillId="0" borderId="19" xfId="0" applyBorder="1"/>
    <xf numFmtId="0" fontId="0" fillId="0" borderId="20" xfId="0" applyBorder="1"/>
    <xf numFmtId="0" fontId="0" fillId="0" borderId="21" xfId="0" applyBorder="1"/>
    <xf numFmtId="0" fontId="0" fillId="0" borderId="22" xfId="0" applyBorder="1"/>
    <xf numFmtId="0" fontId="15" fillId="7" borderId="16" xfId="0" applyFont="1" applyFill="1" applyBorder="1"/>
    <xf numFmtId="0" fontId="0" fillId="0" borderId="23" xfId="0" applyBorder="1"/>
    <xf numFmtId="0" fontId="0" fillId="0" borderId="17" xfId="0" applyBorder="1"/>
    <xf numFmtId="0" fontId="7" fillId="8" borderId="5" xfId="0" applyFont="1" applyFill="1" applyBorder="1"/>
    <xf numFmtId="0" fontId="0" fillId="8" borderId="6" xfId="0" applyFill="1" applyBorder="1"/>
    <xf numFmtId="0" fontId="7" fillId="4" borderId="3" xfId="0" applyFont="1" applyFill="1" applyBorder="1" applyAlignment="1">
      <alignment horizontal="left" vertical="top"/>
    </xf>
    <xf numFmtId="0" fontId="0" fillId="4" borderId="3" xfId="0" applyFill="1" applyBorder="1" applyAlignment="1">
      <alignment horizontal="left" vertical="top"/>
    </xf>
    <xf numFmtId="0" fontId="7" fillId="5" borderId="3" xfId="0" applyFont="1" applyFill="1" applyBorder="1" applyAlignment="1">
      <alignment horizontal="center" vertical="center"/>
    </xf>
    <xf numFmtId="0" fontId="0" fillId="0" borderId="3" xfId="0" applyBorder="1" applyAlignment="1">
      <alignment horizontal="center" vertical="center"/>
    </xf>
    <xf numFmtId="0" fontId="6" fillId="4" borderId="7" xfId="0" applyFont="1" applyFill="1" applyBorder="1" applyAlignment="1">
      <alignment vertical="top" wrapText="1"/>
    </xf>
    <xf numFmtId="0" fontId="6" fillId="0" borderId="18" xfId="0" applyFont="1" applyBorder="1" applyAlignment="1">
      <alignment vertical="top" wrapText="1"/>
    </xf>
    <xf numFmtId="0" fontId="6" fillId="0" borderId="15" xfId="0" applyFont="1" applyBorder="1" applyAlignment="1">
      <alignment vertical="top" wrapText="1"/>
    </xf>
    <xf numFmtId="0" fontId="6" fillId="4" borderId="7" xfId="0" applyFont="1" applyFill="1" applyBorder="1" applyAlignment="1">
      <alignment horizontal="left" vertical="top" wrapText="1"/>
    </xf>
    <xf numFmtId="0" fontId="6" fillId="0" borderId="18" xfId="0" applyFont="1" applyBorder="1" applyAlignment="1">
      <alignment horizontal="left" vertical="top"/>
    </xf>
    <xf numFmtId="0" fontId="6" fillId="0" borderId="15" xfId="0" applyFont="1" applyBorder="1" applyAlignment="1">
      <alignment horizontal="left" vertical="top"/>
    </xf>
    <xf numFmtId="0" fontId="7" fillId="5" borderId="7" xfId="0" applyFont="1" applyFill="1" applyBorder="1" applyAlignment="1">
      <alignment horizontal="center" vertical="center"/>
    </xf>
    <xf numFmtId="0" fontId="7" fillId="0" borderId="15" xfId="0" applyFont="1" applyBorder="1" applyAlignment="1">
      <alignment horizontal="center" vertical="center"/>
    </xf>
    <xf numFmtId="0" fontId="7" fillId="0" borderId="18" xfId="0" applyFont="1" applyBorder="1" applyAlignment="1">
      <alignment horizontal="center" vertical="center"/>
    </xf>
    <xf numFmtId="0" fontId="7" fillId="8" borderId="16" xfId="0" applyFont="1" applyFill="1" applyBorder="1"/>
    <xf numFmtId="0" fontId="0" fillId="8" borderId="23" xfId="0" applyFill="1" applyBorder="1"/>
    <xf numFmtId="49" fontId="7" fillId="5" borderId="8" xfId="0" applyNumberFormat="1" applyFont="1" applyFill="1" applyBorder="1" applyAlignment="1">
      <alignment horizontal="center" vertical="center"/>
    </xf>
    <xf numFmtId="49" fontId="7" fillId="5" borderId="8" xfId="0" applyNumberFormat="1" applyFont="1" applyFill="1" applyBorder="1" applyAlignment="1">
      <alignment horizontal="center"/>
    </xf>
    <xf numFmtId="49" fontId="6" fillId="4" borderId="7" xfId="0" applyNumberFormat="1" applyFont="1" applyFill="1" applyBorder="1" applyAlignment="1">
      <alignment horizontal="left" vertical="center"/>
    </xf>
    <xf numFmtId="0" fontId="6" fillId="0" borderId="18" xfId="0" applyFont="1" applyBorder="1" applyAlignment="1">
      <alignment horizontal="left" vertical="center"/>
    </xf>
    <xf numFmtId="0" fontId="6" fillId="0" borderId="15" xfId="0" applyFont="1" applyBorder="1" applyAlignment="1">
      <alignment horizontal="left" vertical="center"/>
    </xf>
    <xf numFmtId="0" fontId="6" fillId="4" borderId="3" xfId="0" applyFont="1" applyFill="1" applyBorder="1" applyAlignment="1">
      <alignment horizontal="left" vertical="center" wrapText="1"/>
    </xf>
    <xf numFmtId="0" fontId="0" fillId="4" borderId="3" xfId="0" applyFill="1" applyBorder="1" applyAlignment="1">
      <alignment horizontal="left" vertical="center" wrapText="1"/>
    </xf>
    <xf numFmtId="0" fontId="6" fillId="0" borderId="18" xfId="0" applyFont="1" applyBorder="1" applyAlignment="1">
      <alignment horizontal="left" vertical="top" wrapText="1"/>
    </xf>
    <xf numFmtId="0" fontId="6" fillId="0" borderId="15" xfId="0" applyFont="1" applyBorder="1" applyAlignment="1">
      <alignment horizontal="left" vertical="top" wrapText="1"/>
    </xf>
    <xf numFmtId="0" fontId="6" fillId="4" borderId="7" xfId="0" applyFont="1" applyFill="1" applyBorder="1" applyAlignment="1">
      <alignment wrapText="1"/>
    </xf>
    <xf numFmtId="0" fontId="6" fillId="0" borderId="18" xfId="0" applyFont="1" applyBorder="1" applyAlignment="1">
      <alignment wrapText="1"/>
    </xf>
    <xf numFmtId="0" fontId="6" fillId="0" borderId="15" xfId="0" applyFont="1" applyBorder="1" applyAlignment="1">
      <alignment wrapText="1"/>
    </xf>
    <xf numFmtId="49" fontId="6" fillId="4" borderId="3" xfId="0" applyNumberFormat="1" applyFont="1" applyFill="1" applyBorder="1" applyAlignment="1">
      <alignment horizontal="left" vertical="center" wrapText="1"/>
    </xf>
    <xf numFmtId="49" fontId="6" fillId="4" borderId="3" xfId="0" applyNumberFormat="1" applyFont="1" applyFill="1" applyBorder="1" applyAlignment="1">
      <alignment horizontal="left" vertical="center"/>
    </xf>
    <xf numFmtId="0" fontId="6" fillId="4" borderId="3" xfId="0" applyFont="1" applyFill="1" applyBorder="1" applyAlignment="1">
      <alignment horizontal="left" vertical="center"/>
    </xf>
    <xf numFmtId="0" fontId="7" fillId="3" borderId="5" xfId="0" applyFont="1" applyFill="1" applyBorder="1" applyAlignment="1">
      <alignment vertical="center"/>
    </xf>
    <xf numFmtId="0" fontId="0" fillId="0" borderId="6"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6" fillId="4" borderId="7" xfId="1" applyFont="1" applyFill="1" applyBorder="1" applyAlignment="1">
      <alignment vertical="top" wrapText="1"/>
    </xf>
    <xf numFmtId="0" fontId="4" fillId="0" borderId="18" xfId="1" applyBorder="1" applyAlignment="1">
      <alignment vertical="top" wrapText="1"/>
    </xf>
    <xf numFmtId="0" fontId="4" fillId="0" borderId="15" xfId="1" applyBorder="1" applyAlignment="1">
      <alignment vertical="top" wrapText="1"/>
    </xf>
    <xf numFmtId="49" fontId="6" fillId="4" borderId="7" xfId="1" applyNumberFormat="1" applyFont="1" applyFill="1" applyBorder="1" applyAlignment="1">
      <alignment horizontal="left" vertical="center"/>
    </xf>
    <xf numFmtId="0" fontId="6" fillId="0" borderId="18" xfId="1" applyFont="1" applyBorder="1" applyAlignment="1">
      <alignment horizontal="left" vertical="center"/>
    </xf>
    <xf numFmtId="0" fontId="6" fillId="0" borderId="15" xfId="1" applyFont="1" applyBorder="1" applyAlignment="1">
      <alignment horizontal="left" vertical="center"/>
    </xf>
    <xf numFmtId="0" fontId="6" fillId="4" borderId="3" xfId="1" applyFont="1" applyFill="1" applyBorder="1" applyAlignment="1">
      <alignment horizontal="left" vertical="center" wrapText="1"/>
    </xf>
    <xf numFmtId="0" fontId="4" fillId="4" borderId="3" xfId="1" applyFill="1" applyBorder="1" applyAlignment="1">
      <alignment horizontal="left" vertical="center" wrapText="1"/>
    </xf>
    <xf numFmtId="0" fontId="6" fillId="4" borderId="3" xfId="1" applyFont="1" applyFill="1" applyBorder="1" applyAlignment="1">
      <alignment horizontal="left" vertical="center"/>
    </xf>
    <xf numFmtId="49" fontId="6" fillId="9" borderId="25" xfId="1" applyNumberFormat="1" applyFont="1" applyFill="1" applyBorder="1" applyAlignment="1">
      <alignment horizontal="center" vertical="center" wrapText="1"/>
    </xf>
    <xf numFmtId="0" fontId="6" fillId="9" borderId="24" xfId="1" applyFont="1" applyFill="1" applyBorder="1" applyAlignment="1">
      <alignment horizontal="center" vertical="center" wrapText="1"/>
    </xf>
    <xf numFmtId="0" fontId="6" fillId="9" borderId="8" xfId="1" applyFont="1" applyFill="1" applyBorder="1" applyAlignment="1">
      <alignment horizontal="center" vertical="center" wrapText="1"/>
    </xf>
    <xf numFmtId="49" fontId="6" fillId="9" borderId="8" xfId="1" applyNumberFormat="1" applyFont="1" applyFill="1" applyBorder="1" applyAlignment="1">
      <alignment horizontal="center" vertical="center"/>
    </xf>
    <xf numFmtId="0" fontId="6" fillId="9" borderId="8" xfId="1" applyFont="1" applyFill="1" applyBorder="1" applyAlignment="1">
      <alignment horizontal="center"/>
    </xf>
    <xf numFmtId="0" fontId="6" fillId="9" borderId="3" xfId="1" applyFont="1" applyFill="1" applyBorder="1" applyAlignment="1">
      <alignment horizontal="center"/>
    </xf>
    <xf numFmtId="0" fontId="7" fillId="8" borderId="16" xfId="1" applyFont="1" applyFill="1" applyBorder="1"/>
    <xf numFmtId="0" fontId="4" fillId="0" borderId="23" xfId="1" applyBorder="1"/>
    <xf numFmtId="0" fontId="4" fillId="0" borderId="17" xfId="1" applyBorder="1"/>
    <xf numFmtId="49" fontId="6" fillId="4" borderId="7" xfId="0" applyNumberFormat="1" applyFont="1" applyFill="1" applyBorder="1" applyAlignment="1">
      <alignment vertical="top" wrapText="1"/>
    </xf>
    <xf numFmtId="0" fontId="0" fillId="0" borderId="18" xfId="0" applyBorder="1" applyAlignment="1">
      <alignment vertical="top" wrapText="1"/>
    </xf>
    <xf numFmtId="0" fontId="0" fillId="0" borderId="15" xfId="0" applyBorder="1" applyAlignment="1">
      <alignment vertical="top" wrapText="1"/>
    </xf>
    <xf numFmtId="49" fontId="6" fillId="9" borderId="25" xfId="0" applyNumberFormat="1" applyFont="1" applyFill="1" applyBorder="1" applyAlignment="1">
      <alignment horizontal="center" vertical="center" wrapText="1"/>
    </xf>
    <xf numFmtId="0" fontId="6" fillId="9" borderId="24" xfId="0" applyFont="1" applyFill="1" applyBorder="1" applyAlignment="1">
      <alignment horizontal="center" vertical="center" wrapText="1"/>
    </xf>
    <xf numFmtId="0" fontId="6" fillId="9" borderId="8" xfId="0" applyFont="1" applyFill="1" applyBorder="1" applyAlignment="1">
      <alignment horizontal="center" vertical="center" wrapText="1"/>
    </xf>
    <xf numFmtId="49" fontId="6" fillId="9" borderId="8" xfId="0" applyNumberFormat="1" applyFont="1" applyFill="1" applyBorder="1" applyAlignment="1">
      <alignment horizontal="center" vertical="center"/>
    </xf>
    <xf numFmtId="0" fontId="6" fillId="9" borderId="8" xfId="0" applyFont="1" applyFill="1" applyBorder="1" applyAlignment="1">
      <alignment horizontal="center"/>
    </xf>
    <xf numFmtId="0" fontId="6" fillId="9" borderId="3" xfId="0" applyFont="1" applyFill="1" applyBorder="1" applyAlignment="1">
      <alignment horizontal="center"/>
    </xf>
    <xf numFmtId="0" fontId="9" fillId="3" borderId="7" xfId="0" applyFont="1" applyFill="1" applyBorder="1" applyAlignment="1">
      <alignment horizontal="left" wrapText="1"/>
    </xf>
    <xf numFmtId="0" fontId="9" fillId="3" borderId="18" xfId="0" applyFont="1" applyFill="1" applyBorder="1" applyAlignment="1">
      <alignment horizontal="left" wrapText="1"/>
    </xf>
    <xf numFmtId="0" fontId="10" fillId="0" borderId="7" xfId="0" applyFont="1" applyBorder="1" applyAlignment="1">
      <alignment horizontal="center" wrapText="1"/>
    </xf>
    <xf numFmtId="0" fontId="10" fillId="0" borderId="15" xfId="0" applyFont="1" applyBorder="1" applyAlignment="1">
      <alignment horizontal="center" wrapText="1"/>
    </xf>
    <xf numFmtId="0" fontId="2" fillId="5" borderId="3" xfId="0" applyFont="1" applyFill="1" applyBorder="1" applyAlignment="1">
      <alignment horizontal="center" wrapText="1"/>
    </xf>
    <xf numFmtId="0" fontId="2" fillId="3" borderId="13" xfId="0" applyFont="1" applyFill="1" applyBorder="1" applyAlignment="1">
      <alignment horizontal="center" vertical="top" wrapText="1"/>
    </xf>
    <xf numFmtId="0" fontId="0" fillId="3" borderId="14" xfId="0" applyFill="1" applyBorder="1" applyAlignment="1">
      <alignment horizontal="center" vertical="top" wrapText="1"/>
    </xf>
    <xf numFmtId="0" fontId="2" fillId="3" borderId="12" xfId="0" applyFont="1" applyFill="1" applyBorder="1" applyAlignment="1">
      <alignment horizontal="center" vertical="top" wrapText="1"/>
    </xf>
    <xf numFmtId="0" fontId="2" fillId="3" borderId="2" xfId="0" applyFont="1" applyFill="1" applyBorder="1" applyAlignment="1">
      <alignment horizontal="center" vertical="top" wrapText="1"/>
    </xf>
    <xf numFmtId="0" fontId="2" fillId="3" borderId="14" xfId="0" applyFont="1" applyFill="1" applyBorder="1" applyAlignment="1">
      <alignment horizontal="center" vertical="top" wrapText="1"/>
    </xf>
    <xf numFmtId="0" fontId="2" fillId="5" borderId="7" xfId="0" applyFont="1" applyFill="1" applyBorder="1" applyAlignment="1">
      <alignment horizontal="center" wrapText="1"/>
    </xf>
    <xf numFmtId="0" fontId="2" fillId="5" borderId="15" xfId="0" applyFont="1" applyFill="1" applyBorder="1" applyAlignment="1">
      <alignment horizontal="center" wrapText="1"/>
    </xf>
  </cellXfs>
  <cellStyles count="2">
    <cellStyle name="Normal" xfId="0" builtinId="0"/>
    <cellStyle name="Normal 2" xfId="1" xr:uid="{00000000-0005-0000-0000-000001000000}"/>
  </cellStyles>
  <dxfs count="25">
    <dxf>
      <font>
        <color theme="0"/>
      </font>
      <fill>
        <patternFill>
          <bgColor rgb="FFFF0000"/>
        </patternFill>
      </fill>
    </dxf>
    <dxf>
      <fill>
        <patternFill>
          <bgColor rgb="FFFFC000"/>
        </patternFill>
      </fill>
    </dxf>
    <dxf>
      <fill>
        <patternFill>
          <bgColor rgb="FFFFFF00"/>
        </patternFill>
      </fill>
    </dxf>
    <dxf>
      <fill>
        <patternFill>
          <bgColor rgb="FF00CCFF"/>
        </patternFill>
      </fill>
    </dxf>
    <dxf>
      <border>
        <left style="dashDotDot">
          <color rgb="FFFF0000"/>
        </left>
        <right style="dashDotDot">
          <color rgb="FFFF0000"/>
        </right>
        <top style="dashDotDot">
          <color rgb="FFFF0000"/>
        </top>
        <bottom style="dashDotDot">
          <color rgb="FFFF0000"/>
        </bottom>
        <vertical/>
        <horizontal/>
      </border>
    </dxf>
    <dxf>
      <font>
        <color theme="0"/>
      </font>
      <fill>
        <patternFill>
          <bgColor rgb="FFFF0000"/>
        </patternFill>
      </fill>
    </dxf>
    <dxf>
      <fill>
        <patternFill>
          <bgColor rgb="FFFFC000"/>
        </patternFill>
      </fill>
    </dxf>
    <dxf>
      <fill>
        <patternFill>
          <bgColor rgb="FFFFFF00"/>
        </patternFill>
      </fill>
    </dxf>
    <dxf>
      <font>
        <color auto="1"/>
      </font>
      <fill>
        <patternFill>
          <bgColor rgb="FF00CCFF"/>
        </patternFill>
      </fill>
    </dxf>
    <dxf>
      <fill>
        <patternFill>
          <bgColor theme="0"/>
        </patternFill>
      </fill>
    </dxf>
    <dxf>
      <font>
        <color theme="0"/>
      </font>
    </dxf>
    <dxf>
      <fill>
        <patternFill>
          <bgColor theme="0"/>
        </patternFill>
      </fill>
    </dxf>
    <dxf>
      <font>
        <color theme="0"/>
      </font>
    </dxf>
    <dxf>
      <border>
        <left style="dashDotDot">
          <color rgb="FFFF0000"/>
        </left>
        <right style="dashDotDot">
          <color rgb="FFFF0000"/>
        </right>
        <top style="dashDotDot">
          <color rgb="FFFF0000"/>
        </top>
        <bottom style="dashDotDot">
          <color rgb="FFFF0000"/>
        </bottom>
      </border>
    </dxf>
    <dxf>
      <font>
        <color theme="0"/>
      </font>
      <fill>
        <patternFill>
          <bgColor rgb="FFFF0000"/>
        </patternFill>
      </fill>
    </dxf>
    <dxf>
      <fill>
        <patternFill>
          <bgColor rgb="FFFFC000"/>
        </patternFill>
      </fill>
    </dxf>
    <dxf>
      <fill>
        <patternFill>
          <bgColor rgb="FFFFFF00"/>
        </patternFill>
      </fill>
    </dxf>
    <dxf>
      <font>
        <color auto="1"/>
      </font>
      <fill>
        <patternFill>
          <bgColor rgb="FF00CCFF"/>
        </patternFill>
      </fill>
    </dxf>
    <dxf>
      <font>
        <color theme="0"/>
      </font>
      <fill>
        <patternFill>
          <bgColor rgb="FFC00000"/>
        </patternFill>
      </fill>
    </dxf>
    <dxf>
      <fill>
        <patternFill>
          <bgColor rgb="FFFFC000"/>
        </patternFill>
      </fill>
    </dxf>
    <dxf>
      <fill>
        <patternFill>
          <bgColor rgb="FFFFFF00"/>
        </patternFill>
      </fill>
    </dxf>
    <dxf>
      <fill>
        <patternFill>
          <bgColor rgb="FF00B0F0"/>
        </patternFill>
      </fill>
    </dxf>
    <dxf>
      <fill>
        <patternFill>
          <bgColor theme="0"/>
        </patternFill>
      </fill>
    </dxf>
    <dxf>
      <font>
        <color theme="0"/>
      </font>
    </dxf>
    <dxf>
      <font>
        <color theme="0"/>
      </font>
    </dxf>
  </dxfs>
  <tableStyles count="0" defaultTableStyle="TableStyleMedium2" defaultPivotStyle="PivotStyleLight16"/>
  <colors>
    <mruColors>
      <color rgb="FF0000FF"/>
      <color rgb="FFFFF7E1"/>
      <color rgb="FF00CCFF"/>
      <color rgb="FFFF8181"/>
      <color rgb="FFFFFF85"/>
      <color rgb="FF5DD5FF"/>
      <color rgb="FF5DFFA6"/>
      <color rgb="FFFF6969"/>
      <color rgb="FFFF5B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53788</xdr:colOff>
      <xdr:row>0</xdr:row>
      <xdr:rowOff>105335</xdr:rowOff>
    </xdr:from>
    <xdr:to>
      <xdr:col>1</xdr:col>
      <xdr:colOff>10832</xdr:colOff>
      <xdr:row>6</xdr:row>
      <xdr:rowOff>80530</xdr:rowOff>
    </xdr:to>
    <xdr:pic>
      <xdr:nvPicPr>
        <xdr:cNvPr id="3" name="Picture 2" descr="Centers for Medicare &amp; Medicaid Services (CMS)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88" y="105335"/>
          <a:ext cx="2662518" cy="1280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21772</xdr:colOff>
      <xdr:row>0</xdr:row>
      <xdr:rowOff>65316</xdr:rowOff>
    </xdr:from>
    <xdr:to>
      <xdr:col>0</xdr:col>
      <xdr:colOff>1812222</xdr:colOff>
      <xdr:row>4</xdr:row>
      <xdr:rowOff>21772</xdr:rowOff>
    </xdr:to>
    <xdr:pic>
      <xdr:nvPicPr>
        <xdr:cNvPr id="1232" name="Picture 1" descr="Centers for Medicare &amp; Medicaid Services (CMS) logo">
          <a:extLst>
            <a:ext uri="{FF2B5EF4-FFF2-40B4-BE49-F238E27FC236}">
              <a16:creationId xmlns:a16="http://schemas.microsoft.com/office/drawing/2014/main" id="{00000000-0008-0000-0100-0000D004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772" y="65316"/>
          <a:ext cx="1799975" cy="7511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19050</xdr:rowOff>
    </xdr:from>
    <xdr:to>
      <xdr:col>2</xdr:col>
      <xdr:colOff>248889</xdr:colOff>
      <xdr:row>6</xdr:row>
      <xdr:rowOff>19050</xdr:rowOff>
    </xdr:to>
    <xdr:pic>
      <xdr:nvPicPr>
        <xdr:cNvPr id="2" name="Picture 1" descr="Centers for Medicare &amp; Medicaid Services (CMS) logo">
          <a:extLst>
            <a:ext uri="{FF2B5EF4-FFF2-40B4-BE49-F238E27FC236}">
              <a16:creationId xmlns:a16="http://schemas.microsoft.com/office/drawing/2014/main" id="{E8A62A8E-46E9-4D19-815F-15CF7623B6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19050"/>
          <a:ext cx="2255578"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820044</xdr:colOff>
      <xdr:row>6</xdr:row>
      <xdr:rowOff>202148</xdr:rowOff>
    </xdr:from>
    <xdr:to>
      <xdr:col>2</xdr:col>
      <xdr:colOff>1216526</xdr:colOff>
      <xdr:row>8</xdr:row>
      <xdr:rowOff>53992</xdr:rowOff>
    </xdr:to>
    <xdr:grpSp>
      <xdr:nvGrpSpPr>
        <xdr:cNvPr id="2" name="Group 1">
          <a:extLst>
            <a:ext uri="{FF2B5EF4-FFF2-40B4-BE49-F238E27FC236}">
              <a16:creationId xmlns:a16="http://schemas.microsoft.com/office/drawing/2014/main" id="{7256B3BE-A490-4861-B54A-D85CD0AEA45F}"/>
            </a:ext>
          </a:extLst>
        </xdr:cNvPr>
        <xdr:cNvGrpSpPr/>
      </xdr:nvGrpSpPr>
      <xdr:grpSpPr>
        <a:xfrm>
          <a:off x="3879950" y="1523742"/>
          <a:ext cx="396482" cy="375719"/>
          <a:chOff x="6278047" y="3846512"/>
          <a:chExt cx="392672" cy="392113"/>
        </a:xfrm>
      </xdr:grpSpPr>
      <xdr:sp macro="" textlink="">
        <xdr:nvSpPr>
          <xdr:cNvPr id="3" name="Oval 2">
            <a:extLst>
              <a:ext uri="{FF2B5EF4-FFF2-40B4-BE49-F238E27FC236}">
                <a16:creationId xmlns:a16="http://schemas.microsoft.com/office/drawing/2014/main" id="{FB28F4A2-EB29-1479-D4C6-CDF0E88C5982}"/>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4" name="TextBox 3">
            <a:extLst>
              <a:ext uri="{FF2B5EF4-FFF2-40B4-BE49-F238E27FC236}">
                <a16:creationId xmlns:a16="http://schemas.microsoft.com/office/drawing/2014/main" id="{BFAEB3D1-5DFB-B9D9-99A6-2B6C52FB050F}"/>
              </a:ext>
            </a:extLst>
          </xdr:cNvPr>
          <xdr:cNvSpPr txBox="1"/>
        </xdr:nvSpPr>
        <xdr:spPr bwMode="auto">
          <a:xfrm>
            <a:off x="6278047" y="3854786"/>
            <a:ext cx="392672" cy="379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 3</a:t>
            </a:r>
          </a:p>
        </xdr:txBody>
      </xdr:sp>
    </xdr:grpSp>
    <xdr:clientData/>
  </xdr:twoCellAnchor>
  <xdr:oneCellAnchor>
    <xdr:from>
      <xdr:col>0</xdr:col>
      <xdr:colOff>190500</xdr:colOff>
      <xdr:row>21</xdr:row>
      <xdr:rowOff>11422</xdr:rowOff>
    </xdr:from>
    <xdr:ext cx="16440150" cy="31873516"/>
    <xdr:sp macro="" textlink="">
      <xdr:nvSpPr>
        <xdr:cNvPr id="5" name="TextBox 90">
          <a:extLst>
            <a:ext uri="{FF2B5EF4-FFF2-40B4-BE49-F238E27FC236}">
              <a16:creationId xmlns:a16="http://schemas.microsoft.com/office/drawing/2014/main" id="{530C82E3-87C5-474D-88B4-DB4CC7E15AEF}"/>
            </a:ext>
          </a:extLst>
        </xdr:cNvPr>
        <xdr:cNvSpPr txBox="1"/>
      </xdr:nvSpPr>
      <xdr:spPr>
        <a:xfrm>
          <a:off x="190500" y="3345172"/>
          <a:ext cx="16440150" cy="31873516"/>
        </a:xfrm>
        <a:prstGeom prst="rect">
          <a:avLst/>
        </a:prstGeom>
        <a:solidFill>
          <a:schemeClr val="bg1">
            <a:lumMod val="95000"/>
          </a:schemeClr>
        </a:solidFill>
        <a:ln w="76200" cmpd="thickThin">
          <a:solidFill>
            <a:schemeClr val="tx1"/>
          </a:solidFill>
          <a:beve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i="0">
              <a:solidFill>
                <a:schemeClr val="tx1"/>
              </a:solidFill>
              <a:effectLst/>
              <a:latin typeface="Arial" panose="020B0604020202020204" pitchFamily="34" charset="0"/>
              <a:ea typeface="+mn-ea"/>
              <a:cs typeface="Arial" panose="020B0604020202020204" pitchFamily="34" charset="0"/>
            </a:rPr>
            <a:t>1</a:t>
          </a:r>
          <a:r>
            <a:rPr lang="en-US" sz="1400" b="0" i="0">
              <a:solidFill>
                <a:schemeClr val="tx1"/>
              </a:solidFill>
              <a:effectLst/>
              <a:latin typeface="Arial" panose="020B0604020202020204" pitchFamily="34" charset="0"/>
              <a:ea typeface="+mn-ea"/>
              <a:cs typeface="Arial" panose="020B0604020202020204" pitchFamily="34" charset="0"/>
            </a:rPr>
            <a:t>.  </a:t>
          </a:r>
          <a:r>
            <a:rPr lang="en-US" sz="1400" b="1" i="0" baseline="0">
              <a:solidFill>
                <a:schemeClr val="tx1"/>
              </a:solidFill>
              <a:effectLst/>
              <a:latin typeface="Arial" panose="020B0604020202020204" pitchFamily="34" charset="0"/>
              <a:ea typeface="+mn-ea"/>
              <a:cs typeface="Arial" panose="020B0604020202020204" pitchFamily="34" charset="0"/>
            </a:rPr>
            <a:t>Administering Entity: </a:t>
          </a:r>
          <a:r>
            <a:rPr lang="en-US" sz="1400" b="0" i="0" baseline="0">
              <a:solidFill>
                <a:schemeClr val="tx1"/>
              </a:solidFill>
              <a:effectLst/>
              <a:latin typeface="Arial" panose="020B0604020202020204" pitchFamily="34" charset="0"/>
              <a:ea typeface="+mn-ea"/>
              <a:cs typeface="Arial" panose="020B0604020202020204" pitchFamily="34" charset="0"/>
            </a:rPr>
            <a:t>Enter the state, territory or name of the administering entity.</a:t>
          </a:r>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400" b="1" i="0" u="none" strike="noStrike">
              <a:solidFill>
                <a:schemeClr val="tx1"/>
              </a:solidFill>
              <a:effectLst/>
              <a:latin typeface="Arial" panose="020B0604020202020204" pitchFamily="34" charset="0"/>
              <a:ea typeface="+mn-ea"/>
              <a:cs typeface="Arial" panose="020B0604020202020204" pitchFamily="34" charset="0"/>
            </a:rPr>
            <a:t>2.  </a:t>
          </a:r>
          <a:r>
            <a:rPr lang="en-US" sz="1400" b="1" i="0">
              <a:solidFill>
                <a:schemeClr val="tx1"/>
              </a:solidFill>
              <a:effectLst/>
              <a:latin typeface="Arial" panose="020B0604020202020204" pitchFamily="34" charset="0"/>
              <a:ea typeface="+mn-ea"/>
              <a:cs typeface="Arial" panose="020B0604020202020204" pitchFamily="34" charset="0"/>
            </a:rPr>
            <a:t>System Name:</a:t>
          </a:r>
          <a:r>
            <a:rPr lang="en-US" sz="1400" b="1" i="0" baseline="0">
              <a:solidFill>
                <a:schemeClr val="tx1"/>
              </a:solidFill>
              <a:effectLst/>
              <a:latin typeface="Arial" panose="020B0604020202020204" pitchFamily="34" charset="0"/>
              <a:ea typeface="+mn-ea"/>
              <a:cs typeface="Arial" panose="020B0604020202020204" pitchFamily="34" charset="0"/>
            </a:rPr>
            <a:t> </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E</a:t>
          </a:r>
          <a:r>
            <a:rPr lang="en-US" sz="1400" b="0" i="0" baseline="0">
              <a:solidFill>
                <a:schemeClr val="tx1"/>
              </a:solidFill>
              <a:effectLst/>
              <a:latin typeface="Arial" panose="020B0604020202020204" pitchFamily="34" charset="0"/>
              <a:ea typeface="+mn-ea"/>
              <a:cs typeface="Arial" panose="020B0604020202020204" pitchFamily="34" charset="0"/>
            </a:rPr>
            <a:t>nter the system name.</a:t>
          </a:r>
          <a:endParaRPr lang="en-US" sz="1400" b="1" i="0" u="none" strike="noStrike">
            <a:solidFill>
              <a:schemeClr val="tx1"/>
            </a:solidFill>
            <a:effectLst/>
            <a:latin typeface="Arial" panose="020B0604020202020204" pitchFamily="34" charset="0"/>
            <a:ea typeface="+mn-ea"/>
            <a:cs typeface="Arial" panose="020B0604020202020204" pitchFamily="34" charset="0"/>
          </a:endParaRPr>
        </a:p>
        <a:p>
          <a:endParaRPr lang="en-US" sz="1400" b="1" i="0" u="none" strike="noStrike">
            <a:solidFill>
              <a:schemeClr val="tx1"/>
            </a:solidFill>
            <a:effectLst/>
            <a:latin typeface="Arial" panose="020B0604020202020204" pitchFamily="34" charset="0"/>
            <a:ea typeface="+mn-ea"/>
            <a:cs typeface="Arial" panose="020B0604020202020204" pitchFamily="34" charset="0"/>
          </a:endParaRPr>
        </a:p>
        <a:p>
          <a:r>
            <a:rPr lang="en-US" sz="1400" b="1" i="0" u="none" strike="noStrike">
              <a:solidFill>
                <a:schemeClr val="tx1"/>
              </a:solidFill>
              <a:effectLst/>
              <a:latin typeface="Arial" panose="020B0604020202020204" pitchFamily="34" charset="0"/>
              <a:ea typeface="+mn-ea"/>
              <a:cs typeface="Arial" panose="020B0604020202020204" pitchFamily="34" charset="0"/>
            </a:rPr>
            <a:t>3.  System Acronym:</a:t>
          </a:r>
          <a:r>
            <a:rPr lang="en-US" sz="1400" b="1" i="0" u="none" strike="noStrike" baseline="0">
              <a:solidFill>
                <a:schemeClr val="tx1"/>
              </a:solidFill>
              <a:effectLst/>
              <a:latin typeface="Arial" panose="020B0604020202020204" pitchFamily="34" charset="0"/>
              <a:ea typeface="+mn-ea"/>
              <a:cs typeface="Arial" panose="020B0604020202020204" pitchFamily="34" charset="0"/>
            </a:rPr>
            <a:t> </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Enter the system acronym.</a:t>
          </a:r>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r>
            <a:rPr lang="en-US" sz="1400" b="1" i="0" u="none" strike="noStrike">
              <a:solidFill>
                <a:schemeClr val="tx1"/>
              </a:solidFill>
              <a:effectLst/>
              <a:latin typeface="Arial" panose="020B0604020202020204" pitchFamily="34" charset="0"/>
              <a:ea typeface="+mn-ea"/>
              <a:cs typeface="Arial" panose="020B0604020202020204" pitchFamily="34" charset="0"/>
            </a:rPr>
            <a:t>4.  Current Fiscal Year: </a:t>
          </a:r>
          <a:r>
            <a:rPr lang="en-US" sz="1400" b="0" i="0" u="none" strike="noStrike">
              <a:solidFill>
                <a:schemeClr val="tx1"/>
              </a:solidFill>
              <a:effectLst/>
              <a:latin typeface="Arial" panose="020B0604020202020204" pitchFamily="34" charset="0"/>
              <a:ea typeface="+mn-ea"/>
              <a:cs typeface="Arial" panose="020B0604020202020204" pitchFamily="34" charset="0"/>
            </a:rPr>
            <a:t>E</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nter the current fiscal year.</a:t>
          </a:r>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r>
            <a:rPr lang="en-US" sz="1400" b="1" i="0" u="none" strike="noStrike">
              <a:solidFill>
                <a:schemeClr val="tx1"/>
              </a:solidFill>
              <a:effectLst/>
              <a:latin typeface="Arial" panose="020B0604020202020204" pitchFamily="34" charset="0"/>
              <a:ea typeface="+mn-ea"/>
              <a:cs typeface="Arial" panose="020B0604020202020204" pitchFamily="34" charset="0"/>
            </a:rPr>
            <a:t>5.  System Name [No Action Required]:  </a:t>
          </a:r>
          <a:r>
            <a:rPr lang="en-US" sz="1400" b="0" i="0" u="none" strike="noStrike">
              <a:solidFill>
                <a:schemeClr val="tx1"/>
              </a:solidFill>
              <a:effectLst/>
              <a:latin typeface="Arial" panose="020B0604020202020204" pitchFamily="34" charset="0"/>
              <a:ea typeface="+mn-ea"/>
              <a:cs typeface="Arial" panose="020B0604020202020204" pitchFamily="34" charset="0"/>
            </a:rPr>
            <a:t>This field is auto-filled</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 from the name entered in instruction #2.</a:t>
          </a:r>
        </a:p>
        <a:p>
          <a:endParaRPr lang="en-US" sz="1400" b="0" i="0" u="none" strike="noStrike" baseline="0">
            <a:solidFill>
              <a:schemeClr val="tx1"/>
            </a:solidFill>
            <a:effectLst/>
            <a:latin typeface="Arial" panose="020B0604020202020204" pitchFamily="34" charset="0"/>
            <a:ea typeface="+mn-ea"/>
            <a:cs typeface="Arial" panose="020B0604020202020204" pitchFamily="34" charset="0"/>
          </a:endParaRPr>
        </a:p>
        <a:p>
          <a:r>
            <a:rPr lang="en-US" sz="1400" b="1" i="0">
              <a:solidFill>
                <a:schemeClr val="tx1"/>
              </a:solidFill>
              <a:effectLst/>
              <a:latin typeface="Arial" panose="020B0604020202020204" pitchFamily="34" charset="0"/>
              <a:ea typeface="+mn-ea"/>
              <a:cs typeface="Arial" panose="020B0604020202020204" pitchFamily="34" charset="0"/>
            </a:rPr>
            <a:t>6.  System Acronym [No Action Required]:  </a:t>
          </a:r>
          <a:r>
            <a:rPr lang="en-US" sz="1400" b="0" i="0">
              <a:solidFill>
                <a:schemeClr val="tx1"/>
              </a:solidFill>
              <a:effectLst/>
              <a:latin typeface="Arial" panose="020B0604020202020204" pitchFamily="34" charset="0"/>
              <a:ea typeface="+mn-ea"/>
              <a:cs typeface="Arial" panose="020B0604020202020204" pitchFamily="34" charset="0"/>
            </a:rPr>
            <a:t>This field is auto-filled</a:t>
          </a:r>
          <a:r>
            <a:rPr lang="en-US" sz="1400" b="0" i="0" baseline="0">
              <a:solidFill>
                <a:schemeClr val="tx1"/>
              </a:solidFill>
              <a:effectLst/>
              <a:latin typeface="Arial" panose="020B0604020202020204" pitchFamily="34" charset="0"/>
              <a:ea typeface="+mn-ea"/>
              <a:cs typeface="Arial" panose="020B0604020202020204" pitchFamily="34" charset="0"/>
            </a:rPr>
            <a:t> from the acronym entered in instruction #3.</a:t>
          </a:r>
          <a:endParaRPr lang="en-US" sz="1400">
            <a:effectLst/>
            <a:latin typeface="Arial" panose="020B0604020202020204" pitchFamily="34" charset="0"/>
            <a:cs typeface="Arial" panose="020B0604020202020204" pitchFamily="34" charset="0"/>
          </a:endParaRPr>
        </a:p>
        <a:p>
          <a:endParaRPr lang="en-US" sz="1400" b="0" i="0" u="none" strike="noStrike" baseline="0">
            <a:solidFill>
              <a:schemeClr val="tx1"/>
            </a:solidFill>
            <a:effectLst/>
            <a:latin typeface="Arial" panose="020B0604020202020204" pitchFamily="34" charset="0"/>
            <a:ea typeface="+mn-ea"/>
            <a:cs typeface="Arial" panose="020B0604020202020204" pitchFamily="34" charset="0"/>
          </a:endParaRPr>
        </a:p>
        <a:p>
          <a:r>
            <a:rPr lang="en-US" sz="1400" b="1" i="0" u="none" strike="noStrike" baseline="0">
              <a:solidFill>
                <a:schemeClr val="tx1"/>
              </a:solidFill>
              <a:effectLst/>
              <a:latin typeface="Arial" panose="020B0604020202020204" pitchFamily="34" charset="0"/>
              <a:ea typeface="+mn-ea"/>
              <a:cs typeface="Arial" panose="020B0604020202020204" pitchFamily="34" charset="0"/>
            </a:rPr>
            <a:t>7.  System Criticality: </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This will be moderate for any system connecting to the Federal Data Services Hub.</a:t>
          </a:r>
        </a:p>
        <a:p>
          <a:endParaRPr lang="en-US" sz="14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400" b="1" i="0" u="none" strike="noStrike" baseline="0">
              <a:solidFill>
                <a:schemeClr val="tx1"/>
              </a:solidFill>
              <a:effectLst/>
              <a:latin typeface="Arial" panose="020B0604020202020204" pitchFamily="34" charset="0"/>
              <a:ea typeface="+mn-ea"/>
              <a:cs typeface="Arial" panose="020B0604020202020204" pitchFamily="34" charset="0"/>
            </a:rPr>
            <a:t>8.  Confidentiality: </a:t>
          </a:r>
          <a:r>
            <a:rPr lang="en-US" sz="1400" b="0" i="0" baseline="0">
              <a:solidFill>
                <a:schemeClr val="tx1"/>
              </a:solidFill>
              <a:effectLst/>
              <a:latin typeface="Arial" panose="020B0604020202020204" pitchFamily="34" charset="0"/>
              <a:ea typeface="+mn-ea"/>
              <a:cs typeface="Arial" panose="020B0604020202020204" pitchFamily="34" charset="0"/>
            </a:rPr>
            <a:t>This will be moderate for any system connecting to the Federal Data Services Hub.</a:t>
          </a:r>
          <a:endParaRPr lang="en-US" sz="1400" b="1" i="0" u="none" strike="noStrike" baseline="0">
            <a:solidFill>
              <a:schemeClr val="tx1"/>
            </a:solidFill>
            <a:effectLst/>
            <a:latin typeface="Arial" panose="020B0604020202020204" pitchFamily="34" charset="0"/>
            <a:ea typeface="+mn-ea"/>
            <a:cs typeface="Arial" panose="020B0604020202020204" pitchFamily="34" charset="0"/>
          </a:endParaRPr>
        </a:p>
        <a:p>
          <a:endParaRPr lang="en-US" sz="1400" b="1" i="0" u="none" strike="noStrike" baseline="0">
            <a:solidFill>
              <a:schemeClr val="tx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400" b="1" i="0" baseline="0">
              <a:solidFill>
                <a:schemeClr val="tx1"/>
              </a:solidFill>
              <a:effectLst/>
              <a:latin typeface="Arial" panose="020B0604020202020204" pitchFamily="34" charset="0"/>
              <a:ea typeface="+mn-ea"/>
              <a:cs typeface="Arial" panose="020B0604020202020204" pitchFamily="34" charset="0"/>
            </a:rPr>
            <a:t>9.  Availability: </a:t>
          </a:r>
          <a:r>
            <a:rPr lang="en-US" sz="1400" b="0" i="0" baseline="0">
              <a:solidFill>
                <a:schemeClr val="tx1"/>
              </a:solidFill>
              <a:effectLst/>
              <a:latin typeface="Arial" panose="020B0604020202020204" pitchFamily="34" charset="0"/>
              <a:ea typeface="+mn-ea"/>
              <a:cs typeface="Arial" panose="020B0604020202020204" pitchFamily="34" charset="0"/>
            </a:rPr>
            <a:t>This will be moderate for any system connecting to the Federal Data Services Hub.</a:t>
          </a:r>
          <a:endParaRPr lang="en-US" sz="1400">
            <a:effectLst/>
            <a:latin typeface="Arial" panose="020B0604020202020204" pitchFamily="34" charset="0"/>
            <a:cs typeface="Arial" panose="020B0604020202020204" pitchFamily="34" charset="0"/>
          </a:endParaRPr>
        </a:p>
        <a:p>
          <a:endParaRPr lang="en-US" sz="1400" b="1" i="0" u="none" strike="noStrike" baseline="0">
            <a:solidFill>
              <a:schemeClr val="tx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400" b="1" i="0" baseline="0">
              <a:solidFill>
                <a:schemeClr val="tx1"/>
              </a:solidFill>
              <a:effectLst/>
              <a:latin typeface="Arial" panose="020B0604020202020204" pitchFamily="34" charset="0"/>
              <a:ea typeface="+mn-ea"/>
              <a:cs typeface="Arial" panose="020B0604020202020204" pitchFamily="34" charset="0"/>
            </a:rPr>
            <a:t>10.  Integrity: </a:t>
          </a:r>
          <a:r>
            <a:rPr lang="en-US" sz="1400" b="0" i="0" baseline="0">
              <a:solidFill>
                <a:schemeClr val="tx1"/>
              </a:solidFill>
              <a:effectLst/>
              <a:latin typeface="Arial" panose="020B0604020202020204" pitchFamily="34" charset="0"/>
              <a:ea typeface="+mn-ea"/>
              <a:cs typeface="Arial" panose="020B0604020202020204" pitchFamily="34" charset="0"/>
            </a:rPr>
            <a:t>This will be moderate for any system connecting to the Federal Data Services Hub.</a:t>
          </a:r>
          <a:endParaRPr lang="en-US" sz="1400">
            <a:effectLst/>
            <a:latin typeface="Arial" panose="020B0604020202020204" pitchFamily="34" charset="0"/>
            <a:cs typeface="Arial" panose="020B0604020202020204" pitchFamily="34" charset="0"/>
          </a:endParaRPr>
        </a:p>
        <a:p>
          <a:endParaRPr lang="en-US" sz="1400" b="1" i="0" u="none" strike="noStrike" baseline="0">
            <a:solidFill>
              <a:schemeClr val="tx1"/>
            </a:solidFill>
            <a:effectLst/>
            <a:latin typeface="Arial" panose="020B0604020202020204" pitchFamily="34" charset="0"/>
            <a:ea typeface="+mn-ea"/>
            <a:cs typeface="Arial" panose="020B0604020202020204" pitchFamily="34" charset="0"/>
          </a:endParaRPr>
        </a:p>
        <a:p>
          <a:r>
            <a:rPr lang="en-US" sz="1400" b="1" i="0" u="none" strike="noStrike" baseline="0">
              <a:solidFill>
                <a:schemeClr val="tx1"/>
              </a:solidFill>
              <a:effectLst/>
              <a:latin typeface="Arial" panose="020B0604020202020204" pitchFamily="34" charset="0"/>
              <a:ea typeface="+mn-ea"/>
              <a:cs typeface="Arial" panose="020B0604020202020204" pitchFamily="34" charset="0"/>
            </a:rPr>
            <a:t>11.  If no findings identified, provide a reason [Drop-down list provided]: </a:t>
          </a:r>
        </a:p>
        <a:p>
          <a:endParaRPr lang="en-US" sz="1400" b="1" i="0" u="none" strike="noStrike" baseline="0">
            <a:solidFill>
              <a:schemeClr val="tx1"/>
            </a:solidFill>
            <a:effectLst/>
            <a:latin typeface="Arial" panose="020B0604020202020204" pitchFamily="34" charset="0"/>
            <a:ea typeface="+mn-ea"/>
            <a:cs typeface="Arial" panose="020B0604020202020204" pitchFamily="34" charset="0"/>
          </a:endParaRPr>
        </a:p>
        <a:p>
          <a:r>
            <a:rPr lang="en-US" sz="1400" b="0" i="0">
              <a:solidFill>
                <a:schemeClr val="tx1"/>
              </a:solidFill>
              <a:effectLst/>
              <a:latin typeface="Arial" panose="020B0604020202020204" pitchFamily="34" charset="0"/>
              <a:ea typeface="+mn-ea"/>
              <a:cs typeface="Arial" panose="020B0604020202020204" pitchFamily="34" charset="0"/>
            </a:rPr>
            <a:t>Choose</a:t>
          </a:r>
          <a:r>
            <a:rPr lang="en-US" sz="1400" b="0" i="0" baseline="0">
              <a:solidFill>
                <a:schemeClr val="tx1"/>
              </a:solidFill>
              <a:effectLst/>
              <a:latin typeface="Arial" panose="020B0604020202020204" pitchFamily="34" charset="0"/>
              <a:ea typeface="+mn-ea"/>
              <a:cs typeface="Arial" panose="020B0604020202020204" pitchFamily="34" charset="0"/>
            </a:rPr>
            <a:t> from the </a:t>
          </a:r>
          <a:r>
            <a:rPr lang="en-US" sz="1400" b="0" i="0">
              <a:solidFill>
                <a:schemeClr val="tx1"/>
              </a:solidFill>
              <a:effectLst/>
              <a:latin typeface="Arial" panose="020B0604020202020204" pitchFamily="34" charset="0"/>
              <a:ea typeface="+mn-ea"/>
              <a:cs typeface="Arial" panose="020B0604020202020204" pitchFamily="34" charset="0"/>
            </a:rPr>
            <a:t>following six options:</a:t>
          </a:r>
          <a:br>
            <a:rPr lang="en-US" sz="1400" b="0" i="0">
              <a:solidFill>
                <a:schemeClr val="tx1"/>
              </a:solidFill>
              <a:effectLst/>
              <a:latin typeface="Arial" panose="020B0604020202020204" pitchFamily="34" charset="0"/>
              <a:ea typeface="+mn-ea"/>
              <a:cs typeface="Arial" panose="020B0604020202020204" pitchFamily="34" charset="0"/>
            </a:rPr>
          </a:br>
          <a:r>
            <a:rPr lang="en-US" sz="1400" b="0" i="0">
              <a:solidFill>
                <a:schemeClr val="tx1"/>
              </a:solidFill>
              <a:effectLst/>
              <a:latin typeface="Arial" panose="020B0604020202020204" pitchFamily="34" charset="0"/>
              <a:ea typeface="+mn-ea"/>
              <a:cs typeface="Arial" panose="020B0604020202020204" pitchFamily="34" charset="0"/>
            </a:rPr>
            <a:t>- All weaknesses eliminated</a:t>
          </a:r>
          <a:br>
            <a:rPr lang="en-US" sz="1400" b="0" i="0">
              <a:solidFill>
                <a:schemeClr val="tx1"/>
              </a:solidFill>
              <a:effectLst/>
              <a:latin typeface="Arial" panose="020B0604020202020204" pitchFamily="34" charset="0"/>
              <a:ea typeface="+mn-ea"/>
              <a:cs typeface="Arial" panose="020B0604020202020204" pitchFamily="34" charset="0"/>
            </a:rPr>
          </a:br>
          <a:r>
            <a:rPr lang="en-US" sz="1400" b="0" i="0">
              <a:solidFill>
                <a:schemeClr val="tx1"/>
              </a:solidFill>
              <a:effectLst/>
              <a:latin typeface="Arial" panose="020B0604020202020204" pitchFamily="34" charset="0"/>
              <a:ea typeface="+mn-ea"/>
              <a:cs typeface="Arial" panose="020B0604020202020204" pitchFamily="34" charset="0"/>
            </a:rPr>
            <a:t>- No review conducted</a:t>
          </a:r>
          <a:br>
            <a:rPr lang="en-US" sz="1400" b="0" i="0">
              <a:solidFill>
                <a:schemeClr val="tx1"/>
              </a:solidFill>
              <a:effectLst/>
              <a:latin typeface="Arial" panose="020B0604020202020204" pitchFamily="34" charset="0"/>
              <a:ea typeface="+mn-ea"/>
              <a:cs typeface="Arial" panose="020B0604020202020204" pitchFamily="34" charset="0"/>
            </a:rPr>
          </a:br>
          <a:r>
            <a:rPr lang="en-US" sz="1400" b="0" i="0">
              <a:solidFill>
                <a:schemeClr val="tx1"/>
              </a:solidFill>
              <a:effectLst/>
              <a:latin typeface="Arial" panose="020B0604020202020204" pitchFamily="34" charset="0"/>
              <a:ea typeface="+mn-ea"/>
              <a:cs typeface="Arial" panose="020B0604020202020204" pitchFamily="34" charset="0"/>
            </a:rPr>
            <a:t>- No weaknesses found</a:t>
          </a:r>
          <a:br>
            <a:rPr lang="en-US" sz="1400" b="0" i="0">
              <a:solidFill>
                <a:schemeClr val="tx1"/>
              </a:solidFill>
              <a:effectLst/>
              <a:latin typeface="Arial" panose="020B0604020202020204" pitchFamily="34" charset="0"/>
              <a:ea typeface="+mn-ea"/>
              <a:cs typeface="Arial" panose="020B0604020202020204" pitchFamily="34" charset="0"/>
            </a:rPr>
          </a:br>
          <a:r>
            <a:rPr lang="en-US" sz="1400" b="0" i="0">
              <a:solidFill>
                <a:schemeClr val="tx1"/>
              </a:solidFill>
              <a:effectLst/>
              <a:latin typeface="Arial" panose="020B0604020202020204" pitchFamily="34" charset="0"/>
              <a:ea typeface="+mn-ea"/>
              <a:cs typeface="Arial" panose="020B0604020202020204" pitchFamily="34" charset="0"/>
            </a:rPr>
            <a:t>- System in development</a:t>
          </a:r>
          <a:br>
            <a:rPr lang="en-US" sz="1400" b="0" i="0">
              <a:solidFill>
                <a:schemeClr val="tx1"/>
              </a:solidFill>
              <a:effectLst/>
              <a:latin typeface="Arial" panose="020B0604020202020204" pitchFamily="34" charset="0"/>
              <a:ea typeface="+mn-ea"/>
              <a:cs typeface="Arial" panose="020B0604020202020204" pitchFamily="34" charset="0"/>
            </a:rPr>
          </a:br>
          <a:r>
            <a:rPr lang="en-US" sz="1400" b="0" i="0">
              <a:solidFill>
                <a:schemeClr val="tx1"/>
              </a:solidFill>
              <a:effectLst/>
              <a:latin typeface="Arial" panose="020B0604020202020204" pitchFamily="34" charset="0"/>
              <a:ea typeface="+mn-ea"/>
              <a:cs typeface="Arial" panose="020B0604020202020204" pitchFamily="34" charset="0"/>
            </a:rPr>
            <a:t>- System reclassified – not a system</a:t>
          </a:r>
          <a:br>
            <a:rPr lang="en-US" sz="1400" b="0" i="0">
              <a:solidFill>
                <a:schemeClr val="tx1"/>
              </a:solidFill>
              <a:effectLst/>
              <a:latin typeface="Arial" panose="020B0604020202020204" pitchFamily="34" charset="0"/>
              <a:ea typeface="+mn-ea"/>
              <a:cs typeface="Arial" panose="020B0604020202020204" pitchFamily="34" charset="0"/>
            </a:rPr>
          </a:br>
          <a:r>
            <a:rPr lang="en-US" sz="1400" b="0" i="0">
              <a:solidFill>
                <a:schemeClr val="tx1"/>
              </a:solidFill>
              <a:effectLst/>
              <a:latin typeface="Arial" panose="020B0604020202020204" pitchFamily="34" charset="0"/>
              <a:ea typeface="+mn-ea"/>
              <a:cs typeface="Arial" panose="020B0604020202020204" pitchFamily="34" charset="0"/>
            </a:rPr>
            <a:t>- System retired</a:t>
          </a:r>
          <a:endParaRPr lang="en-US" sz="1400" b="1" i="0" u="none" strike="noStrike" baseline="0">
            <a:solidFill>
              <a:schemeClr val="tx1"/>
            </a:solidFill>
            <a:effectLst/>
            <a:latin typeface="Arial" panose="020B0604020202020204" pitchFamily="34" charset="0"/>
            <a:ea typeface="+mn-ea"/>
            <a:cs typeface="Arial" panose="020B0604020202020204" pitchFamily="34" charset="0"/>
          </a:endParaRPr>
        </a:p>
        <a:p>
          <a:endParaRPr lang="en-US" sz="1400" b="1" i="0" u="none" strike="noStrike" baseline="0">
            <a:solidFill>
              <a:schemeClr val="tx1"/>
            </a:solidFill>
            <a:effectLst/>
            <a:latin typeface="Arial" panose="020B0604020202020204" pitchFamily="34" charset="0"/>
            <a:ea typeface="+mn-ea"/>
            <a:cs typeface="Arial" panose="020B0604020202020204" pitchFamily="34" charset="0"/>
          </a:endParaRPr>
        </a:p>
        <a:p>
          <a:r>
            <a:rPr lang="en-US" sz="1400" b="1" i="0" u="none" strike="noStrike" baseline="0">
              <a:solidFill>
                <a:schemeClr val="tx1"/>
              </a:solidFill>
              <a:effectLst/>
              <a:latin typeface="Arial" panose="020B0604020202020204" pitchFamily="34" charset="0"/>
              <a:ea typeface="+mn-ea"/>
              <a:cs typeface="Arial" panose="020B0604020202020204" pitchFamily="34" charset="0"/>
            </a:rPr>
            <a:t>12. </a:t>
          </a:r>
          <a:r>
            <a:rPr lang="en-US" sz="1400" b="1" i="0" u="none" strike="noStrike" baseline="0">
              <a:solidFill>
                <a:sysClr val="windowText" lastClr="000000"/>
              </a:solidFill>
              <a:effectLst/>
              <a:latin typeface="Arial" panose="020B0604020202020204" pitchFamily="34" charset="0"/>
              <a:ea typeface="+mn-ea"/>
              <a:cs typeface="Arial" panose="020B0604020202020204" pitchFamily="34" charset="0"/>
            </a:rPr>
            <a:t>Finding</a:t>
          </a:r>
          <a:r>
            <a:rPr lang="en-US" sz="1400" b="1" i="0" u="none" strike="noStrike" baseline="0">
              <a:solidFill>
                <a:schemeClr val="tx1"/>
              </a:solidFill>
              <a:effectLst/>
              <a:latin typeface="Arial" panose="020B0604020202020204" pitchFamily="34" charset="0"/>
              <a:ea typeface="+mn-ea"/>
              <a:cs typeface="Arial" panose="020B0604020202020204" pitchFamily="34" charset="0"/>
            </a:rPr>
            <a:t> Identifier: </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A unique number assigned to each POA&amp;M entry that is used to track the </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finding</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 Typically the finding identifier is comprised of the following: System name/acronym; Quarter (A, B C, or D) and Fiscal Year the weakness was first recorded; and a sequence number.  (example: </a:t>
          </a:r>
          <a:r>
            <a:rPr lang="en-US" sz="1400" b="1" i="0" u="none" strike="noStrike" baseline="0">
              <a:solidFill>
                <a:schemeClr val="tx1"/>
              </a:solidFill>
              <a:effectLst/>
              <a:latin typeface="Arial" panose="020B0604020202020204" pitchFamily="34" charset="0"/>
              <a:ea typeface="+mn-ea"/>
              <a:cs typeface="Arial" panose="020B0604020202020204" pitchFamily="34" charset="0"/>
            </a:rPr>
            <a:t>SYSTEM_A_2025_3</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r>
            <a:rPr lang="en-US" sz="1400" b="1" i="0" u="none" strike="noStrike">
              <a:solidFill>
                <a:schemeClr val="tx1"/>
              </a:solidFill>
              <a:effectLst/>
              <a:latin typeface="Arial" panose="020B0604020202020204" pitchFamily="34" charset="0"/>
              <a:ea typeface="+mn-ea"/>
              <a:cs typeface="Arial" panose="020B0604020202020204" pitchFamily="34" charset="0"/>
            </a:rPr>
            <a:t>13.</a:t>
          </a:r>
          <a:r>
            <a:rPr lang="en-US" sz="1400" b="1" i="0" u="none" strike="noStrike" baseline="0">
              <a:solidFill>
                <a:schemeClr val="tx1"/>
              </a:solidFill>
              <a:effectLst/>
              <a:latin typeface="Arial" panose="020B0604020202020204" pitchFamily="34" charset="0"/>
              <a:ea typeface="+mn-ea"/>
              <a:cs typeface="Arial" panose="020B0604020202020204" pitchFamily="34" charset="0"/>
            </a:rPr>
            <a:t> ARC-AMPE Control Family [Drop-down list provided]: </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Choose the control family or category that best signifies the origin of the finding.</a:t>
          </a:r>
        </a:p>
        <a:p>
          <a:endParaRPr lang="en-US" sz="1400" b="1" i="0" u="none" strike="noStrike" baseline="0">
            <a:solidFill>
              <a:schemeClr val="tx1"/>
            </a:solidFill>
            <a:effectLst/>
            <a:latin typeface="Arial" panose="020B0604020202020204" pitchFamily="34" charset="0"/>
            <a:ea typeface="+mn-ea"/>
            <a:cs typeface="Arial" panose="020B0604020202020204" pitchFamily="34" charset="0"/>
          </a:endParaRPr>
        </a:p>
        <a:p>
          <a:r>
            <a:rPr lang="en-US" sz="1400" b="0" i="0">
              <a:solidFill>
                <a:schemeClr val="tx1"/>
              </a:solidFill>
              <a:effectLst/>
              <a:latin typeface="Arial" panose="020B0604020202020204" pitchFamily="34" charset="0"/>
              <a:ea typeface="+mn-ea"/>
              <a:cs typeface="Arial" panose="020B0604020202020204" pitchFamily="34" charset="0"/>
            </a:rPr>
            <a:t>Choose</a:t>
          </a:r>
          <a:r>
            <a:rPr lang="en-US" sz="1400" b="0" i="0" baseline="0">
              <a:solidFill>
                <a:schemeClr val="tx1"/>
              </a:solidFill>
              <a:effectLst/>
              <a:latin typeface="Arial" panose="020B0604020202020204" pitchFamily="34" charset="0"/>
              <a:ea typeface="+mn-ea"/>
              <a:cs typeface="Arial" panose="020B0604020202020204" pitchFamily="34" charset="0"/>
            </a:rPr>
            <a:t> from the </a:t>
          </a:r>
          <a:r>
            <a:rPr lang="en-US" sz="1400" b="0" i="0">
              <a:solidFill>
                <a:schemeClr val="tx1"/>
              </a:solidFill>
              <a:effectLst/>
              <a:latin typeface="Arial" panose="020B0604020202020204" pitchFamily="34" charset="0"/>
              <a:ea typeface="+mn-ea"/>
              <a:cs typeface="Arial" panose="020B0604020202020204" pitchFamily="34" charset="0"/>
            </a:rPr>
            <a:t>following options:</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AC</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Access Control</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Awareness and Training</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AU</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Audit and Accountability</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Assessment, Authorization, and Monitoring</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CM</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Configuration Management</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CP</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Contingency Planning</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IA</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Identification and Authentication</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IR</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Incident Response</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MA</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Maintenance</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MP</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Media Protection</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PE</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Physical and Environmental Protection</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PL</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Planning</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PM</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Program Management</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PS</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Personnel Security</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PT</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Personally Identifiable Information Processing and Transparency</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RA</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Risk Assessment</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SA</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System and Service Acquisition</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SC</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System and Communications Protection</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SI</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System and Information Integrity</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SR</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Supply Chain Risk Management</a:t>
          </a:r>
        </a:p>
        <a:p>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4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Other</a:t>
          </a:r>
          <a:r>
            <a:rPr kumimoji="0" lang="en-US" sz="14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Available for non-ARC-AMPE controls, findings or issues to be tracked</a:t>
          </a:r>
          <a:endParaRPr lang="en-US" sz="1400" b="0" i="0">
            <a:solidFill>
              <a:schemeClr val="tx1"/>
            </a:solidFill>
            <a:effectLst/>
            <a:latin typeface="Arial" panose="020B0604020202020204" pitchFamily="34" charset="0"/>
            <a:ea typeface="+mn-ea"/>
            <a:cs typeface="Arial" panose="020B0604020202020204" pitchFamily="34" charset="0"/>
          </a:endParaRPr>
        </a:p>
        <a:p>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r>
            <a:rPr lang="en-US" sz="1400" b="1" i="0" u="none" strike="noStrike">
              <a:solidFill>
                <a:schemeClr val="tx1"/>
              </a:solidFill>
              <a:effectLst/>
              <a:latin typeface="Arial" panose="020B0604020202020204" pitchFamily="34" charset="0"/>
              <a:ea typeface="+mn-ea"/>
              <a:cs typeface="Arial" panose="020B0604020202020204" pitchFamily="34" charset="0"/>
            </a:rPr>
            <a:t>14.</a:t>
          </a:r>
          <a:r>
            <a:rPr lang="en-US" sz="1400" b="1" i="0" u="none" strike="noStrike" baseline="0">
              <a:solidFill>
                <a:schemeClr val="tx1"/>
              </a:solidFill>
              <a:effectLst/>
              <a:latin typeface="Arial" panose="020B0604020202020204" pitchFamily="34" charset="0"/>
              <a:ea typeface="+mn-ea"/>
              <a:cs typeface="Arial" panose="020B0604020202020204" pitchFamily="34" charset="0"/>
            </a:rPr>
            <a:t>  </a:t>
          </a:r>
          <a:r>
            <a:rPr lang="en-US" sz="1400" b="1" i="0" u="none" strike="noStrike">
              <a:solidFill>
                <a:schemeClr val="tx1"/>
              </a:solidFill>
              <a:effectLst/>
              <a:latin typeface="Arial" panose="020B0604020202020204" pitchFamily="34" charset="0"/>
              <a:ea typeface="+mn-ea"/>
              <a:cs typeface="Arial" panose="020B0604020202020204" pitchFamily="34" charset="0"/>
            </a:rPr>
            <a:t>Control Details:</a:t>
          </a:r>
          <a:r>
            <a:rPr lang="en-US" sz="1400" b="0" i="0" u="none" strike="noStrike">
              <a:solidFill>
                <a:schemeClr val="tx1"/>
              </a:solidFill>
              <a:effectLst/>
              <a:latin typeface="Arial" panose="020B0604020202020204" pitchFamily="34" charset="0"/>
              <a:ea typeface="+mn-ea"/>
              <a:cs typeface="Arial" panose="020B0604020202020204" pitchFamily="34" charset="0"/>
            </a:rPr>
            <a:t> Enter the security control(s) in which the weakness was discovered (examples:</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400" b="1" i="0" u="none" strike="noStrike" baseline="0">
              <a:solidFill>
                <a:schemeClr val="tx1"/>
              </a:solidFill>
              <a:effectLst/>
              <a:latin typeface="Arial" panose="020B0604020202020204" pitchFamily="34" charset="0"/>
              <a:ea typeface="+mn-ea"/>
              <a:cs typeface="Arial" panose="020B0604020202020204" pitchFamily="34" charset="0"/>
            </a:rPr>
            <a:t>AC-02</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400" b="1" i="0" u="none" strike="noStrike" baseline="0">
              <a:solidFill>
                <a:schemeClr val="tx1"/>
              </a:solidFill>
              <a:effectLst/>
              <a:latin typeface="Arial" panose="020B0604020202020204" pitchFamily="34" charset="0"/>
              <a:ea typeface="+mn-ea"/>
              <a:cs typeface="Arial" panose="020B0604020202020204" pitchFamily="34" charset="0"/>
            </a:rPr>
            <a:t>AU-10</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400" b="1" i="0" u="none" strike="noStrike" baseline="0">
              <a:solidFill>
                <a:schemeClr val="tx1"/>
              </a:solidFill>
              <a:effectLst/>
              <a:latin typeface="Arial" panose="020B0604020202020204" pitchFamily="34" charset="0"/>
              <a:ea typeface="+mn-ea"/>
              <a:cs typeface="Arial" panose="020B0604020202020204" pitchFamily="34" charset="0"/>
            </a:rPr>
            <a:t>IR-02</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 and </a:t>
          </a:r>
          <a:r>
            <a:rPr lang="en-US" sz="1400" b="1" i="0" u="none" strike="noStrike" baseline="0">
              <a:solidFill>
                <a:schemeClr val="tx1"/>
              </a:solidFill>
              <a:effectLst/>
              <a:latin typeface="Arial" panose="020B0604020202020204" pitchFamily="34" charset="0"/>
              <a:ea typeface="+mn-ea"/>
              <a:cs typeface="Arial" panose="020B0604020202020204" pitchFamily="34" charset="0"/>
            </a:rPr>
            <a:t>SA-09</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 Multiple controls may be entered if applicable. </a:t>
          </a:r>
          <a:endParaRPr lang="en-US" sz="1400">
            <a:latin typeface="Arial" panose="020B0604020202020204" pitchFamily="34" charset="0"/>
            <a:cs typeface="Arial" panose="020B0604020202020204" pitchFamily="34" charset="0"/>
          </a:endParaRPr>
        </a:p>
        <a:p>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r>
            <a:rPr lang="en-US" sz="1400" b="1" i="0" u="none" strike="noStrike">
              <a:solidFill>
                <a:schemeClr val="tx1"/>
              </a:solidFill>
              <a:effectLst/>
              <a:latin typeface="Arial" panose="020B0604020202020204" pitchFamily="34" charset="0"/>
              <a:ea typeface="+mn-ea"/>
              <a:cs typeface="Arial" panose="020B0604020202020204" pitchFamily="34" charset="0"/>
            </a:rPr>
            <a:t>15.  </a:t>
          </a:r>
          <a:r>
            <a:rPr lang="en-US" sz="1400" b="1" i="0" u="none" strike="noStrike">
              <a:solidFill>
                <a:sysClr val="windowText" lastClr="000000"/>
              </a:solidFill>
              <a:effectLst/>
              <a:latin typeface="Arial" panose="020B0604020202020204" pitchFamily="34" charset="0"/>
              <a:ea typeface="+mn-ea"/>
              <a:cs typeface="Arial" panose="020B0604020202020204" pitchFamily="34" charset="0"/>
            </a:rPr>
            <a:t>Finding</a:t>
          </a:r>
          <a:r>
            <a:rPr lang="en-US" sz="1400" b="1" i="0" u="none" strike="noStrike">
              <a:solidFill>
                <a:schemeClr val="tx1"/>
              </a:solidFill>
              <a:effectLst/>
              <a:latin typeface="Arial" panose="020B0604020202020204" pitchFamily="34" charset="0"/>
              <a:ea typeface="+mn-ea"/>
              <a:cs typeface="Arial" panose="020B0604020202020204" pitchFamily="34" charset="0"/>
            </a:rPr>
            <a:t> Description:</a:t>
          </a:r>
          <a:r>
            <a:rPr lang="en-US" sz="1400" b="0" i="0" u="none" strike="noStrike">
              <a:solidFill>
                <a:schemeClr val="tx1"/>
              </a:solidFill>
              <a:effectLst/>
              <a:latin typeface="Arial" panose="020B0604020202020204" pitchFamily="34" charset="0"/>
              <a:ea typeface="+mn-ea"/>
              <a:cs typeface="Arial" panose="020B0604020202020204" pitchFamily="34" charset="0"/>
            </a:rPr>
            <a:t> Description</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 of the v</a:t>
          </a:r>
          <a:r>
            <a:rPr lang="en-US" sz="1400" b="0" i="0" u="none" strike="noStrike">
              <a:solidFill>
                <a:schemeClr val="tx1"/>
              </a:solidFill>
              <a:effectLst/>
              <a:latin typeface="Arial" panose="020B0604020202020204" pitchFamily="34" charset="0"/>
              <a:ea typeface="+mn-ea"/>
              <a:cs typeface="Arial" panose="020B0604020202020204" pitchFamily="34" charset="0"/>
            </a:rPr>
            <a:t>ulnerability or risk identified.</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 This information may be found in the Security Assessment Report (SAR) or other security audit type report. A Partially Implemented Control is also a finding to be listed and tracked.</a:t>
          </a:r>
          <a:endParaRPr lang="en-US" sz="1400">
            <a:latin typeface="Arial" panose="020B0604020202020204" pitchFamily="34" charset="0"/>
            <a:cs typeface="Arial" panose="020B0604020202020204" pitchFamily="34" charset="0"/>
          </a:endParaRPr>
        </a:p>
        <a:p>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r>
            <a:rPr lang="en-US" sz="1400" b="1" i="0" u="none" strike="noStrike">
              <a:solidFill>
                <a:schemeClr val="tx1"/>
              </a:solidFill>
              <a:effectLst/>
              <a:latin typeface="Arial" panose="020B0604020202020204" pitchFamily="34" charset="0"/>
              <a:ea typeface="+mn-ea"/>
              <a:cs typeface="Arial" panose="020B0604020202020204" pitchFamily="34" charset="0"/>
            </a:rPr>
            <a:t>16.  Affected Host(s) (for Technical Findings Only): </a:t>
          </a:r>
          <a:r>
            <a:rPr lang="en-US" sz="1400" b="0" i="0" u="none" strike="noStrike">
              <a:solidFill>
                <a:schemeClr val="tx1"/>
              </a:solidFill>
              <a:effectLst/>
              <a:latin typeface="Arial" panose="020B0604020202020204" pitchFamily="34" charset="0"/>
              <a:ea typeface="+mn-ea"/>
              <a:cs typeface="Arial" panose="020B0604020202020204" pitchFamily="34" charset="0"/>
            </a:rPr>
            <a:t>In addition to the description, a technical</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400" b="0" i="0" u="none" strike="noStrike">
              <a:solidFill>
                <a:schemeClr val="tx1"/>
              </a:solidFill>
              <a:effectLst/>
              <a:latin typeface="Arial" panose="020B0604020202020204" pitchFamily="34" charset="0"/>
              <a:ea typeface="+mn-ea"/>
              <a:cs typeface="Arial" panose="020B0604020202020204" pitchFamily="34" charset="0"/>
            </a:rPr>
            <a:t>finding must include specific details regarding the exact location of the finding occurrence (e.g., all Windows Servers, all Oracle Databases, a specific server, etc.).</a:t>
          </a:r>
        </a:p>
        <a:p>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r>
            <a:rPr lang="en-US" sz="1400" b="1" i="0" u="none" strike="noStrike">
              <a:solidFill>
                <a:schemeClr val="tx1"/>
              </a:solidFill>
              <a:effectLst/>
              <a:latin typeface="Arial" panose="020B0604020202020204" pitchFamily="34" charset="0"/>
              <a:ea typeface="+mn-ea"/>
              <a:cs typeface="Arial" panose="020B0604020202020204" pitchFamily="34" charset="0"/>
            </a:rPr>
            <a:t>17</a:t>
          </a:r>
          <a:r>
            <a:rPr lang="en-US" sz="1400" b="0" i="0" u="none" strike="noStrike">
              <a:solidFill>
                <a:schemeClr val="tx1"/>
              </a:solidFill>
              <a:effectLst/>
              <a:latin typeface="Arial" panose="020B0604020202020204" pitchFamily="34" charset="0"/>
              <a:ea typeface="+mn-ea"/>
              <a:cs typeface="Arial" panose="020B0604020202020204" pitchFamily="34" charset="0"/>
            </a:rPr>
            <a:t>.  </a:t>
          </a:r>
          <a:r>
            <a:rPr lang="en-US" sz="1400" b="1" i="0" u="none" strike="noStrike">
              <a:solidFill>
                <a:schemeClr val="tx1"/>
              </a:solidFill>
              <a:effectLst/>
              <a:latin typeface="Arial" panose="020B0604020202020204" pitchFamily="34" charset="0"/>
              <a:ea typeface="+mn-ea"/>
              <a:cs typeface="Arial" panose="020B0604020202020204" pitchFamily="34" charset="0"/>
            </a:rPr>
            <a:t>Finding</a:t>
          </a:r>
          <a:r>
            <a:rPr lang="en-US" sz="1400" b="1" i="0" u="none" strike="noStrike" baseline="0">
              <a:solidFill>
                <a:schemeClr val="tx1"/>
              </a:solidFill>
              <a:effectLst/>
              <a:latin typeface="Arial" panose="020B0604020202020204" pitchFamily="34" charset="0"/>
              <a:ea typeface="+mn-ea"/>
              <a:cs typeface="Arial" panose="020B0604020202020204" pitchFamily="34" charset="0"/>
            </a:rPr>
            <a:t> </a:t>
          </a:r>
          <a:r>
            <a:rPr lang="en-US" sz="1400" b="1" i="0" u="none" strike="noStrike">
              <a:solidFill>
                <a:schemeClr val="tx1"/>
              </a:solidFill>
              <a:effectLst/>
              <a:latin typeface="Arial" panose="020B0604020202020204" pitchFamily="34" charset="0"/>
              <a:ea typeface="+mn-ea"/>
              <a:cs typeface="Arial" panose="020B0604020202020204" pitchFamily="34" charset="0"/>
            </a:rPr>
            <a:t>Source:</a:t>
          </a:r>
          <a:r>
            <a:rPr lang="en-US" sz="1400" b="0" i="0" u="none" strike="noStrike">
              <a:solidFill>
                <a:schemeClr val="tx1"/>
              </a:solidFill>
              <a:effectLst/>
              <a:latin typeface="Arial" panose="020B0604020202020204" pitchFamily="34" charset="0"/>
              <a:ea typeface="+mn-ea"/>
              <a:cs typeface="Arial" panose="020B0604020202020204" pitchFamily="34" charset="0"/>
            </a:rPr>
            <a:t> A source shall be reported for all weaknesses. When recording the weakness source, both the type of review and the date on which the review was conducted or published shall be provided. If the weakness represents a repeat finding, each source in which the weakness was identified shall be documented.</a:t>
          </a:r>
          <a:r>
            <a:rPr lang="en-US" sz="1400">
              <a:latin typeface="Arial" panose="020B0604020202020204" pitchFamily="34" charset="0"/>
              <a:cs typeface="Arial" panose="020B0604020202020204" pitchFamily="34" charset="0"/>
            </a:rPr>
            <a:t> </a:t>
          </a:r>
        </a:p>
        <a:p>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r>
            <a:rPr lang="en-US" sz="1400" b="1" i="0" u="none" strike="noStrike">
              <a:solidFill>
                <a:schemeClr val="tx1"/>
              </a:solidFill>
              <a:effectLst/>
              <a:latin typeface="Arial" panose="020B0604020202020204" pitchFamily="34" charset="0"/>
              <a:ea typeface="+mn-ea"/>
              <a:cs typeface="Arial" panose="020B0604020202020204" pitchFamily="34" charset="0"/>
            </a:rPr>
            <a:t>18.  Point of Contact (POC):</a:t>
          </a:r>
          <a:r>
            <a:rPr lang="en-US" sz="1400" b="0" i="0" u="none" strike="noStrike">
              <a:solidFill>
                <a:schemeClr val="tx1"/>
              </a:solidFill>
              <a:effectLst/>
              <a:latin typeface="Arial" panose="020B0604020202020204" pitchFamily="34" charset="0"/>
              <a:ea typeface="+mn-ea"/>
              <a:cs typeface="Arial" panose="020B0604020202020204" pitchFamily="34" charset="0"/>
            </a:rPr>
            <a:t> A POC shall be identified and documented for each weakness. The POC shall at a minimum refer to the position/role </a:t>
          </a:r>
          <a:r>
            <a:rPr lang="en-US" sz="1400" b="0" i="0">
              <a:solidFill>
                <a:schemeClr val="tx1"/>
              </a:solidFill>
              <a:effectLst/>
              <a:latin typeface="Arial" panose="020B0604020202020204" pitchFamily="34" charset="0"/>
              <a:ea typeface="+mn-ea"/>
              <a:cs typeface="Arial" panose="020B0604020202020204" pitchFamily="34" charset="0"/>
            </a:rPr>
            <a:t>responsible for resolving the weakness</a:t>
          </a:r>
          <a:r>
            <a:rPr lang="en-US" sz="1400" b="0" i="0" u="none" strike="noStrike">
              <a:solidFill>
                <a:schemeClr val="tx1"/>
              </a:solidFill>
              <a:effectLst/>
              <a:latin typeface="Arial" panose="020B0604020202020204" pitchFamily="34" charset="0"/>
              <a:ea typeface="+mn-ea"/>
              <a:cs typeface="Arial" panose="020B0604020202020204" pitchFamily="34" charset="0"/>
            </a:rPr>
            <a:t>(examples: Information System Security Officer [ISSO], </a:t>
          </a:r>
          <a:r>
            <a:rPr lang="en-US" sz="1400">
              <a:latin typeface="Arial" panose="020B0604020202020204" pitchFamily="34" charset="0"/>
              <a:cs typeface="Arial" panose="020B0604020202020204" pitchFamily="34" charset="0"/>
            </a:rPr>
            <a:t> </a:t>
          </a:r>
          <a:r>
            <a:rPr lang="en-US" sz="1400" b="0" i="0" u="none" strike="noStrike">
              <a:solidFill>
                <a:schemeClr val="tx1"/>
              </a:solidFill>
              <a:effectLst/>
              <a:latin typeface="Arial" panose="020B0604020202020204" pitchFamily="34" charset="0"/>
              <a:ea typeface="+mn-ea"/>
              <a:cs typeface="Arial" panose="020B0604020202020204" pitchFamily="34" charset="0"/>
            </a:rPr>
            <a:t>Privacy Coordinator, System Owner),</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 a contact telephone number, and/or an email address</a:t>
          </a:r>
          <a:r>
            <a:rPr lang="en-US" sz="1400" b="0" i="0" u="none" strike="noStrike">
              <a:solidFill>
                <a:schemeClr val="tx1"/>
              </a:solidFill>
              <a:effectLst/>
              <a:latin typeface="Arial" panose="020B0604020202020204" pitchFamily="34" charset="0"/>
              <a:ea typeface="+mn-ea"/>
              <a:cs typeface="Arial" panose="020B0604020202020204" pitchFamily="34" charset="0"/>
            </a:rPr>
            <a:t>.</a:t>
          </a:r>
          <a:r>
            <a:rPr lang="en-US" sz="1400">
              <a:latin typeface="Arial" panose="020B0604020202020204" pitchFamily="34" charset="0"/>
              <a:cs typeface="Arial" panose="020B0604020202020204" pitchFamily="34" charset="0"/>
            </a:rPr>
            <a:t> </a:t>
          </a:r>
        </a:p>
        <a:p>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r>
            <a:rPr lang="en-US" sz="1400" b="1" i="0" u="none" strike="noStrike">
              <a:solidFill>
                <a:schemeClr val="tx1"/>
              </a:solidFill>
              <a:effectLst/>
              <a:latin typeface="Arial" panose="020B0604020202020204" pitchFamily="34" charset="0"/>
              <a:ea typeface="+mn-ea"/>
              <a:cs typeface="Arial" panose="020B0604020202020204" pitchFamily="34" charset="0"/>
            </a:rPr>
            <a:t>19.  Resources Required:</a:t>
          </a:r>
          <a:r>
            <a:rPr lang="en-US" sz="1400" b="0" i="0" u="none" strike="noStrike">
              <a:solidFill>
                <a:schemeClr val="tx1"/>
              </a:solidFill>
              <a:effectLst/>
              <a:latin typeface="Arial" panose="020B0604020202020204" pitchFamily="34" charset="0"/>
              <a:ea typeface="+mn-ea"/>
              <a:cs typeface="Arial" panose="020B0604020202020204" pitchFamily="34" charset="0"/>
            </a:rPr>
            <a:t> The resources required to successfully complete the weakness shall be estimated and documented. The estimate shall be based on the total resources required to fulfill all the milestones necessary for weakness mitigation. Resources shall be estimated as monetary value and/or staffing requirements. When identifying monetary value, the amount shall be categorized as New Funding, Existing Funding, or Reallocated Funding. Staffing requirements shall be estimated as staff-hours or full time equivalents (FTEs) and categorized as New Staff or Existing Staff.</a:t>
          </a:r>
          <a:endParaRPr lang="en-US" sz="1400">
            <a:latin typeface="Arial" panose="020B0604020202020204" pitchFamily="34" charset="0"/>
            <a:cs typeface="Arial" panose="020B0604020202020204" pitchFamily="34" charset="0"/>
          </a:endParaRPr>
        </a:p>
        <a:p>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r>
            <a:rPr lang="en-US" sz="1400" b="1" i="0" u="none" strike="noStrike">
              <a:solidFill>
                <a:schemeClr val="tx1"/>
              </a:solidFill>
              <a:effectLst/>
              <a:latin typeface="Arial" panose="020B0604020202020204" pitchFamily="34" charset="0"/>
              <a:ea typeface="+mn-ea"/>
              <a:cs typeface="Arial" panose="020B0604020202020204" pitchFamily="34" charset="0"/>
            </a:rPr>
            <a:t>20. Initial Scheduled Completion Date:</a:t>
          </a:r>
          <a:r>
            <a:rPr lang="en-US" sz="1400" b="0" i="0" u="none" strike="noStrike">
              <a:solidFill>
                <a:schemeClr val="tx1"/>
              </a:solidFill>
              <a:effectLst/>
              <a:latin typeface="Arial" panose="020B0604020202020204" pitchFamily="34" charset="0"/>
              <a:ea typeface="+mn-ea"/>
              <a:cs typeface="Arial" panose="020B0604020202020204" pitchFamily="34" charset="0"/>
            </a:rPr>
            <a:t> A completion date shall be assigned to every weakness, to include the month, day, and year using the format: MM/DD/YYYY. This date</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 is the estimated date in which all milestones for the weakness will be completed and the weakness closed. </a:t>
          </a:r>
          <a:r>
            <a:rPr lang="en-US" sz="1400" b="0" i="0" u="none" strike="noStrike">
              <a:solidFill>
                <a:schemeClr val="tx1"/>
              </a:solidFill>
              <a:effectLst/>
              <a:latin typeface="Arial" panose="020B0604020202020204" pitchFamily="34" charset="0"/>
              <a:ea typeface="+mn-ea"/>
              <a:cs typeface="Arial" panose="020B0604020202020204" pitchFamily="34" charset="0"/>
            </a:rPr>
            <a:t>The initial scheduled completion date </a:t>
          </a:r>
          <a:r>
            <a:rPr lang="en-US" sz="1400" b="1" i="1" u="none" strike="noStrike">
              <a:solidFill>
                <a:schemeClr val="tx1"/>
              </a:solidFill>
              <a:effectLst/>
              <a:latin typeface="Arial" panose="020B0604020202020204" pitchFamily="34" charset="0"/>
              <a:ea typeface="+mn-ea"/>
              <a:cs typeface="Arial" panose="020B0604020202020204" pitchFamily="34" charset="0"/>
            </a:rPr>
            <a:t>shall not </a:t>
          </a:r>
          <a:r>
            <a:rPr lang="en-US" sz="1400" b="0" i="0" u="none" strike="noStrike">
              <a:solidFill>
                <a:schemeClr val="tx1"/>
              </a:solidFill>
              <a:effectLst/>
              <a:latin typeface="Arial" panose="020B0604020202020204" pitchFamily="34" charset="0"/>
              <a:ea typeface="+mn-ea"/>
              <a:cs typeface="Arial" panose="020B0604020202020204" pitchFamily="34" charset="0"/>
            </a:rPr>
            <a:t>change once recorded.</a:t>
          </a:r>
          <a:r>
            <a:rPr lang="en-US" sz="1400">
              <a:latin typeface="Arial" panose="020B0604020202020204" pitchFamily="34" charset="0"/>
              <a:cs typeface="Arial" panose="020B0604020202020204" pitchFamily="34" charset="0"/>
            </a:rPr>
            <a:t> </a:t>
          </a:r>
        </a:p>
        <a:p>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r>
            <a:rPr lang="en-US" sz="1400" b="1" i="0" u="none" strike="noStrike">
              <a:solidFill>
                <a:schemeClr val="tx1"/>
              </a:solidFill>
              <a:effectLst/>
              <a:latin typeface="Arial" panose="020B0604020202020204" pitchFamily="34" charset="0"/>
              <a:ea typeface="+mn-ea"/>
              <a:cs typeface="Arial" panose="020B0604020202020204" pitchFamily="34" charset="0"/>
            </a:rPr>
            <a:t>21</a:t>
          </a:r>
          <a:r>
            <a:rPr lang="en-US" sz="1400" b="0" i="0" u="none" strike="noStrike">
              <a:solidFill>
                <a:schemeClr val="tx1"/>
              </a:solidFill>
              <a:effectLst/>
              <a:latin typeface="Arial" panose="020B0604020202020204" pitchFamily="34" charset="0"/>
              <a:ea typeface="+mn-ea"/>
              <a:cs typeface="Arial" panose="020B0604020202020204" pitchFamily="34" charset="0"/>
            </a:rPr>
            <a:t>. </a:t>
          </a:r>
          <a:r>
            <a:rPr lang="en-US" sz="1400" b="1" i="0" u="none" strike="noStrike">
              <a:solidFill>
                <a:schemeClr val="tx1"/>
              </a:solidFill>
              <a:effectLst/>
              <a:latin typeface="Arial" panose="020B0604020202020204" pitchFamily="34" charset="0"/>
              <a:ea typeface="+mn-ea"/>
              <a:cs typeface="Arial" panose="020B0604020202020204" pitchFamily="34" charset="0"/>
            </a:rPr>
            <a:t>Milestones with Completion Dates:</a:t>
          </a:r>
          <a:r>
            <a:rPr lang="en-US" sz="1400" b="0" i="0" u="none" strike="noStrike">
              <a:solidFill>
                <a:schemeClr val="tx1"/>
              </a:solidFill>
              <a:effectLst/>
              <a:latin typeface="Arial" panose="020B0604020202020204" pitchFamily="34" charset="0"/>
              <a:ea typeface="+mn-ea"/>
              <a:cs typeface="Arial" panose="020B0604020202020204" pitchFamily="34" charset="0"/>
            </a:rPr>
            <a:t> Each weakness shall have at least one milestone with an associated completion date to facilitate corrective action. </a:t>
          </a:r>
          <a:r>
            <a:rPr lang="en-US" sz="1400">
              <a:solidFill>
                <a:schemeClr val="tx1"/>
              </a:solidFill>
              <a:effectLst/>
              <a:latin typeface="Arial" panose="020B0604020202020204" pitchFamily="34" charset="0"/>
              <a:ea typeface="+mn-ea"/>
              <a:cs typeface="Arial" panose="020B0604020202020204" pitchFamily="34" charset="0"/>
            </a:rPr>
            <a:t>A milestone will identify specific requirements or key steps to correct an identified finding/action item.  </a:t>
          </a:r>
          <a:r>
            <a:rPr lang="en-US" sz="1400" b="0" i="0" u="none" strike="noStrike">
              <a:solidFill>
                <a:schemeClr val="tx1"/>
              </a:solidFill>
              <a:effectLst/>
              <a:latin typeface="Arial" panose="020B0604020202020204" pitchFamily="34" charset="0"/>
              <a:ea typeface="+mn-ea"/>
              <a:cs typeface="Arial" panose="020B0604020202020204" pitchFamily="34" charset="0"/>
            </a:rPr>
            <a:t>Milestone(s) with completion date entries, once recorded, </a:t>
          </a:r>
          <a:r>
            <a:rPr lang="en-US" sz="1400" b="1" i="1" u="none" strike="noStrike">
              <a:solidFill>
                <a:schemeClr val="tx1"/>
              </a:solidFill>
              <a:effectLst/>
              <a:latin typeface="Arial" panose="020B0604020202020204" pitchFamily="34" charset="0"/>
              <a:ea typeface="+mn-ea"/>
              <a:cs typeface="Arial" panose="020B0604020202020204" pitchFamily="34" charset="0"/>
            </a:rPr>
            <a:t>shall not </a:t>
          </a:r>
          <a:r>
            <a:rPr lang="en-US" sz="1400" b="0" i="0" u="none" strike="noStrike">
              <a:solidFill>
                <a:schemeClr val="tx1"/>
              </a:solidFill>
              <a:effectLst/>
              <a:latin typeface="Arial" panose="020B0604020202020204" pitchFamily="34" charset="0"/>
              <a:ea typeface="+mn-ea"/>
              <a:cs typeface="Arial" panose="020B0604020202020204" pitchFamily="34" charset="0"/>
            </a:rPr>
            <a:t>be removed or changed.</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Even if you only have </a:t>
          </a:r>
          <a:r>
            <a:rPr lang="en-US" sz="1400" b="1" i="1">
              <a:solidFill>
                <a:schemeClr val="tx1"/>
              </a:solidFill>
              <a:effectLst/>
              <a:latin typeface="Arial" panose="020B0604020202020204" pitchFamily="34" charset="0"/>
              <a:ea typeface="+mn-ea"/>
              <a:cs typeface="Arial" panose="020B0604020202020204" pitchFamily="34" charset="0"/>
            </a:rPr>
            <a:t>ONE</a:t>
          </a:r>
          <a:r>
            <a:rPr lang="en-US" sz="1400" b="0" i="0">
              <a:solidFill>
                <a:schemeClr val="tx1"/>
              </a:solidFill>
              <a:effectLst/>
              <a:latin typeface="Arial" panose="020B0604020202020204" pitchFamily="34" charset="0"/>
              <a:ea typeface="+mn-ea"/>
              <a:cs typeface="Arial" panose="020B0604020202020204" pitchFamily="34" charset="0"/>
            </a:rPr>
            <a:t> milestone it still needs to contain a completion date. </a:t>
          </a:r>
        </a:p>
        <a:p>
          <a:endParaRPr lang="en-US" sz="1400" b="0" i="0">
            <a:solidFill>
              <a:schemeClr val="tx1"/>
            </a:solidFill>
            <a:effectLst/>
            <a:latin typeface="Arial" panose="020B0604020202020204" pitchFamily="34" charset="0"/>
            <a:ea typeface="+mn-ea"/>
            <a:cs typeface="Arial" panose="020B0604020202020204" pitchFamily="34" charset="0"/>
          </a:endParaRPr>
        </a:p>
        <a:p>
          <a:r>
            <a:rPr lang="en-US" sz="1400" b="0" i="0">
              <a:solidFill>
                <a:schemeClr val="tx1"/>
              </a:solidFill>
              <a:effectLst/>
              <a:latin typeface="Arial" panose="020B0604020202020204" pitchFamily="34" charset="0"/>
              <a:ea typeface="+mn-ea"/>
              <a:cs typeface="Arial" panose="020B0604020202020204" pitchFamily="34" charset="0"/>
            </a:rPr>
            <a:t>For ease</a:t>
          </a:r>
          <a:r>
            <a:rPr lang="en-US" sz="1400" b="0" i="0" baseline="0">
              <a:solidFill>
                <a:schemeClr val="tx1"/>
              </a:solidFill>
              <a:effectLst/>
              <a:latin typeface="Arial" panose="020B0604020202020204" pitchFamily="34" charset="0"/>
              <a:ea typeface="+mn-ea"/>
              <a:cs typeface="Arial" panose="020B0604020202020204" pitchFamily="34" charset="0"/>
            </a:rPr>
            <a:t> of reading and managing, it is recommended you number your milestones as shown in the sample below and on the </a:t>
          </a:r>
          <a:r>
            <a:rPr lang="en-US" sz="1400" b="0" i="1" baseline="0">
              <a:solidFill>
                <a:schemeClr val="tx1"/>
              </a:solidFill>
              <a:effectLst/>
              <a:latin typeface="Arial" panose="020B0604020202020204" pitchFamily="34" charset="0"/>
              <a:ea typeface="+mn-ea"/>
              <a:cs typeface="Arial" panose="020B0604020202020204" pitchFamily="34" charset="0"/>
            </a:rPr>
            <a:t>POA&amp;M Sample </a:t>
          </a:r>
          <a:r>
            <a:rPr lang="en-US" sz="1400" b="0" i="0" baseline="0">
              <a:solidFill>
                <a:schemeClr val="tx1"/>
              </a:solidFill>
              <a:effectLst/>
              <a:latin typeface="Arial" panose="020B0604020202020204" pitchFamily="34" charset="0"/>
              <a:ea typeface="+mn-ea"/>
              <a:cs typeface="Arial" panose="020B0604020202020204" pitchFamily="34" charset="0"/>
            </a:rPr>
            <a:t>Tab. All milestones should be entered in the single cell provided that corresponds with the identified weakness. </a:t>
          </a:r>
        </a:p>
        <a:p>
          <a:endParaRPr lang="en-US" sz="1400" b="0" i="0" baseline="0">
            <a:solidFill>
              <a:schemeClr val="tx1"/>
            </a:solidFill>
            <a:effectLst/>
            <a:latin typeface="Arial" panose="020B0604020202020204" pitchFamily="34" charset="0"/>
            <a:ea typeface="+mn-ea"/>
            <a:cs typeface="Arial" panose="020B0604020202020204" pitchFamily="34" charset="0"/>
          </a:endParaRPr>
        </a:p>
        <a:p>
          <a:r>
            <a:rPr lang="en-US" sz="1400" b="0" i="0" baseline="0">
              <a:solidFill>
                <a:schemeClr val="tx1"/>
              </a:solidFill>
              <a:effectLst/>
              <a:latin typeface="Arial" panose="020B0604020202020204" pitchFamily="34" charset="0"/>
              <a:ea typeface="+mn-ea"/>
              <a:cs typeface="Arial" panose="020B0604020202020204" pitchFamily="34" charset="0"/>
            </a:rPr>
            <a:t>(1) Milestone1   08/10/2025</a:t>
          </a:r>
        </a:p>
        <a:p>
          <a:r>
            <a:rPr lang="en-US" sz="1400" b="0" i="0" baseline="0">
              <a:solidFill>
                <a:schemeClr val="tx1"/>
              </a:solidFill>
              <a:effectLst/>
              <a:latin typeface="Arial" panose="020B0604020202020204" pitchFamily="34" charset="0"/>
              <a:ea typeface="+mn-ea"/>
              <a:cs typeface="Arial" panose="020B0604020202020204" pitchFamily="34" charset="0"/>
            </a:rPr>
            <a:t>(2) Milestone2   09/15/2025</a:t>
          </a:r>
        </a:p>
        <a:p>
          <a:r>
            <a:rPr lang="en-US" sz="1400" b="0" i="0" baseline="0">
              <a:solidFill>
                <a:schemeClr val="tx1"/>
              </a:solidFill>
              <a:effectLst/>
              <a:latin typeface="Arial" panose="020B0604020202020204" pitchFamily="34" charset="0"/>
              <a:ea typeface="+mn-ea"/>
              <a:cs typeface="Arial" panose="020B0604020202020204" pitchFamily="34" charset="0"/>
            </a:rPr>
            <a:t>(3) Milestone3   10/30/2025</a:t>
          </a:r>
        </a:p>
        <a:p>
          <a:endParaRPr lang="en-US" sz="1400">
            <a:latin typeface="Arial" panose="020B0604020202020204" pitchFamily="34" charset="0"/>
            <a:cs typeface="Arial" panose="020B0604020202020204" pitchFamily="34" charset="0"/>
          </a:endParaRPr>
        </a:p>
        <a:p>
          <a:pPr>
            <a:lnSpc>
              <a:spcPts val="1600"/>
            </a:lnSpc>
          </a:pPr>
          <a:r>
            <a:rPr lang="en-US" sz="1400" b="1" i="0" u="none" strike="noStrike">
              <a:solidFill>
                <a:schemeClr val="tx1"/>
              </a:solidFill>
              <a:effectLst/>
              <a:latin typeface="Arial" panose="020B0604020202020204" pitchFamily="34" charset="0"/>
              <a:ea typeface="+mn-ea"/>
              <a:cs typeface="Arial" panose="020B0604020202020204" pitchFamily="34" charset="0"/>
            </a:rPr>
            <a:t>22. Changes to Milestone Completion Dates: </a:t>
          </a:r>
          <a:r>
            <a:rPr lang="en-US" sz="1400" b="0" i="0" u="none" strike="noStrike">
              <a:solidFill>
                <a:schemeClr val="tx1"/>
              </a:solidFill>
              <a:effectLst/>
              <a:latin typeface="Arial" panose="020B0604020202020204" pitchFamily="34" charset="0"/>
              <a:ea typeface="+mn-ea"/>
              <a:cs typeface="Arial" panose="020B0604020202020204" pitchFamily="34" charset="0"/>
            </a:rPr>
            <a:t>Any necessary revision to the original milestone completion date(s) due to the original date being surpassed because additional time or resources are required, shall be documented. This revised Milestone Completion Date(s) does not replace the original Milestone Completion Date, but is an amendment.</a:t>
          </a:r>
          <a:r>
            <a:rPr lang="en-US" sz="1400">
              <a:latin typeface="Arial" panose="020B0604020202020204" pitchFamily="34" charset="0"/>
              <a:cs typeface="Arial" panose="020B0604020202020204" pitchFamily="34" charset="0"/>
            </a:rPr>
            <a:t> </a:t>
          </a:r>
        </a:p>
        <a:p>
          <a:pPr>
            <a:lnSpc>
              <a:spcPts val="1600"/>
            </a:lnSpc>
          </a:pPr>
          <a:endParaRPr lang="en-US" sz="1400">
            <a:latin typeface="Arial" panose="020B0604020202020204" pitchFamily="34" charset="0"/>
            <a:cs typeface="Arial" panose="020B0604020202020204" pitchFamily="34" charset="0"/>
          </a:endParaRPr>
        </a:p>
        <a:p>
          <a:r>
            <a:rPr lang="en-US" sz="1400" b="0" i="0">
              <a:solidFill>
                <a:schemeClr val="tx1"/>
              </a:solidFill>
              <a:effectLst/>
              <a:latin typeface="Arial" panose="020B0604020202020204" pitchFamily="34" charset="0"/>
              <a:ea typeface="+mn-ea"/>
              <a:cs typeface="Arial" panose="020B0604020202020204" pitchFamily="34" charset="0"/>
            </a:rPr>
            <a:t>For ease</a:t>
          </a:r>
          <a:r>
            <a:rPr lang="en-US" sz="1400" b="0" i="0" baseline="0">
              <a:solidFill>
                <a:schemeClr val="tx1"/>
              </a:solidFill>
              <a:effectLst/>
              <a:latin typeface="Arial" panose="020B0604020202020204" pitchFamily="34" charset="0"/>
              <a:ea typeface="+mn-ea"/>
              <a:cs typeface="Arial" panose="020B0604020202020204" pitchFamily="34" charset="0"/>
            </a:rPr>
            <a:t> of reading and managing, it is recommended you number your milestone changes as shown in the sample below and on the </a:t>
          </a:r>
          <a:r>
            <a:rPr lang="en-US" sz="1400" b="0" i="1" baseline="0">
              <a:solidFill>
                <a:schemeClr val="tx1"/>
              </a:solidFill>
              <a:effectLst/>
              <a:latin typeface="Arial" panose="020B0604020202020204" pitchFamily="34" charset="0"/>
              <a:ea typeface="+mn-ea"/>
              <a:cs typeface="Arial" panose="020B0604020202020204" pitchFamily="34" charset="0"/>
            </a:rPr>
            <a:t>POA&amp;M Sample </a:t>
          </a:r>
          <a:r>
            <a:rPr lang="en-US" sz="1400" b="0" i="0" baseline="0">
              <a:solidFill>
                <a:schemeClr val="tx1"/>
              </a:solidFill>
              <a:effectLst/>
              <a:latin typeface="Arial" panose="020B0604020202020204" pitchFamily="34" charset="0"/>
              <a:ea typeface="+mn-ea"/>
              <a:cs typeface="Arial" panose="020B0604020202020204" pitchFamily="34" charset="0"/>
            </a:rPr>
            <a:t>Tab. It is also recommended you start with the milestone in which the plan has changed. All milestones should be entered in the single cell provided that corresponds with the identified weakness. </a:t>
          </a:r>
          <a:endParaRPr lang="en-US" sz="1400">
            <a:effectLst/>
            <a:latin typeface="Arial" panose="020B0604020202020204" pitchFamily="34" charset="0"/>
            <a:cs typeface="Arial" panose="020B0604020202020204" pitchFamily="34" charset="0"/>
          </a:endParaRPr>
        </a:p>
        <a:p>
          <a:endParaRPr lang="en-US" sz="1400" b="0" i="0" baseline="0">
            <a:solidFill>
              <a:schemeClr val="tx1"/>
            </a:solidFill>
            <a:effectLst/>
            <a:latin typeface="Arial" panose="020B0604020202020204" pitchFamily="34" charset="0"/>
            <a:ea typeface="+mn-ea"/>
            <a:cs typeface="Arial" panose="020B0604020202020204" pitchFamily="34" charset="0"/>
          </a:endParaRPr>
        </a:p>
        <a:p>
          <a:r>
            <a:rPr lang="en-US" sz="1400" b="0" i="0" baseline="0">
              <a:solidFill>
                <a:schemeClr val="tx1"/>
              </a:solidFill>
              <a:effectLst/>
              <a:latin typeface="Arial" panose="020B0604020202020204" pitchFamily="34" charset="0"/>
              <a:ea typeface="+mn-ea"/>
              <a:cs typeface="Arial" panose="020B0604020202020204" pitchFamily="34" charset="0"/>
            </a:rPr>
            <a:t>(2) Milestone2   10/01/2025</a:t>
          </a:r>
          <a:endParaRPr lang="en-US" sz="1400">
            <a:effectLst/>
            <a:latin typeface="Arial" panose="020B0604020202020204" pitchFamily="34" charset="0"/>
            <a:cs typeface="Arial" panose="020B0604020202020204" pitchFamily="34" charset="0"/>
          </a:endParaRPr>
        </a:p>
        <a:p>
          <a:r>
            <a:rPr lang="en-US" sz="1400" b="0" i="0" baseline="0">
              <a:solidFill>
                <a:schemeClr val="tx1"/>
              </a:solidFill>
              <a:effectLst/>
              <a:latin typeface="Arial" panose="020B0604020202020204" pitchFamily="34" charset="0"/>
              <a:ea typeface="+mn-ea"/>
              <a:cs typeface="Arial" panose="020B0604020202020204" pitchFamily="34" charset="0"/>
            </a:rPr>
            <a:t>(3) Milestone3   11/15/2025</a:t>
          </a:r>
          <a:endParaRPr lang="en-US" sz="1400">
            <a:effectLst/>
            <a:latin typeface="Arial" panose="020B0604020202020204" pitchFamily="34" charset="0"/>
            <a:cs typeface="Arial" panose="020B0604020202020204" pitchFamily="34" charset="0"/>
          </a:endParaRPr>
        </a:p>
        <a:p>
          <a:pPr>
            <a:lnSpc>
              <a:spcPts val="1600"/>
            </a:lnSpc>
          </a:pPr>
          <a:endParaRPr lang="en-US" sz="1400">
            <a:latin typeface="Arial" panose="020B0604020202020204" pitchFamily="34" charset="0"/>
            <a:cs typeface="Arial" panose="020B0604020202020204" pitchFamily="34" charset="0"/>
          </a:endParaRPr>
        </a:p>
        <a:p>
          <a:r>
            <a:rPr lang="en-US" sz="1400" b="1" i="0" u="none" strike="noStrike">
              <a:solidFill>
                <a:schemeClr val="tx1"/>
              </a:solidFill>
              <a:effectLst/>
              <a:latin typeface="Arial" panose="020B0604020202020204" pitchFamily="34" charset="0"/>
              <a:ea typeface="+mn-ea"/>
              <a:cs typeface="Arial" panose="020B0604020202020204" pitchFamily="34" charset="0"/>
            </a:rPr>
            <a:t>23. Updated Scheduled Completion Date:  </a:t>
          </a:r>
          <a:r>
            <a:rPr lang="en-US" sz="1400" b="0" i="0" u="none" strike="noStrike">
              <a:solidFill>
                <a:schemeClr val="tx1"/>
              </a:solidFill>
              <a:effectLst/>
              <a:latin typeface="Arial" panose="020B0604020202020204" pitchFamily="34" charset="0"/>
              <a:ea typeface="+mn-ea"/>
              <a:cs typeface="Arial" panose="020B0604020202020204" pitchFamily="34" charset="0"/>
            </a:rPr>
            <a:t>Revised scheduled completion date that accounts for changes to milestone completion dates, or additional time or resources required that delay beyond the original scheduled completion date. </a:t>
          </a:r>
        </a:p>
        <a:p>
          <a:endParaRPr lang="en-US" sz="1400" b="1" i="0" u="none" strike="noStrike">
            <a:solidFill>
              <a:schemeClr val="tx1"/>
            </a:solidFill>
            <a:effectLst/>
            <a:latin typeface="Arial" panose="020B0604020202020204" pitchFamily="34" charset="0"/>
            <a:ea typeface="+mn-ea"/>
            <a:cs typeface="Arial" panose="020B0604020202020204" pitchFamily="34" charset="0"/>
          </a:endParaRPr>
        </a:p>
        <a:p>
          <a:r>
            <a:rPr lang="en-US" sz="1400" b="1" i="0" u="none" strike="noStrike">
              <a:solidFill>
                <a:schemeClr val="tx1"/>
              </a:solidFill>
              <a:effectLst/>
              <a:latin typeface="Arial" panose="020B0604020202020204" pitchFamily="34" charset="0"/>
              <a:ea typeface="+mn-ea"/>
              <a:cs typeface="Arial" panose="020B0604020202020204" pitchFamily="34" charset="0"/>
            </a:rPr>
            <a:t>24. Actual Completion Date: </a:t>
          </a:r>
          <a:r>
            <a:rPr lang="en-US" sz="1400" b="1">
              <a:latin typeface="Arial" panose="020B0604020202020204" pitchFamily="34" charset="0"/>
              <a:cs typeface="Arial" panose="020B0604020202020204" pitchFamily="34" charset="0"/>
            </a:rPr>
            <a:t> </a:t>
          </a:r>
          <a:r>
            <a:rPr lang="en-US" sz="1400" b="0">
              <a:latin typeface="Arial" panose="020B0604020202020204" pitchFamily="34" charset="0"/>
              <a:cs typeface="Arial" panose="020B0604020202020204" pitchFamily="34" charset="0"/>
            </a:rPr>
            <a:t>The actual date</a:t>
          </a:r>
          <a:r>
            <a:rPr lang="en-US" sz="1400" b="0" baseline="0">
              <a:latin typeface="Arial" panose="020B0604020202020204" pitchFamily="34" charset="0"/>
              <a:cs typeface="Arial" panose="020B0604020202020204" pitchFamily="34" charset="0"/>
            </a:rPr>
            <a:t> that all of the finding milestones have been completed and the finding can be closed. </a:t>
          </a:r>
          <a:endParaRPr lang="en-US" sz="1400" b="0">
            <a:latin typeface="Arial" panose="020B0604020202020204" pitchFamily="34" charset="0"/>
            <a:cs typeface="Arial" panose="020B0604020202020204" pitchFamily="34" charset="0"/>
          </a:endParaRPr>
        </a:p>
        <a:p>
          <a:pPr>
            <a:lnSpc>
              <a:spcPts val="1600"/>
            </a:lnSpc>
          </a:pPr>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r>
            <a:rPr lang="en-US" sz="1400" b="1" i="0" u="none" strike="noStrike">
              <a:solidFill>
                <a:schemeClr val="tx1"/>
              </a:solidFill>
              <a:effectLst/>
              <a:latin typeface="Arial" panose="020B0604020202020204" pitchFamily="34" charset="0"/>
              <a:ea typeface="+mn-ea"/>
              <a:cs typeface="Arial" panose="020B0604020202020204" pitchFamily="34" charset="0"/>
            </a:rPr>
            <a:t>25</a:t>
          </a:r>
          <a:r>
            <a:rPr lang="en-US" sz="1400" b="0" i="0" u="none" strike="noStrike">
              <a:solidFill>
                <a:schemeClr val="tx1"/>
              </a:solidFill>
              <a:effectLst/>
              <a:latin typeface="Arial" panose="020B0604020202020204" pitchFamily="34" charset="0"/>
              <a:ea typeface="+mn-ea"/>
              <a:cs typeface="Arial" panose="020B0604020202020204" pitchFamily="34" charset="0"/>
            </a:rPr>
            <a:t>. </a:t>
          </a:r>
          <a:r>
            <a:rPr lang="en-US" sz="1400" b="1" i="0" u="none" strike="noStrike">
              <a:solidFill>
                <a:schemeClr val="tx1"/>
              </a:solidFill>
              <a:effectLst/>
              <a:latin typeface="Arial" panose="020B0604020202020204" pitchFamily="34" charset="0"/>
              <a:ea typeface="+mn-ea"/>
              <a:cs typeface="Arial" panose="020B0604020202020204" pitchFamily="34" charset="0"/>
            </a:rPr>
            <a:t>Finding Status </a:t>
          </a:r>
          <a:r>
            <a:rPr lang="en-US" sz="1400" b="1" i="0" baseline="0">
              <a:solidFill>
                <a:schemeClr val="tx1"/>
              </a:solidFill>
              <a:effectLst/>
              <a:latin typeface="Arial" panose="020B0604020202020204" pitchFamily="34" charset="0"/>
              <a:ea typeface="+mn-ea"/>
              <a:cs typeface="Arial" panose="020B0604020202020204" pitchFamily="34" charset="0"/>
            </a:rPr>
            <a:t>[Drop-down list provided]: </a:t>
          </a:r>
          <a:r>
            <a:rPr lang="en-US" sz="1400" b="1" i="0" u="none" strike="noStrike">
              <a:solidFill>
                <a:schemeClr val="tx1"/>
              </a:solidFill>
              <a:effectLst/>
              <a:latin typeface="Arial" panose="020B0604020202020204" pitchFamily="34" charset="0"/>
              <a:ea typeface="+mn-ea"/>
              <a:cs typeface="Arial" panose="020B0604020202020204" pitchFamily="34" charset="0"/>
            </a:rPr>
            <a:t> </a:t>
          </a:r>
          <a:r>
            <a:rPr lang="en-US" sz="1400" b="0" i="0" u="none" strike="noStrike">
              <a:solidFill>
                <a:schemeClr val="tx1"/>
              </a:solidFill>
              <a:effectLst/>
              <a:latin typeface="Arial" panose="020B0604020202020204" pitchFamily="34" charset="0"/>
              <a:ea typeface="+mn-ea"/>
              <a:cs typeface="Arial" panose="020B0604020202020204" pitchFamily="34" charset="0"/>
            </a:rPr>
            <a:t>A status shall be assigned to each finding.  </a:t>
          </a:r>
        </a:p>
        <a:p>
          <a:pPr>
            <a:lnSpc>
              <a:spcPts val="1600"/>
            </a:lnSpc>
          </a:pPr>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pPr>
            <a:lnSpc>
              <a:spcPts val="1600"/>
            </a:lnSpc>
          </a:pPr>
          <a:r>
            <a:rPr lang="en-US" sz="1400" b="0" i="0" u="none" strike="noStrike">
              <a:solidFill>
                <a:schemeClr val="tx1"/>
              </a:solidFill>
              <a:effectLst/>
              <a:latin typeface="Arial" panose="020B0604020202020204" pitchFamily="34" charset="0"/>
              <a:ea typeface="+mn-ea"/>
              <a:cs typeface="Arial" panose="020B0604020202020204" pitchFamily="34" charset="0"/>
            </a:rPr>
            <a:t>Chose</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 from the following three options:</a:t>
          </a:r>
          <a:r>
            <a:rPr lang="en-US" sz="1400" b="0" i="0" u="none" strike="noStrike">
              <a:solidFill>
                <a:schemeClr val="tx1"/>
              </a:solidFill>
              <a:effectLst/>
              <a:latin typeface="Arial" panose="020B0604020202020204" pitchFamily="34" charset="0"/>
              <a:ea typeface="+mn-ea"/>
              <a:cs typeface="Arial" panose="020B0604020202020204" pitchFamily="34" charset="0"/>
            </a:rPr>
            <a:t> </a:t>
          </a:r>
        </a:p>
        <a:p>
          <a:pPr>
            <a:lnSpc>
              <a:spcPts val="1600"/>
            </a:lnSpc>
          </a:pPr>
          <a:r>
            <a:rPr lang="en-US" sz="1400" b="0" i="0" u="none" strike="noStrike">
              <a:solidFill>
                <a:schemeClr val="tx1"/>
              </a:solidFill>
              <a:effectLst/>
              <a:latin typeface="Arial" panose="020B0604020202020204" pitchFamily="34" charset="0"/>
              <a:ea typeface="+mn-ea"/>
              <a:cs typeface="Arial" panose="020B0604020202020204" pitchFamily="34" charset="0"/>
            </a:rPr>
            <a:t>                                                                                                                                                                                       </a:t>
          </a:r>
        </a:p>
        <a:p>
          <a:r>
            <a:rPr lang="en-US" sz="1400" b="1" i="1" u="none" strike="noStrike">
              <a:solidFill>
                <a:schemeClr val="tx1"/>
              </a:solidFill>
              <a:effectLst/>
              <a:latin typeface="Arial" panose="020B0604020202020204" pitchFamily="34" charset="0"/>
              <a:ea typeface="+mn-ea"/>
              <a:cs typeface="Arial" panose="020B0604020202020204" pitchFamily="34" charset="0"/>
            </a:rPr>
            <a:t>Completed</a:t>
          </a:r>
          <a:r>
            <a:rPr lang="en-US" sz="1400" b="0" i="0" u="none" strike="noStrike">
              <a:solidFill>
                <a:schemeClr val="tx1"/>
              </a:solidFill>
              <a:effectLst/>
              <a:latin typeface="Arial" panose="020B0604020202020204" pitchFamily="34" charset="0"/>
              <a:ea typeface="+mn-ea"/>
              <a:cs typeface="Arial" panose="020B0604020202020204" pitchFamily="34" charset="0"/>
            </a:rPr>
            <a:t>—This status is assigned when all corrective actions have been completed for a weakness such that the weakness is successfully mitigated. Documentation shall be required to demonstrate the weakness has successfully been resolved. The Date of Completion shall be recorded for a completed weakness.</a:t>
          </a:r>
          <a:br>
            <a:rPr lang="en-US" sz="1400" b="0" i="0" u="none" strike="noStrike">
              <a:solidFill>
                <a:schemeClr val="tx1"/>
              </a:solidFill>
              <a:effectLst/>
              <a:latin typeface="Arial" panose="020B0604020202020204" pitchFamily="34" charset="0"/>
              <a:ea typeface="+mn-ea"/>
              <a:cs typeface="Arial" panose="020B0604020202020204" pitchFamily="34" charset="0"/>
            </a:rPr>
          </a:br>
          <a:r>
            <a:rPr lang="en-US" sz="1400" b="1" i="1" u="none" strike="noStrike">
              <a:solidFill>
                <a:schemeClr val="tx1"/>
              </a:solidFill>
              <a:effectLst/>
              <a:latin typeface="Arial" panose="020B0604020202020204" pitchFamily="34" charset="0"/>
              <a:ea typeface="+mn-ea"/>
              <a:cs typeface="Arial" panose="020B0604020202020204" pitchFamily="34" charset="0"/>
            </a:rPr>
            <a:t>Ongoing</a:t>
          </a:r>
          <a:r>
            <a:rPr lang="en-US" sz="1400" b="0" i="0" u="none" strike="noStrike">
              <a:solidFill>
                <a:schemeClr val="tx1"/>
              </a:solidFill>
              <a:effectLst/>
              <a:latin typeface="Arial" panose="020B0604020202020204" pitchFamily="34" charset="0"/>
              <a:ea typeface="+mn-ea"/>
              <a:cs typeface="Arial" panose="020B0604020202020204" pitchFamily="34" charset="0"/>
            </a:rPr>
            <a:t>—This status is assigned only when a weakness is in the process of being mitigated and has not yet exceeded the associated Scheduled Completion Date.</a:t>
          </a:r>
          <a:br>
            <a:rPr lang="en-US" sz="1400" b="0" i="0" u="none" strike="noStrike">
              <a:solidFill>
                <a:schemeClr val="tx1"/>
              </a:solidFill>
              <a:effectLst/>
              <a:latin typeface="Arial" panose="020B0604020202020204" pitchFamily="34" charset="0"/>
              <a:ea typeface="+mn-ea"/>
              <a:cs typeface="Arial" panose="020B0604020202020204" pitchFamily="34" charset="0"/>
            </a:rPr>
          </a:br>
          <a:r>
            <a:rPr lang="en-US" sz="1400" b="1" i="1" u="none" strike="noStrike">
              <a:solidFill>
                <a:schemeClr val="tx1"/>
              </a:solidFill>
              <a:effectLst/>
              <a:latin typeface="Arial" panose="020B0604020202020204" pitchFamily="34" charset="0"/>
              <a:ea typeface="+mn-ea"/>
              <a:cs typeface="Arial" panose="020B0604020202020204" pitchFamily="34" charset="0"/>
            </a:rPr>
            <a:t>Delayed</a:t>
          </a:r>
          <a:r>
            <a:rPr lang="en-US" sz="1400" b="0" i="0" u="none" strike="noStrike">
              <a:solidFill>
                <a:schemeClr val="tx1"/>
              </a:solidFill>
              <a:effectLst/>
              <a:latin typeface="Arial" panose="020B0604020202020204" pitchFamily="34" charset="0"/>
              <a:ea typeface="+mn-ea"/>
              <a:cs typeface="Arial" panose="020B0604020202020204" pitchFamily="34" charset="0"/>
            </a:rPr>
            <a:t>—This status is assigned when a weakness is being mitigated after the associated Scheduled Completion Date has passed. An explanation shall be provided in the Weakness Comments field.</a:t>
          </a:r>
        </a:p>
        <a:p>
          <a:r>
            <a:rPr lang="en-US" sz="1400" b="1" i="1" u="none" strike="noStrike" noProof="0">
              <a:solidFill>
                <a:schemeClr val="tx1"/>
              </a:solidFill>
              <a:effectLst/>
              <a:latin typeface="Arial" panose="020B0604020202020204" pitchFamily="34" charset="0"/>
              <a:ea typeface="+mn-ea"/>
              <a:cs typeface="Arial" panose="020B0604020202020204" pitchFamily="34" charset="0"/>
            </a:rPr>
            <a:t>Risk</a:t>
          </a:r>
          <a:r>
            <a:rPr kumimoji="0" lang="en-US" sz="1400" b="1" i="1" u="none"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 </a:t>
          </a:r>
          <a:r>
            <a:rPr lang="en-US" sz="1400" b="1" i="1" u="none" strike="noStrike" noProof="0">
              <a:solidFill>
                <a:schemeClr val="tx1"/>
              </a:solidFill>
              <a:effectLst/>
              <a:latin typeface="Arial" panose="020B0604020202020204" pitchFamily="34" charset="0"/>
              <a:ea typeface="+mn-ea"/>
              <a:cs typeface="Arial" panose="020B0604020202020204" pitchFamily="34" charset="0"/>
            </a:rPr>
            <a:t>Accepted</a:t>
          </a:r>
          <a:r>
            <a:rPr lang="en-US" sz="1400" b="0" i="0">
              <a:solidFill>
                <a:schemeClr val="tx1"/>
              </a:solidFill>
              <a:effectLst/>
              <a:latin typeface="Arial" panose="020B0604020202020204" pitchFamily="34" charset="0"/>
              <a:ea typeface="+mn-ea"/>
              <a:cs typeface="Arial" panose="020B0604020202020204" pitchFamily="34" charset="0"/>
            </a:rPr>
            <a:t>— </a:t>
          </a:r>
          <a:r>
            <a:rPr lang="en-US" sz="1400" b="0" i="0" u="none" strike="noStrike" noProof="0">
              <a:solidFill>
                <a:schemeClr val="tx1"/>
              </a:solidFill>
              <a:effectLst/>
              <a:latin typeface="Arial" panose="020B0604020202020204" pitchFamily="34" charset="0"/>
              <a:ea typeface="+mn-ea"/>
              <a:cs typeface="Arial" panose="020B0604020202020204" pitchFamily="34" charset="0"/>
            </a:rPr>
            <a:t>This status is assigned when mitigation measures to address a weakness have been exhausted. Risk acceptance is the appropriate risk response when the identified risk is within the organizational risk tolerance level, based on mission, business, or operational needs. </a:t>
          </a:r>
          <a:r>
            <a:rPr lang="en-US" sz="1400" b="1" i="0" u="none" strike="noStrike" noProof="0">
              <a:solidFill>
                <a:schemeClr val="tx1"/>
              </a:solidFill>
              <a:effectLst/>
              <a:latin typeface="Arial" panose="020B0604020202020204" pitchFamily="34" charset="0"/>
              <a:ea typeface="+mn-ea"/>
              <a:cs typeface="Arial" panose="020B0604020202020204" pitchFamily="34" charset="0"/>
            </a:rPr>
            <a:t>Risk accepted findings are considered open findings.</a:t>
          </a:r>
          <a:br>
            <a:rPr lang="en-US" sz="1400" b="1" i="0" u="none" strike="noStrike">
              <a:solidFill>
                <a:schemeClr val="tx1"/>
              </a:solidFill>
              <a:effectLst/>
              <a:latin typeface="Arial" panose="020B0604020202020204" pitchFamily="34" charset="0"/>
              <a:ea typeface="+mn-ea"/>
              <a:cs typeface="Arial" panose="020B0604020202020204" pitchFamily="34" charset="0"/>
            </a:rPr>
          </a:br>
          <a:endParaRPr lang="en-US" sz="1400" b="1" i="0" u="none" strike="noStrike">
            <a:solidFill>
              <a:schemeClr val="tx1"/>
            </a:solidFill>
            <a:effectLst/>
            <a:latin typeface="Arial" panose="020B0604020202020204" pitchFamily="34" charset="0"/>
            <a:ea typeface="+mn-ea"/>
            <a:cs typeface="Arial" panose="020B0604020202020204" pitchFamily="34" charset="0"/>
          </a:endParaRPr>
        </a:p>
        <a:p>
          <a:pPr>
            <a:lnSpc>
              <a:spcPts val="1600"/>
            </a:lnSpc>
          </a:pPr>
          <a:r>
            <a:rPr lang="en-US" sz="1400" b="1" i="0" u="none" strike="noStrike">
              <a:solidFill>
                <a:schemeClr val="tx1"/>
              </a:solidFill>
              <a:effectLst/>
              <a:latin typeface="Arial" panose="020B0604020202020204" pitchFamily="34" charset="0"/>
              <a:ea typeface="+mn-ea"/>
              <a:cs typeface="Arial" panose="020B0604020202020204" pitchFamily="34" charset="0"/>
            </a:rPr>
            <a:t>26</a:t>
          </a:r>
          <a:r>
            <a:rPr lang="en-US" sz="1400" b="0" i="0" u="none" strike="noStrike">
              <a:solidFill>
                <a:schemeClr val="tx1"/>
              </a:solidFill>
              <a:effectLst/>
              <a:latin typeface="Arial" panose="020B0604020202020204" pitchFamily="34" charset="0"/>
              <a:ea typeface="+mn-ea"/>
              <a:cs typeface="Arial" panose="020B0604020202020204" pitchFamily="34" charset="0"/>
            </a:rPr>
            <a:t>. </a:t>
          </a:r>
          <a:r>
            <a:rPr lang="en-US" sz="1400" b="1" i="0" u="none" strike="noStrike">
              <a:solidFill>
                <a:schemeClr val="tx1"/>
              </a:solidFill>
              <a:effectLst/>
              <a:latin typeface="Arial" panose="020B0604020202020204" pitchFamily="34" charset="0"/>
              <a:ea typeface="+mn-ea"/>
              <a:cs typeface="Arial" panose="020B0604020202020204" pitchFamily="34" charset="0"/>
            </a:rPr>
            <a:t>Risk Level [Drop-down list provided]: </a:t>
          </a:r>
          <a:r>
            <a:rPr lang="en-US" sz="1400" b="0" i="0" u="none" strike="noStrike">
              <a:solidFill>
                <a:schemeClr val="tx1"/>
              </a:solidFill>
              <a:effectLst/>
              <a:latin typeface="Arial" panose="020B0604020202020204" pitchFamily="34" charset="0"/>
              <a:ea typeface="+mn-ea"/>
              <a:cs typeface="Arial" panose="020B0604020202020204" pitchFamily="34" charset="0"/>
            </a:rPr>
            <a:t>Risk level of weakness identified in SAR, Audit or Review.</a:t>
          </a:r>
          <a:r>
            <a:rPr lang="en-US" sz="1400">
              <a:latin typeface="Arial" panose="020B0604020202020204" pitchFamily="34" charset="0"/>
              <a:cs typeface="Arial" panose="020B0604020202020204" pitchFamily="34" charset="0"/>
            </a:rPr>
            <a:t> </a:t>
          </a:r>
          <a:r>
            <a:rPr lang="en-US" sz="1400">
              <a:solidFill>
                <a:schemeClr val="tx1"/>
              </a:solidFill>
              <a:effectLst/>
              <a:latin typeface="Arial" panose="020B0604020202020204" pitchFamily="34" charset="0"/>
              <a:ea typeface="+mn-ea"/>
              <a:cs typeface="Arial" panose="020B0604020202020204" pitchFamily="34" charset="0"/>
            </a:rPr>
            <a:t>The assignment of risk levels should follow the methodology outlined in NIST 800-30 Appendices</a:t>
          </a:r>
          <a:r>
            <a:rPr lang="en-US" sz="1400" baseline="0">
              <a:solidFill>
                <a:schemeClr val="tx1"/>
              </a:solidFill>
              <a:effectLst/>
              <a:latin typeface="Arial" panose="020B0604020202020204" pitchFamily="34" charset="0"/>
              <a:ea typeface="+mn-ea"/>
              <a:cs typeface="Arial" panose="020B0604020202020204" pitchFamily="34" charset="0"/>
            </a:rPr>
            <a:t> G,H,</a:t>
          </a:r>
          <a:r>
            <a:rPr lang="en-US" sz="1400">
              <a:solidFill>
                <a:schemeClr val="tx1"/>
              </a:solidFill>
              <a:effectLst/>
              <a:latin typeface="Arial" panose="020B0604020202020204" pitchFamily="34" charset="0"/>
              <a:ea typeface="+mn-ea"/>
              <a:cs typeface="Arial" panose="020B0604020202020204" pitchFamily="34" charset="0"/>
            </a:rPr>
            <a:t> and I.  In assigning risk levels, CMS requires 4 levels of granularity: Critical, High, Moderate, and Low.  (See</a:t>
          </a:r>
          <a:r>
            <a:rPr lang="en-US" sz="1400" baseline="0">
              <a:solidFill>
                <a:schemeClr val="tx1"/>
              </a:solidFill>
              <a:effectLst/>
              <a:latin typeface="Arial" panose="020B0604020202020204" pitchFamily="34" charset="0"/>
              <a:ea typeface="+mn-ea"/>
              <a:cs typeface="Arial" panose="020B0604020202020204" pitchFamily="34" charset="0"/>
            </a:rPr>
            <a:t> the </a:t>
          </a:r>
          <a:r>
            <a:rPr lang="en-US" sz="1400" i="1" baseline="0">
              <a:solidFill>
                <a:schemeClr val="tx1"/>
              </a:solidFill>
              <a:effectLst/>
              <a:latin typeface="Arial" panose="020B0604020202020204" pitchFamily="34" charset="0"/>
              <a:ea typeface="+mn-ea"/>
              <a:cs typeface="Arial" panose="020B0604020202020204" pitchFamily="34" charset="0"/>
            </a:rPr>
            <a:t>Risk Calculation Instructions </a:t>
          </a:r>
          <a:r>
            <a:rPr lang="en-US" sz="1400" baseline="0">
              <a:solidFill>
                <a:schemeClr val="tx1"/>
              </a:solidFill>
              <a:effectLst/>
              <a:latin typeface="Arial" panose="020B0604020202020204" pitchFamily="34" charset="0"/>
              <a:ea typeface="+mn-ea"/>
              <a:cs typeface="Arial" panose="020B0604020202020204" pitchFamily="34" charset="0"/>
            </a:rPr>
            <a:t>tab for additional information). </a:t>
          </a:r>
          <a:endParaRPr lang="en-US" sz="1400">
            <a:solidFill>
              <a:schemeClr val="tx1"/>
            </a:solidFill>
            <a:effectLst/>
            <a:latin typeface="Arial" panose="020B0604020202020204" pitchFamily="34" charset="0"/>
            <a:ea typeface="+mn-ea"/>
            <a:cs typeface="Arial" panose="020B0604020202020204" pitchFamily="34" charset="0"/>
          </a:endParaRPr>
        </a:p>
        <a:p>
          <a:pPr>
            <a:lnSpc>
              <a:spcPts val="1600"/>
            </a:lnSpc>
          </a:pPr>
          <a:endParaRPr lang="en-US" sz="1400">
            <a:solidFill>
              <a:schemeClr val="tx1"/>
            </a:solidFill>
            <a:effectLst/>
            <a:latin typeface="Arial" panose="020B0604020202020204" pitchFamily="34" charset="0"/>
            <a:ea typeface="+mn-ea"/>
            <a:cs typeface="Arial" panose="020B0604020202020204" pitchFamily="34" charset="0"/>
          </a:endParaRPr>
        </a:p>
        <a:p>
          <a:pPr>
            <a:lnSpc>
              <a:spcPts val="1600"/>
            </a:lnSpc>
          </a:pPr>
          <a:r>
            <a:rPr lang="en-US" sz="1400">
              <a:solidFill>
                <a:schemeClr val="tx1"/>
              </a:solidFill>
              <a:effectLst/>
              <a:latin typeface="Arial" panose="020B0604020202020204" pitchFamily="34" charset="0"/>
              <a:ea typeface="+mn-ea"/>
              <a:cs typeface="Arial" panose="020B0604020202020204" pitchFamily="34" charset="0"/>
            </a:rPr>
            <a:t>The 4 risk levels are defined</a:t>
          </a:r>
          <a:r>
            <a:rPr lang="en-US" sz="1400" baseline="0">
              <a:solidFill>
                <a:schemeClr val="tx1"/>
              </a:solidFill>
              <a:effectLst/>
              <a:latin typeface="Arial" panose="020B0604020202020204" pitchFamily="34" charset="0"/>
              <a:ea typeface="+mn-ea"/>
              <a:cs typeface="Arial" panose="020B0604020202020204" pitchFamily="34" charset="0"/>
            </a:rPr>
            <a:t> as follows:</a:t>
          </a:r>
        </a:p>
        <a:p>
          <a:pPr>
            <a:lnSpc>
              <a:spcPts val="1600"/>
            </a:lnSpc>
          </a:pPr>
          <a:endParaRPr lang="en-US" sz="1400" baseline="0">
            <a:solidFill>
              <a:schemeClr val="tx1"/>
            </a:solidFill>
            <a:effectLst/>
            <a:latin typeface="Arial" panose="020B0604020202020204" pitchFamily="34" charset="0"/>
            <a:ea typeface="+mn-ea"/>
            <a:cs typeface="Arial" panose="020B0604020202020204" pitchFamily="34" charset="0"/>
          </a:endParaRPr>
        </a:p>
        <a:p>
          <a:pPr rtl="0"/>
          <a:r>
            <a:rPr lang="en-US" sz="1400" b="1" i="1" baseline="0">
              <a:solidFill>
                <a:schemeClr val="tx1"/>
              </a:solidFill>
              <a:effectLst/>
              <a:latin typeface="Arial" panose="020B0604020202020204" pitchFamily="34" charset="0"/>
              <a:ea typeface="+mn-ea"/>
              <a:cs typeface="Arial" panose="020B0604020202020204" pitchFamily="34" charset="0"/>
            </a:rPr>
            <a:t>Critical: </a:t>
          </a:r>
          <a:r>
            <a:rPr lang="en-US" sz="1400" b="0" i="0" baseline="0">
              <a:solidFill>
                <a:schemeClr val="tx1"/>
              </a:solidFill>
              <a:effectLst/>
              <a:latin typeface="Arial" panose="020B0604020202020204" pitchFamily="34" charset="0"/>
              <a:ea typeface="+mn-ea"/>
              <a:cs typeface="Arial" panose="020B0604020202020204" pitchFamily="34" charset="0"/>
            </a:rPr>
            <a:t>Critical risk means that a threat event could be expected to have</a:t>
          </a:r>
          <a:r>
            <a:rPr lang="en-US" sz="1400">
              <a:solidFill>
                <a:schemeClr val="tx1"/>
              </a:solidFill>
              <a:effectLst/>
              <a:latin typeface="Arial" panose="020B0604020202020204" pitchFamily="34" charset="0"/>
              <a:ea typeface="+mn-ea"/>
              <a:cs typeface="Arial" panose="020B0604020202020204" pitchFamily="34" charset="0"/>
            </a:rPr>
            <a:t> </a:t>
          </a:r>
          <a:r>
            <a:rPr lang="en-US" sz="1400" b="0" i="0">
              <a:solidFill>
                <a:schemeClr val="tx1"/>
              </a:solidFill>
              <a:effectLst/>
              <a:latin typeface="Arial" panose="020B0604020202020204" pitchFamily="34" charset="0"/>
              <a:ea typeface="+mn-ea"/>
              <a:cs typeface="Arial" panose="020B0604020202020204" pitchFamily="34" charset="0"/>
            </a:rPr>
            <a:t>a </a:t>
          </a:r>
          <a:r>
            <a:rPr lang="en-US" sz="1400" b="1" i="1">
              <a:solidFill>
                <a:schemeClr val="tx1"/>
              </a:solidFill>
              <a:effectLst/>
              <a:latin typeface="Arial" panose="020B0604020202020204" pitchFamily="34" charset="0"/>
              <a:ea typeface="+mn-ea"/>
              <a:cs typeface="Arial" panose="020B0604020202020204" pitchFamily="34" charset="0"/>
            </a:rPr>
            <a:t>multiple severe or catastrophic </a:t>
          </a:r>
          <a:r>
            <a:rPr lang="en-US" sz="1400">
              <a:solidFill>
                <a:schemeClr val="tx1"/>
              </a:solidFill>
              <a:effectLst/>
              <a:latin typeface="Arial" panose="020B0604020202020204" pitchFamily="34" charset="0"/>
              <a:ea typeface="+mn-ea"/>
              <a:cs typeface="Arial" panose="020B0604020202020204" pitchFamily="34" charset="0"/>
            </a:rPr>
            <a:t>adverse effect on organizational operations, organizational assets, individuals, other organizations, or the Nation. </a:t>
          </a:r>
        </a:p>
        <a:p>
          <a:pPr rtl="0"/>
          <a:r>
            <a:rPr lang="en-US" sz="1400" b="1" i="1" baseline="0">
              <a:solidFill>
                <a:schemeClr val="tx1"/>
              </a:solidFill>
              <a:effectLst/>
              <a:latin typeface="Arial" panose="020B0604020202020204" pitchFamily="34" charset="0"/>
              <a:ea typeface="+mn-ea"/>
              <a:cs typeface="Arial" panose="020B0604020202020204" pitchFamily="34" charset="0"/>
            </a:rPr>
            <a:t>High: </a:t>
          </a:r>
          <a:r>
            <a:rPr lang="en-US" sz="1400">
              <a:solidFill>
                <a:schemeClr val="tx1"/>
              </a:solidFill>
              <a:effectLst/>
              <a:latin typeface="Arial" panose="020B0604020202020204" pitchFamily="34" charset="0"/>
              <a:ea typeface="+mn-ea"/>
              <a:cs typeface="Arial" panose="020B0604020202020204" pitchFamily="34" charset="0"/>
            </a:rPr>
            <a:t>High risk</a:t>
          </a:r>
          <a:r>
            <a:rPr lang="en-US" sz="1400" baseline="0">
              <a:solidFill>
                <a:schemeClr val="tx1"/>
              </a:solidFill>
              <a:effectLst/>
              <a:latin typeface="Arial" panose="020B0604020202020204" pitchFamily="34" charset="0"/>
              <a:ea typeface="+mn-ea"/>
              <a:cs typeface="Arial" panose="020B0604020202020204" pitchFamily="34" charset="0"/>
            </a:rPr>
            <a:t> </a:t>
          </a:r>
          <a:r>
            <a:rPr lang="en-US" sz="1400">
              <a:solidFill>
                <a:schemeClr val="tx1"/>
              </a:solidFill>
              <a:effectLst/>
              <a:latin typeface="Arial" panose="020B0604020202020204" pitchFamily="34" charset="0"/>
              <a:ea typeface="+mn-ea"/>
              <a:cs typeface="Arial" panose="020B0604020202020204" pitchFamily="34" charset="0"/>
            </a:rPr>
            <a:t>means</a:t>
          </a:r>
          <a:r>
            <a:rPr lang="en-US" sz="1400" baseline="0">
              <a:solidFill>
                <a:schemeClr val="tx1"/>
              </a:solidFill>
              <a:effectLst/>
              <a:latin typeface="Arial" panose="020B0604020202020204" pitchFamily="34" charset="0"/>
              <a:ea typeface="+mn-ea"/>
              <a:cs typeface="Arial" panose="020B0604020202020204" pitchFamily="34" charset="0"/>
            </a:rPr>
            <a:t> </a:t>
          </a:r>
          <a:r>
            <a:rPr lang="en-US" sz="1400">
              <a:solidFill>
                <a:schemeClr val="tx1"/>
              </a:solidFill>
              <a:effectLst/>
              <a:latin typeface="Arial" panose="020B0604020202020204" pitchFamily="34" charset="0"/>
              <a:ea typeface="+mn-ea"/>
              <a:cs typeface="Arial" panose="020B0604020202020204" pitchFamily="34" charset="0"/>
            </a:rPr>
            <a:t>that a threat event could be expected to have a </a:t>
          </a:r>
          <a:r>
            <a:rPr lang="en-US" sz="1400" b="1" i="1">
              <a:solidFill>
                <a:schemeClr val="tx1"/>
              </a:solidFill>
              <a:effectLst/>
              <a:latin typeface="Arial" panose="020B0604020202020204" pitchFamily="34" charset="0"/>
              <a:ea typeface="+mn-ea"/>
              <a:cs typeface="Arial" panose="020B0604020202020204" pitchFamily="34" charset="0"/>
            </a:rPr>
            <a:t>severe or catastrophic </a:t>
          </a:r>
          <a:r>
            <a:rPr lang="en-US" sz="1400">
              <a:solidFill>
                <a:schemeClr val="tx1"/>
              </a:solidFill>
              <a:effectLst/>
              <a:latin typeface="Arial" panose="020B0604020202020204" pitchFamily="34" charset="0"/>
              <a:ea typeface="+mn-ea"/>
              <a:cs typeface="Arial" panose="020B0604020202020204" pitchFamily="34" charset="0"/>
            </a:rPr>
            <a:t>adverse effect on organizational operations, organizational assets, individuals, other organizations, or the Nation. </a:t>
          </a:r>
          <a:endParaRPr lang="en-US" sz="1400" baseline="0">
            <a:solidFill>
              <a:schemeClr val="tx1"/>
            </a:solidFill>
            <a:effectLst/>
            <a:latin typeface="Arial" panose="020B0604020202020204" pitchFamily="34" charset="0"/>
            <a:ea typeface="+mn-ea"/>
            <a:cs typeface="Arial" panose="020B0604020202020204" pitchFamily="34" charset="0"/>
          </a:endParaRPr>
        </a:p>
        <a:p>
          <a:pPr rtl="0"/>
          <a:r>
            <a:rPr lang="en-US" sz="1400" b="1" i="1" baseline="0">
              <a:solidFill>
                <a:schemeClr val="tx1"/>
              </a:solidFill>
              <a:effectLst/>
              <a:latin typeface="Arial" panose="020B0604020202020204" pitchFamily="34" charset="0"/>
              <a:ea typeface="+mn-ea"/>
              <a:cs typeface="Arial" panose="020B0604020202020204" pitchFamily="34" charset="0"/>
            </a:rPr>
            <a:t>Moderate: </a:t>
          </a:r>
          <a:r>
            <a:rPr lang="en-US" sz="1400">
              <a:solidFill>
                <a:schemeClr val="tx1"/>
              </a:solidFill>
              <a:effectLst/>
              <a:latin typeface="Arial" panose="020B0604020202020204" pitchFamily="34" charset="0"/>
              <a:ea typeface="+mn-ea"/>
              <a:cs typeface="Arial" panose="020B0604020202020204" pitchFamily="34" charset="0"/>
            </a:rPr>
            <a:t>Moderate risk means that a threat event could be expected to have a </a:t>
          </a:r>
          <a:r>
            <a:rPr lang="en-US" sz="1400" b="1" i="1">
              <a:solidFill>
                <a:schemeClr val="tx1"/>
              </a:solidFill>
              <a:effectLst/>
              <a:latin typeface="Arial" panose="020B0604020202020204" pitchFamily="34" charset="0"/>
              <a:ea typeface="+mn-ea"/>
              <a:cs typeface="Arial" panose="020B0604020202020204" pitchFamily="34" charset="0"/>
            </a:rPr>
            <a:t>serious</a:t>
          </a:r>
          <a:r>
            <a:rPr lang="en-US" sz="1400">
              <a:solidFill>
                <a:schemeClr val="tx1"/>
              </a:solidFill>
              <a:effectLst/>
              <a:latin typeface="Arial" panose="020B0604020202020204" pitchFamily="34" charset="0"/>
              <a:ea typeface="+mn-ea"/>
              <a:cs typeface="Arial" panose="020B0604020202020204" pitchFamily="34" charset="0"/>
            </a:rPr>
            <a:t> adverse effect on organizational operations, organizational assets, individuals, other organizations, or the Nation.</a:t>
          </a:r>
          <a:endParaRPr lang="en-US" sz="1400" b="1" i="1" baseline="0">
            <a:solidFill>
              <a:schemeClr val="tx1"/>
            </a:solidFill>
            <a:effectLst/>
            <a:latin typeface="Arial" panose="020B0604020202020204" pitchFamily="34" charset="0"/>
            <a:ea typeface="+mn-ea"/>
            <a:cs typeface="Arial" panose="020B0604020202020204" pitchFamily="34" charset="0"/>
          </a:endParaRPr>
        </a:p>
        <a:p>
          <a:pPr>
            <a:lnSpc>
              <a:spcPts val="1600"/>
            </a:lnSpc>
          </a:pPr>
          <a:r>
            <a:rPr lang="en-US" sz="1400" b="1" i="1" baseline="0">
              <a:solidFill>
                <a:schemeClr val="tx1"/>
              </a:solidFill>
              <a:effectLst/>
              <a:latin typeface="Arial" panose="020B0604020202020204" pitchFamily="34" charset="0"/>
              <a:ea typeface="+mn-ea"/>
              <a:cs typeface="Arial" panose="020B0604020202020204" pitchFamily="34" charset="0"/>
            </a:rPr>
            <a:t>Low: </a:t>
          </a:r>
          <a:r>
            <a:rPr lang="en-US" sz="1400">
              <a:solidFill>
                <a:schemeClr val="tx1"/>
              </a:solidFill>
              <a:effectLst/>
              <a:latin typeface="Arial" panose="020B0604020202020204" pitchFamily="34" charset="0"/>
              <a:ea typeface="+mn-ea"/>
              <a:cs typeface="Arial" panose="020B0604020202020204" pitchFamily="34" charset="0"/>
            </a:rPr>
            <a:t>Low risk means that a threat event could be expected to have a </a:t>
          </a:r>
          <a:r>
            <a:rPr lang="en-US" sz="1400" b="1" i="1">
              <a:solidFill>
                <a:schemeClr val="tx1"/>
              </a:solidFill>
              <a:effectLst/>
              <a:latin typeface="Arial" panose="020B0604020202020204" pitchFamily="34" charset="0"/>
              <a:ea typeface="+mn-ea"/>
              <a:cs typeface="Arial" panose="020B0604020202020204" pitchFamily="34" charset="0"/>
            </a:rPr>
            <a:t>limited</a:t>
          </a:r>
          <a:r>
            <a:rPr lang="en-US" sz="1400">
              <a:solidFill>
                <a:schemeClr val="tx1"/>
              </a:solidFill>
              <a:effectLst/>
              <a:latin typeface="Arial" panose="020B0604020202020204" pitchFamily="34" charset="0"/>
              <a:ea typeface="+mn-ea"/>
              <a:cs typeface="Arial" panose="020B0604020202020204" pitchFamily="34" charset="0"/>
            </a:rPr>
            <a:t> adverse effect on organizational operations, organizational assets, individuals, other organizations, or the Nation.</a:t>
          </a:r>
          <a:endParaRPr lang="en-US" sz="1400" b="1" i="1">
            <a:latin typeface="Arial" panose="020B0604020202020204" pitchFamily="34" charset="0"/>
            <a:cs typeface="Arial" panose="020B0604020202020204" pitchFamily="34" charset="0"/>
          </a:endParaRPr>
        </a:p>
        <a:p>
          <a:pPr>
            <a:lnSpc>
              <a:spcPts val="1600"/>
            </a:lnSpc>
          </a:pPr>
          <a:endParaRPr lang="en-US" sz="1400">
            <a:latin typeface="Arial" panose="020B0604020202020204" pitchFamily="34" charset="0"/>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r>
            <a:rPr lang="en-US" sz="1400" b="0" i="0">
              <a:solidFill>
                <a:schemeClr val="tx1"/>
              </a:solidFill>
              <a:effectLst/>
              <a:latin typeface="Arial" panose="020B0604020202020204" pitchFamily="34" charset="0"/>
              <a:ea typeface="+mn-ea"/>
              <a:cs typeface="Arial" panose="020B0604020202020204" pitchFamily="34" charset="0"/>
            </a:rPr>
            <a:t>Choose</a:t>
          </a:r>
          <a:r>
            <a:rPr lang="en-US" sz="1400" b="0" i="0" baseline="0">
              <a:solidFill>
                <a:schemeClr val="tx1"/>
              </a:solidFill>
              <a:effectLst/>
              <a:latin typeface="Arial" panose="020B0604020202020204" pitchFamily="34" charset="0"/>
              <a:ea typeface="+mn-ea"/>
              <a:cs typeface="Arial" panose="020B0604020202020204" pitchFamily="34" charset="0"/>
            </a:rPr>
            <a:t> from the following four options:</a:t>
          </a:r>
          <a:r>
            <a:rPr lang="en-US" sz="1400" b="0" i="0">
              <a:solidFill>
                <a:schemeClr val="tx1"/>
              </a:solidFill>
              <a:effectLst/>
              <a:latin typeface="Arial" panose="020B0604020202020204" pitchFamily="34" charset="0"/>
              <a:ea typeface="+mn-ea"/>
              <a:cs typeface="Arial" panose="020B0604020202020204" pitchFamily="34" charset="0"/>
            </a:rPr>
            <a:t>                                                                                                                                                                                        </a:t>
          </a:r>
          <a:endParaRPr lang="en-US" sz="1400">
            <a:effectLst/>
            <a:latin typeface="Arial" panose="020B0604020202020204" pitchFamily="34" charset="0"/>
            <a:cs typeface="Arial" panose="020B0604020202020204" pitchFamily="34" charset="0"/>
          </a:endParaRPr>
        </a:p>
        <a:p>
          <a:pPr>
            <a:lnSpc>
              <a:spcPts val="1600"/>
            </a:lnSpc>
          </a:pPr>
          <a:endParaRPr lang="en-US" sz="1400" b="1" i="1">
            <a:latin typeface="Arial" panose="020B0604020202020204" pitchFamily="34" charset="0"/>
            <a:cs typeface="Arial" panose="020B0604020202020204" pitchFamily="34" charset="0"/>
          </a:endParaRPr>
        </a:p>
        <a:p>
          <a:pPr>
            <a:lnSpc>
              <a:spcPts val="1600"/>
            </a:lnSpc>
          </a:pPr>
          <a:r>
            <a:rPr lang="en-US" sz="1400" b="1" i="1">
              <a:latin typeface="Arial" panose="020B0604020202020204" pitchFamily="34" charset="0"/>
              <a:cs typeface="Arial" panose="020B0604020202020204" pitchFamily="34" charset="0"/>
            </a:rPr>
            <a:t>Critical</a:t>
          </a:r>
        </a:p>
        <a:p>
          <a:pPr>
            <a:lnSpc>
              <a:spcPts val="1600"/>
            </a:lnSpc>
          </a:pPr>
          <a:r>
            <a:rPr lang="en-US" sz="1400" b="1" i="1">
              <a:latin typeface="Arial" panose="020B0604020202020204" pitchFamily="34" charset="0"/>
              <a:cs typeface="Arial" panose="020B0604020202020204" pitchFamily="34" charset="0"/>
            </a:rPr>
            <a:t>High</a:t>
          </a:r>
        </a:p>
        <a:p>
          <a:pPr>
            <a:lnSpc>
              <a:spcPts val="1600"/>
            </a:lnSpc>
          </a:pPr>
          <a:r>
            <a:rPr lang="en-US" sz="1400" b="1" i="1">
              <a:latin typeface="Arial" panose="020B0604020202020204" pitchFamily="34" charset="0"/>
              <a:cs typeface="Arial" panose="020B0604020202020204" pitchFamily="34" charset="0"/>
            </a:rPr>
            <a:t>Moderate</a:t>
          </a:r>
        </a:p>
        <a:p>
          <a:r>
            <a:rPr lang="en-US" sz="1400" b="1" i="1">
              <a:latin typeface="Arial" panose="020B0604020202020204" pitchFamily="34" charset="0"/>
              <a:cs typeface="Arial" panose="020B0604020202020204" pitchFamily="34" charset="0"/>
            </a:rPr>
            <a:t>Low</a:t>
          </a:r>
        </a:p>
        <a:p>
          <a:pPr>
            <a:lnSpc>
              <a:spcPts val="1600"/>
            </a:lnSpc>
          </a:pPr>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r>
            <a:rPr lang="en-US" sz="1400" b="1" i="0">
              <a:solidFill>
                <a:schemeClr val="tx1"/>
              </a:solidFill>
              <a:effectLst/>
              <a:latin typeface="Arial" panose="020B0604020202020204" pitchFamily="34" charset="0"/>
              <a:ea typeface="+mn-ea"/>
              <a:cs typeface="Arial" panose="020B0604020202020204" pitchFamily="34" charset="0"/>
            </a:rPr>
            <a:t>27. Risk Acceptance Form Title (if Risk Accepted (#25))</a:t>
          </a:r>
          <a:r>
            <a:rPr lang="en-US" sz="1400" b="0" i="0">
              <a:solidFill>
                <a:schemeClr val="tx1"/>
              </a:solidFill>
              <a:effectLst/>
              <a:latin typeface="Arial" panose="020B0604020202020204" pitchFamily="34" charset="0"/>
              <a:ea typeface="+mn-ea"/>
              <a:cs typeface="Arial" panose="020B0604020202020204" pitchFamily="34" charset="0"/>
            </a:rPr>
            <a:t>: To</a:t>
          </a:r>
          <a:r>
            <a:rPr lang="en-US" sz="1400" b="0" i="0" baseline="0">
              <a:solidFill>
                <a:schemeClr val="tx1"/>
              </a:solidFill>
              <a:effectLst/>
              <a:latin typeface="Arial" panose="020B0604020202020204" pitchFamily="34" charset="0"/>
              <a:ea typeface="+mn-ea"/>
              <a:cs typeface="Arial" panose="020B0604020202020204" pitchFamily="34" charset="0"/>
            </a:rPr>
            <a:t> facilitate connecting risk-accepted POA&amp;M findings with their corresponding Risk Acceptance Forms, this column will include the RA title. Syntax should be concise, unique and searchable (year + control # + element). e.g. 2026-RA-CM-06(01).</a:t>
          </a:r>
          <a:br>
            <a:rPr lang="en-US" sz="1400" b="1" i="0">
              <a:solidFill>
                <a:schemeClr val="tx1"/>
              </a:solidFill>
              <a:effectLst/>
              <a:latin typeface="Arial" panose="020B0604020202020204" pitchFamily="34" charset="0"/>
              <a:ea typeface="+mn-ea"/>
              <a:cs typeface="Arial" panose="020B0604020202020204" pitchFamily="34" charset="0"/>
            </a:rPr>
          </a:br>
          <a:br>
            <a:rPr lang="en-US" sz="1400" b="1" i="0">
              <a:solidFill>
                <a:schemeClr val="tx1"/>
              </a:solidFill>
              <a:effectLst/>
              <a:latin typeface="Arial" panose="020B0604020202020204" pitchFamily="34" charset="0"/>
              <a:ea typeface="+mn-ea"/>
              <a:cs typeface="Arial" panose="020B0604020202020204" pitchFamily="34" charset="0"/>
            </a:rPr>
          </a:br>
          <a:r>
            <a:rPr lang="en-US" sz="1400" b="1" i="0">
              <a:solidFill>
                <a:schemeClr val="tx1"/>
              </a:solidFill>
              <a:effectLst/>
              <a:latin typeface="Arial" panose="020B0604020202020204" pitchFamily="34" charset="0"/>
              <a:ea typeface="+mn-ea"/>
              <a:cs typeface="Arial" panose="020B0604020202020204" pitchFamily="34" charset="0"/>
            </a:rPr>
            <a:t>28. ARC-AMPE</a:t>
          </a:r>
          <a:r>
            <a:rPr lang="en-US" sz="1400" b="1" i="0" baseline="0">
              <a:solidFill>
                <a:schemeClr val="tx1"/>
              </a:solidFill>
              <a:effectLst/>
              <a:latin typeface="Arial" panose="020B0604020202020204" pitchFamily="34" charset="0"/>
              <a:ea typeface="+mn-ea"/>
              <a:cs typeface="Arial" panose="020B0604020202020204" pitchFamily="34" charset="0"/>
            </a:rPr>
            <a:t> Version: </a:t>
          </a:r>
          <a:r>
            <a:rPr lang="en-US" sz="1400" b="0" i="0" baseline="0">
              <a:solidFill>
                <a:schemeClr val="tx1"/>
              </a:solidFill>
              <a:effectLst/>
              <a:latin typeface="Arial" panose="020B0604020202020204" pitchFamily="34" charset="0"/>
              <a:ea typeface="+mn-ea"/>
              <a:cs typeface="Arial" panose="020B0604020202020204" pitchFamily="34" charset="0"/>
            </a:rPr>
            <a:t>This field is provided to identify the weaknesses associated with multiple ARC-AMPE versions, if/when applicable. </a:t>
          </a:r>
        </a:p>
        <a:p>
          <a:pPr marL="0" marR="0" indent="0" defTabSz="914400" eaLnBrk="1" fontAlgn="auto" latinLnBrk="0" hangingPunct="1">
            <a:lnSpc>
              <a:spcPts val="1600"/>
            </a:lnSpc>
            <a:spcBef>
              <a:spcPts val="0"/>
            </a:spcBef>
            <a:spcAft>
              <a:spcPts val="0"/>
            </a:spcAft>
            <a:buClrTx/>
            <a:buSzTx/>
            <a:buFontTx/>
            <a:buNone/>
            <a:tabLst/>
            <a:defRPr/>
          </a:pPr>
          <a:endParaRPr lang="en-US" sz="1400" b="1" i="0" baseline="0">
            <a:solidFill>
              <a:schemeClr val="tx1"/>
            </a:solidFill>
            <a:effectLst/>
            <a:latin typeface="Arial" panose="020B0604020202020204" pitchFamily="34" charset="0"/>
            <a:ea typeface="+mn-ea"/>
            <a:cs typeface="Arial" panose="020B0604020202020204" pitchFamily="34" charset="0"/>
          </a:endParaRPr>
        </a:p>
        <a:p>
          <a:pPr eaLnBrk="1" fontAlgn="auto" latinLnBrk="0" hangingPunct="1"/>
          <a:r>
            <a:rPr lang="en-US" sz="1400" b="0" i="0">
              <a:solidFill>
                <a:schemeClr val="tx1"/>
              </a:solidFill>
              <a:effectLst/>
              <a:latin typeface="Arial" panose="020B0604020202020204" pitchFamily="34" charset="0"/>
              <a:ea typeface="+mn-ea"/>
              <a:cs typeface="Arial" panose="020B0604020202020204" pitchFamily="34" charset="0"/>
            </a:rPr>
            <a:t>Choose</a:t>
          </a:r>
          <a:r>
            <a:rPr lang="en-US" sz="1400" b="0" i="0" baseline="0">
              <a:solidFill>
                <a:schemeClr val="tx1"/>
              </a:solidFill>
              <a:effectLst/>
              <a:latin typeface="Arial" panose="020B0604020202020204" pitchFamily="34" charset="0"/>
              <a:ea typeface="+mn-ea"/>
              <a:cs typeface="Arial" panose="020B0604020202020204" pitchFamily="34" charset="0"/>
            </a:rPr>
            <a:t> the following option:</a:t>
          </a:r>
          <a:r>
            <a:rPr lang="en-US" sz="1400" b="0" i="0">
              <a:solidFill>
                <a:schemeClr val="tx1"/>
              </a:solidFill>
              <a:effectLst/>
              <a:latin typeface="Arial" panose="020B0604020202020204" pitchFamily="34" charset="0"/>
              <a:ea typeface="+mn-ea"/>
              <a:cs typeface="Arial" panose="020B0604020202020204" pitchFamily="34" charset="0"/>
            </a:rPr>
            <a:t>                                                                                                                                                                                        </a:t>
          </a:r>
          <a:endParaRPr lang="en-US" sz="1400">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1" i="1">
              <a:solidFill>
                <a:schemeClr val="tx1"/>
              </a:solidFill>
              <a:effectLst/>
              <a:latin typeface="Arial" panose="020B0604020202020204" pitchFamily="34" charset="0"/>
              <a:ea typeface="+mn-ea"/>
              <a:cs typeface="Arial" panose="020B0604020202020204" pitchFamily="34" charset="0"/>
            </a:rPr>
            <a:t>ARC-AMPE v1.0x</a:t>
          </a:r>
          <a:endParaRPr lang="en-US" sz="1400">
            <a:effectLst/>
            <a:latin typeface="Arial" panose="020B0604020202020204" pitchFamily="34" charset="0"/>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pPr>
            <a:lnSpc>
              <a:spcPts val="1600"/>
            </a:lnSpc>
          </a:pPr>
          <a:r>
            <a:rPr lang="en-US" sz="1400" b="1" i="0" u="none" strike="noStrike">
              <a:solidFill>
                <a:schemeClr val="tx1"/>
              </a:solidFill>
              <a:effectLst/>
              <a:latin typeface="Arial" panose="020B0604020202020204" pitchFamily="34" charset="0"/>
              <a:ea typeface="+mn-ea"/>
              <a:cs typeface="Arial" panose="020B0604020202020204" pitchFamily="34" charset="0"/>
            </a:rPr>
            <a:t>29. Compensating</a:t>
          </a:r>
          <a:r>
            <a:rPr lang="en-US" sz="1400" b="1" i="0" u="none" strike="noStrike" baseline="0">
              <a:solidFill>
                <a:schemeClr val="tx1"/>
              </a:solidFill>
              <a:effectLst/>
              <a:latin typeface="Arial" panose="020B0604020202020204" pitchFamily="34" charset="0"/>
              <a:ea typeface="+mn-ea"/>
              <a:cs typeface="Arial" panose="020B0604020202020204" pitchFamily="34" charset="0"/>
            </a:rPr>
            <a:t> Controls: </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Please list and describe any compensating controls that have been put in place in lieu of the prescribed control(s).</a:t>
          </a:r>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endParaRPr lang="en-US" sz="1400" b="0" i="0" u="none" strike="noStrike">
            <a:solidFill>
              <a:schemeClr val="tx1"/>
            </a:solidFill>
            <a:effectLst/>
            <a:latin typeface="Arial" panose="020B0604020202020204" pitchFamily="34" charset="0"/>
            <a:ea typeface="+mn-ea"/>
            <a:cs typeface="Arial" panose="020B0604020202020204" pitchFamily="34" charset="0"/>
          </a:endParaRPr>
        </a:p>
        <a:p>
          <a:pPr>
            <a:lnSpc>
              <a:spcPts val="1600"/>
            </a:lnSpc>
          </a:pPr>
          <a:r>
            <a:rPr lang="en-US" sz="1400" b="1" i="0" u="none" strike="noStrike">
              <a:solidFill>
                <a:schemeClr val="tx1"/>
              </a:solidFill>
              <a:effectLst/>
              <a:latin typeface="Arial" panose="020B0604020202020204" pitchFamily="34" charset="0"/>
              <a:ea typeface="+mn-ea"/>
              <a:cs typeface="Arial" panose="020B0604020202020204" pitchFamily="34" charset="0"/>
            </a:rPr>
            <a:t>30</a:t>
          </a:r>
          <a:r>
            <a:rPr lang="en-US" sz="1400" b="0" i="0" u="none" strike="noStrike">
              <a:solidFill>
                <a:schemeClr val="tx1"/>
              </a:solidFill>
              <a:effectLst/>
              <a:latin typeface="Arial" panose="020B0604020202020204" pitchFamily="34" charset="0"/>
              <a:ea typeface="+mn-ea"/>
              <a:cs typeface="Arial" panose="020B0604020202020204" pitchFamily="34" charset="0"/>
            </a:rPr>
            <a:t>. </a:t>
          </a:r>
          <a:r>
            <a:rPr lang="en-US" sz="1400" b="1" i="0" u="none" strike="noStrike">
              <a:solidFill>
                <a:schemeClr val="tx1"/>
              </a:solidFill>
              <a:effectLst/>
              <a:latin typeface="Arial" panose="020B0604020202020204" pitchFamily="34" charset="0"/>
              <a:ea typeface="+mn-ea"/>
              <a:cs typeface="Arial" panose="020B0604020202020204" pitchFamily="34" charset="0"/>
            </a:rPr>
            <a:t>Comments:</a:t>
          </a:r>
          <a:r>
            <a:rPr lang="en-US" sz="1400" b="0" i="0" u="none" strike="noStrike">
              <a:solidFill>
                <a:schemeClr val="tx1"/>
              </a:solidFill>
              <a:effectLst/>
              <a:latin typeface="Arial" panose="020B0604020202020204" pitchFamily="34" charset="0"/>
              <a:ea typeface="+mn-ea"/>
              <a:cs typeface="Arial" panose="020B0604020202020204" pitchFamily="34" charset="0"/>
            </a:rPr>
            <a:t> Any additional information or details necessary to clarify weakness information, status and/or traceability shall be documented in the Weakness Comments field.</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 </a:t>
          </a:r>
        </a:p>
        <a:p>
          <a:pPr>
            <a:lnSpc>
              <a:spcPts val="1600"/>
            </a:lnSpc>
          </a:pPr>
          <a:endParaRPr lang="en-US" sz="1400" b="0" i="0" u="none" strike="noStrike" baseline="0">
            <a:solidFill>
              <a:schemeClr val="tx1"/>
            </a:solidFill>
            <a:effectLst/>
            <a:latin typeface="Arial" panose="020B0604020202020204" pitchFamily="34" charset="0"/>
            <a:ea typeface="+mn-ea"/>
            <a:cs typeface="Arial" panose="020B0604020202020204" pitchFamily="34" charset="0"/>
          </a:endParaRPr>
        </a:p>
        <a:p>
          <a:pPr>
            <a:lnSpc>
              <a:spcPts val="1600"/>
            </a:lnSpc>
          </a:pPr>
          <a:r>
            <a:rPr lang="en-US" sz="1400" b="1" i="0" u="none" strike="noStrike">
              <a:solidFill>
                <a:schemeClr val="tx1"/>
              </a:solidFill>
              <a:effectLst/>
              <a:latin typeface="Arial" panose="020B0604020202020204" pitchFamily="34" charset="0"/>
              <a:ea typeface="+mn-ea"/>
              <a:cs typeface="Arial" panose="020B0604020202020204" pitchFamily="34" charset="0"/>
            </a:rPr>
            <a:t>NOTE:</a:t>
          </a:r>
          <a:r>
            <a:rPr lang="en-US" sz="1400" b="0" i="0" u="none" strike="noStrike">
              <a:solidFill>
                <a:schemeClr val="tx1"/>
              </a:solidFill>
              <a:effectLst/>
              <a:latin typeface="Arial" panose="020B0604020202020204" pitchFamily="34" charset="0"/>
              <a:ea typeface="+mn-ea"/>
              <a:cs typeface="Arial" panose="020B0604020202020204" pitchFamily="34" charset="0"/>
            </a:rPr>
            <a:t> Completed</a:t>
          </a:r>
          <a:r>
            <a:rPr lang="en-US" sz="1400" b="0" i="0" u="none" strike="noStrike" baseline="0">
              <a:solidFill>
                <a:schemeClr val="tx1"/>
              </a:solidFill>
              <a:effectLst/>
              <a:latin typeface="Arial" panose="020B0604020202020204" pitchFamily="34" charset="0"/>
              <a:ea typeface="+mn-ea"/>
              <a:cs typeface="Arial" panose="020B0604020202020204" pitchFamily="34" charset="0"/>
            </a:rPr>
            <a:t> POA&amp;M items can be archived one year after completion.</a:t>
          </a:r>
        </a:p>
        <a:p>
          <a:pPr>
            <a:lnSpc>
              <a:spcPts val="1600"/>
            </a:lnSpc>
          </a:pPr>
          <a:r>
            <a:rPr lang="en-US" sz="1400" b="0" i="0" u="none" strike="noStrike" baseline="0">
              <a:solidFill>
                <a:schemeClr val="tx1"/>
              </a:solidFill>
              <a:effectLst/>
              <a:latin typeface="Arial" panose="020B0604020202020204" pitchFamily="34" charset="0"/>
              <a:ea typeface="+mn-ea"/>
              <a:cs typeface="Arial" panose="020B0604020202020204" pitchFamily="34" charset="0"/>
            </a:rPr>
            <a:t>            Once a finding has been remediated, ensure that the SSPP is updated accordingly.</a:t>
          </a:r>
          <a:br>
            <a:rPr lang="en-US" sz="1400" b="0" i="0" u="none" strike="noStrike">
              <a:solidFill>
                <a:schemeClr val="tx1"/>
              </a:solidFill>
              <a:effectLst/>
              <a:latin typeface="Arial" panose="020B0604020202020204" pitchFamily="34" charset="0"/>
              <a:ea typeface="+mn-ea"/>
              <a:cs typeface="Arial" panose="020B0604020202020204" pitchFamily="34" charset="0"/>
            </a:rPr>
          </a:br>
          <a:br>
            <a:rPr lang="en-US" sz="1400" b="0" i="0" u="none" strike="noStrike">
              <a:solidFill>
                <a:schemeClr val="tx1"/>
              </a:solidFill>
              <a:effectLst/>
              <a:latin typeface="Arial" panose="020B0604020202020204" pitchFamily="34" charset="0"/>
              <a:ea typeface="+mn-ea"/>
              <a:cs typeface="Arial" panose="020B0604020202020204" pitchFamily="34" charset="0"/>
            </a:rPr>
          </a:br>
          <a:br>
            <a:rPr lang="en-US" sz="1400" b="0" i="0" u="none" strike="noStrike">
              <a:solidFill>
                <a:schemeClr val="tx1"/>
              </a:solidFill>
              <a:effectLst/>
              <a:latin typeface="Arial" panose="020B0604020202020204" pitchFamily="34" charset="0"/>
              <a:ea typeface="+mn-ea"/>
              <a:cs typeface="Arial" panose="020B0604020202020204" pitchFamily="34" charset="0"/>
            </a:rPr>
          </a:br>
          <a:br>
            <a:rPr lang="en-US" sz="1400" b="0" i="0" u="none" strike="noStrike">
              <a:solidFill>
                <a:schemeClr val="tx1"/>
              </a:solidFill>
              <a:effectLst/>
              <a:latin typeface="Arial" panose="020B0604020202020204" pitchFamily="34" charset="0"/>
              <a:ea typeface="+mn-ea"/>
              <a:cs typeface="Arial" panose="020B0604020202020204" pitchFamily="34" charset="0"/>
            </a:rPr>
          </a:br>
          <a:endParaRPr lang="en-US" sz="1400">
            <a:latin typeface="Arial" panose="020B0604020202020204" pitchFamily="34" charset="0"/>
            <a:cs typeface="Arial" panose="020B0604020202020204" pitchFamily="34" charset="0"/>
          </a:endParaRPr>
        </a:p>
      </xdr:txBody>
    </xdr:sp>
    <xdr:clientData/>
  </xdr:oneCellAnchor>
  <xdr:oneCellAnchor>
    <xdr:from>
      <xdr:col>0</xdr:col>
      <xdr:colOff>0</xdr:colOff>
      <xdr:row>0</xdr:row>
      <xdr:rowOff>0</xdr:rowOff>
    </xdr:from>
    <xdr:ext cx="1847374" cy="948690"/>
    <xdr:pic>
      <xdr:nvPicPr>
        <xdr:cNvPr id="6" name="Picture 1" descr="Centers for Medicare &amp; Medicaid Services (CMS) logo">
          <a:extLst>
            <a:ext uri="{FF2B5EF4-FFF2-40B4-BE49-F238E27FC236}">
              <a16:creationId xmlns:a16="http://schemas.microsoft.com/office/drawing/2014/main" id="{A013E358-126C-46BC-82CF-4C694E95EB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47374" cy="948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578175</xdr:colOff>
      <xdr:row>16</xdr:row>
      <xdr:rowOff>9460</xdr:rowOff>
    </xdr:from>
    <xdr:to>
      <xdr:col>0</xdr:col>
      <xdr:colOff>965132</xdr:colOff>
      <xdr:row>17</xdr:row>
      <xdr:rowOff>181197</xdr:rowOff>
    </xdr:to>
    <xdr:grpSp>
      <xdr:nvGrpSpPr>
        <xdr:cNvPr id="7" name="Group 6">
          <a:extLst>
            <a:ext uri="{FF2B5EF4-FFF2-40B4-BE49-F238E27FC236}">
              <a16:creationId xmlns:a16="http://schemas.microsoft.com/office/drawing/2014/main" id="{2FA47F70-442C-499C-A96F-DCB28BE79DAF}"/>
            </a:ext>
          </a:extLst>
        </xdr:cNvPr>
        <xdr:cNvGrpSpPr/>
      </xdr:nvGrpSpPr>
      <xdr:grpSpPr>
        <a:xfrm>
          <a:off x="578175" y="3974241"/>
          <a:ext cx="386957" cy="362237"/>
          <a:chOff x="6264910" y="3846512"/>
          <a:chExt cx="392672" cy="392113"/>
        </a:xfrm>
      </xdr:grpSpPr>
      <xdr:sp macro="" textlink="">
        <xdr:nvSpPr>
          <xdr:cNvPr id="8" name="Oval 7">
            <a:extLst>
              <a:ext uri="{FF2B5EF4-FFF2-40B4-BE49-F238E27FC236}">
                <a16:creationId xmlns:a16="http://schemas.microsoft.com/office/drawing/2014/main" id="{D9411EAB-5AE1-CD10-BF95-F5F4ABE9147A}"/>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9" name="TextBox 8">
            <a:extLst>
              <a:ext uri="{FF2B5EF4-FFF2-40B4-BE49-F238E27FC236}">
                <a16:creationId xmlns:a16="http://schemas.microsoft.com/office/drawing/2014/main" id="{6DB1EEC8-443D-2F4D-ED4E-A96FD6695C23}"/>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12</a:t>
            </a:r>
          </a:p>
        </xdr:txBody>
      </xdr:sp>
    </xdr:grpSp>
    <xdr:clientData/>
  </xdr:twoCellAnchor>
  <xdr:twoCellAnchor>
    <xdr:from>
      <xdr:col>2</xdr:col>
      <xdr:colOff>1265143</xdr:colOff>
      <xdr:row>7</xdr:row>
      <xdr:rowOff>191168</xdr:rowOff>
    </xdr:from>
    <xdr:to>
      <xdr:col>2</xdr:col>
      <xdr:colOff>1655275</xdr:colOff>
      <xdr:row>9</xdr:row>
      <xdr:rowOff>64339</xdr:rowOff>
    </xdr:to>
    <xdr:grpSp>
      <xdr:nvGrpSpPr>
        <xdr:cNvPr id="10" name="Group 9">
          <a:extLst>
            <a:ext uri="{FF2B5EF4-FFF2-40B4-BE49-F238E27FC236}">
              <a16:creationId xmlns:a16="http://schemas.microsoft.com/office/drawing/2014/main" id="{348C82FB-C6EE-44C4-A35C-75BCCCFA8AFC}"/>
            </a:ext>
          </a:extLst>
        </xdr:cNvPr>
        <xdr:cNvGrpSpPr/>
      </xdr:nvGrpSpPr>
      <xdr:grpSpPr>
        <a:xfrm>
          <a:off x="4325049" y="1774699"/>
          <a:ext cx="390132" cy="373234"/>
          <a:chOff x="6269289" y="3846512"/>
          <a:chExt cx="392672" cy="392113"/>
        </a:xfrm>
      </xdr:grpSpPr>
      <xdr:sp macro="" textlink="">
        <xdr:nvSpPr>
          <xdr:cNvPr id="11" name="Oval 10">
            <a:extLst>
              <a:ext uri="{FF2B5EF4-FFF2-40B4-BE49-F238E27FC236}">
                <a16:creationId xmlns:a16="http://schemas.microsoft.com/office/drawing/2014/main" id="{C75C6FE7-834F-F2A4-0298-3A6CEAE13196}"/>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12" name="TextBox 11">
            <a:extLst>
              <a:ext uri="{FF2B5EF4-FFF2-40B4-BE49-F238E27FC236}">
                <a16:creationId xmlns:a16="http://schemas.microsoft.com/office/drawing/2014/main" id="{D8F8588F-8B6F-2759-3BF8-DE310B4EFB3D}"/>
              </a:ext>
            </a:extLst>
          </xdr:cNvPr>
          <xdr:cNvSpPr txBox="1"/>
        </xdr:nvSpPr>
        <xdr:spPr bwMode="auto">
          <a:xfrm>
            <a:off x="6269289" y="3854786"/>
            <a:ext cx="392672" cy="379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 4</a:t>
            </a:r>
          </a:p>
        </xdr:txBody>
      </xdr:sp>
    </xdr:grpSp>
    <xdr:clientData/>
  </xdr:twoCellAnchor>
  <xdr:twoCellAnchor>
    <xdr:from>
      <xdr:col>2</xdr:col>
      <xdr:colOff>1275714</xdr:colOff>
      <xdr:row>5</xdr:row>
      <xdr:rowOff>200181</xdr:rowOff>
    </xdr:from>
    <xdr:to>
      <xdr:col>2</xdr:col>
      <xdr:colOff>1663941</xdr:colOff>
      <xdr:row>7</xdr:row>
      <xdr:rowOff>58375</xdr:rowOff>
    </xdr:to>
    <xdr:grpSp>
      <xdr:nvGrpSpPr>
        <xdr:cNvPr id="13" name="Group 12">
          <a:extLst>
            <a:ext uri="{FF2B5EF4-FFF2-40B4-BE49-F238E27FC236}">
              <a16:creationId xmlns:a16="http://schemas.microsoft.com/office/drawing/2014/main" id="{7C1ED102-B3E3-4DA6-BB09-B8DF1390698F}"/>
            </a:ext>
          </a:extLst>
        </xdr:cNvPr>
        <xdr:cNvGrpSpPr/>
      </xdr:nvGrpSpPr>
      <xdr:grpSpPr>
        <a:xfrm>
          <a:off x="4335620" y="1259837"/>
          <a:ext cx="388227" cy="382069"/>
          <a:chOff x="6273668" y="3846512"/>
          <a:chExt cx="392672" cy="392113"/>
        </a:xfrm>
      </xdr:grpSpPr>
      <xdr:sp macro="" textlink="">
        <xdr:nvSpPr>
          <xdr:cNvPr id="14" name="Oval 13">
            <a:extLst>
              <a:ext uri="{FF2B5EF4-FFF2-40B4-BE49-F238E27FC236}">
                <a16:creationId xmlns:a16="http://schemas.microsoft.com/office/drawing/2014/main" id="{5A9CBD97-3DD4-F36A-553A-C59B0475E631}"/>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15" name="TextBox 14">
            <a:extLst>
              <a:ext uri="{FF2B5EF4-FFF2-40B4-BE49-F238E27FC236}">
                <a16:creationId xmlns:a16="http://schemas.microsoft.com/office/drawing/2014/main" id="{35D0D6FF-DCBE-FF3C-3A08-4F9686BA7A09}"/>
              </a:ext>
            </a:extLst>
          </xdr:cNvPr>
          <xdr:cNvSpPr txBox="1"/>
        </xdr:nvSpPr>
        <xdr:spPr bwMode="auto">
          <a:xfrm>
            <a:off x="6273668" y="3854786"/>
            <a:ext cx="392672" cy="379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 2</a:t>
            </a:r>
          </a:p>
        </xdr:txBody>
      </xdr:sp>
    </xdr:grpSp>
    <xdr:clientData/>
  </xdr:twoCellAnchor>
  <xdr:twoCellAnchor>
    <xdr:from>
      <xdr:col>2</xdr:col>
      <xdr:colOff>828673</xdr:colOff>
      <xdr:row>4</xdr:row>
      <xdr:rowOff>324642</xdr:rowOff>
    </xdr:from>
    <xdr:to>
      <xdr:col>2</xdr:col>
      <xdr:colOff>1220075</xdr:colOff>
      <xdr:row>6</xdr:row>
      <xdr:rowOff>53997</xdr:rowOff>
    </xdr:to>
    <xdr:grpSp>
      <xdr:nvGrpSpPr>
        <xdr:cNvPr id="16" name="Group 15">
          <a:extLst>
            <a:ext uri="{FF2B5EF4-FFF2-40B4-BE49-F238E27FC236}">
              <a16:creationId xmlns:a16="http://schemas.microsoft.com/office/drawing/2014/main" id="{4695861B-916B-4B45-B18B-07F03301ABCC}"/>
            </a:ext>
          </a:extLst>
        </xdr:cNvPr>
        <xdr:cNvGrpSpPr/>
      </xdr:nvGrpSpPr>
      <xdr:grpSpPr>
        <a:xfrm>
          <a:off x="3888579" y="991392"/>
          <a:ext cx="391402" cy="384199"/>
          <a:chOff x="6273668" y="3846512"/>
          <a:chExt cx="392672" cy="392113"/>
        </a:xfrm>
      </xdr:grpSpPr>
      <xdr:sp macro="" textlink="">
        <xdr:nvSpPr>
          <xdr:cNvPr id="17" name="Oval 16">
            <a:extLst>
              <a:ext uri="{FF2B5EF4-FFF2-40B4-BE49-F238E27FC236}">
                <a16:creationId xmlns:a16="http://schemas.microsoft.com/office/drawing/2014/main" id="{F54BDD88-F05E-504C-0A98-596ED1E8F1D2}"/>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18" name="TextBox 17">
            <a:extLst>
              <a:ext uri="{FF2B5EF4-FFF2-40B4-BE49-F238E27FC236}">
                <a16:creationId xmlns:a16="http://schemas.microsoft.com/office/drawing/2014/main" id="{1004188B-0B97-A583-DA1E-5DFC7E2005C5}"/>
              </a:ext>
            </a:extLst>
          </xdr:cNvPr>
          <xdr:cNvSpPr txBox="1"/>
        </xdr:nvSpPr>
        <xdr:spPr bwMode="auto">
          <a:xfrm>
            <a:off x="6273668" y="3854786"/>
            <a:ext cx="392672" cy="379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 1</a:t>
            </a:r>
          </a:p>
        </xdr:txBody>
      </xdr:sp>
    </xdr:grpSp>
    <xdr:clientData/>
  </xdr:twoCellAnchor>
  <xdr:twoCellAnchor>
    <xdr:from>
      <xdr:col>0</xdr:col>
      <xdr:colOff>1449548</xdr:colOff>
      <xdr:row>11</xdr:row>
      <xdr:rowOff>473532</xdr:rowOff>
    </xdr:from>
    <xdr:to>
      <xdr:col>1</xdr:col>
      <xdr:colOff>142875</xdr:colOff>
      <xdr:row>13</xdr:row>
      <xdr:rowOff>65858</xdr:rowOff>
    </xdr:to>
    <xdr:grpSp>
      <xdr:nvGrpSpPr>
        <xdr:cNvPr id="19" name="Group 18">
          <a:extLst>
            <a:ext uri="{FF2B5EF4-FFF2-40B4-BE49-F238E27FC236}">
              <a16:creationId xmlns:a16="http://schemas.microsoft.com/office/drawing/2014/main" id="{2089C00B-F329-4A8B-800D-EAE26CDE9BD6}"/>
            </a:ext>
          </a:extLst>
        </xdr:cNvPr>
        <xdr:cNvGrpSpPr/>
      </xdr:nvGrpSpPr>
      <xdr:grpSpPr>
        <a:xfrm>
          <a:off x="1449548" y="2926220"/>
          <a:ext cx="395921" cy="366232"/>
          <a:chOff x="6273668" y="3846512"/>
          <a:chExt cx="392672" cy="392113"/>
        </a:xfrm>
      </xdr:grpSpPr>
      <xdr:sp macro="" textlink="">
        <xdr:nvSpPr>
          <xdr:cNvPr id="20" name="Oval 19">
            <a:extLst>
              <a:ext uri="{FF2B5EF4-FFF2-40B4-BE49-F238E27FC236}">
                <a16:creationId xmlns:a16="http://schemas.microsoft.com/office/drawing/2014/main" id="{5448C905-0B0A-4320-0BDC-63B3D5A4010D}"/>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21" name="TextBox 20">
            <a:extLst>
              <a:ext uri="{FF2B5EF4-FFF2-40B4-BE49-F238E27FC236}">
                <a16:creationId xmlns:a16="http://schemas.microsoft.com/office/drawing/2014/main" id="{BF4CCD5D-EF6B-E578-07C7-4A6DACE28233}"/>
              </a:ext>
            </a:extLst>
          </xdr:cNvPr>
          <xdr:cNvSpPr txBox="1"/>
        </xdr:nvSpPr>
        <xdr:spPr bwMode="auto">
          <a:xfrm>
            <a:off x="6273668" y="3854786"/>
            <a:ext cx="392672" cy="379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 5</a:t>
            </a:r>
          </a:p>
        </xdr:txBody>
      </xdr:sp>
    </xdr:grpSp>
    <xdr:clientData/>
  </xdr:twoCellAnchor>
  <xdr:twoCellAnchor>
    <xdr:from>
      <xdr:col>2</xdr:col>
      <xdr:colOff>1021646</xdr:colOff>
      <xdr:row>11</xdr:row>
      <xdr:rowOff>477912</xdr:rowOff>
    </xdr:from>
    <xdr:to>
      <xdr:col>2</xdr:col>
      <xdr:colOff>1416223</xdr:colOff>
      <xdr:row>13</xdr:row>
      <xdr:rowOff>75318</xdr:rowOff>
    </xdr:to>
    <xdr:grpSp>
      <xdr:nvGrpSpPr>
        <xdr:cNvPr id="22" name="Group 21">
          <a:extLst>
            <a:ext uri="{FF2B5EF4-FFF2-40B4-BE49-F238E27FC236}">
              <a16:creationId xmlns:a16="http://schemas.microsoft.com/office/drawing/2014/main" id="{3E09D742-D8D9-46AF-BFFC-BB8FA2727793}"/>
            </a:ext>
          </a:extLst>
        </xdr:cNvPr>
        <xdr:cNvGrpSpPr/>
      </xdr:nvGrpSpPr>
      <xdr:grpSpPr>
        <a:xfrm>
          <a:off x="4081552" y="2930600"/>
          <a:ext cx="394577" cy="371312"/>
          <a:chOff x="6273668" y="3846512"/>
          <a:chExt cx="392672" cy="392113"/>
        </a:xfrm>
      </xdr:grpSpPr>
      <xdr:sp macro="" textlink="">
        <xdr:nvSpPr>
          <xdr:cNvPr id="23" name="Oval 22">
            <a:extLst>
              <a:ext uri="{FF2B5EF4-FFF2-40B4-BE49-F238E27FC236}">
                <a16:creationId xmlns:a16="http://schemas.microsoft.com/office/drawing/2014/main" id="{C3DD5693-0863-6E84-BEBF-E7CDCB194383}"/>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24" name="TextBox 23">
            <a:extLst>
              <a:ext uri="{FF2B5EF4-FFF2-40B4-BE49-F238E27FC236}">
                <a16:creationId xmlns:a16="http://schemas.microsoft.com/office/drawing/2014/main" id="{F33D839A-BC3A-C0C9-5E74-4735DA33EA9A}"/>
              </a:ext>
            </a:extLst>
          </xdr:cNvPr>
          <xdr:cNvSpPr txBox="1"/>
        </xdr:nvSpPr>
        <xdr:spPr bwMode="auto">
          <a:xfrm>
            <a:off x="6273668" y="3854786"/>
            <a:ext cx="392672" cy="379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 6</a:t>
            </a:r>
          </a:p>
        </xdr:txBody>
      </xdr:sp>
    </xdr:grpSp>
    <xdr:clientData/>
  </xdr:twoCellAnchor>
  <xdr:twoCellAnchor>
    <xdr:from>
      <xdr:col>4</xdr:col>
      <xdr:colOff>25454</xdr:colOff>
      <xdr:row>11</xdr:row>
      <xdr:rowOff>477914</xdr:rowOff>
    </xdr:from>
    <xdr:to>
      <xdr:col>4</xdr:col>
      <xdr:colOff>412411</xdr:colOff>
      <xdr:row>13</xdr:row>
      <xdr:rowOff>75320</xdr:rowOff>
    </xdr:to>
    <xdr:grpSp>
      <xdr:nvGrpSpPr>
        <xdr:cNvPr id="25" name="Group 24">
          <a:extLst>
            <a:ext uri="{FF2B5EF4-FFF2-40B4-BE49-F238E27FC236}">
              <a16:creationId xmlns:a16="http://schemas.microsoft.com/office/drawing/2014/main" id="{8EAA093C-2E1F-41A5-9E0D-DAC68150B313}"/>
            </a:ext>
          </a:extLst>
        </xdr:cNvPr>
        <xdr:cNvGrpSpPr/>
      </xdr:nvGrpSpPr>
      <xdr:grpSpPr>
        <a:xfrm>
          <a:off x="6966798" y="2930602"/>
          <a:ext cx="386957" cy="371312"/>
          <a:chOff x="6273668" y="3846512"/>
          <a:chExt cx="392672" cy="392113"/>
        </a:xfrm>
      </xdr:grpSpPr>
      <xdr:sp macro="" textlink="">
        <xdr:nvSpPr>
          <xdr:cNvPr id="26" name="Oval 25">
            <a:extLst>
              <a:ext uri="{FF2B5EF4-FFF2-40B4-BE49-F238E27FC236}">
                <a16:creationId xmlns:a16="http://schemas.microsoft.com/office/drawing/2014/main" id="{80A865D9-182B-EDB7-8586-E815F01911F7}"/>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27" name="TextBox 26">
            <a:extLst>
              <a:ext uri="{FF2B5EF4-FFF2-40B4-BE49-F238E27FC236}">
                <a16:creationId xmlns:a16="http://schemas.microsoft.com/office/drawing/2014/main" id="{52E4FAC9-796B-8D2E-C384-868790E35764}"/>
              </a:ext>
            </a:extLst>
          </xdr:cNvPr>
          <xdr:cNvSpPr txBox="1"/>
        </xdr:nvSpPr>
        <xdr:spPr bwMode="auto">
          <a:xfrm>
            <a:off x="6273668" y="3854786"/>
            <a:ext cx="392672" cy="379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 7</a:t>
            </a:r>
          </a:p>
        </xdr:txBody>
      </xdr:sp>
    </xdr:grpSp>
    <xdr:clientData/>
  </xdr:twoCellAnchor>
  <xdr:twoCellAnchor>
    <xdr:from>
      <xdr:col>6</xdr:col>
      <xdr:colOff>83396</xdr:colOff>
      <xdr:row>11</xdr:row>
      <xdr:rowOff>473537</xdr:rowOff>
    </xdr:from>
    <xdr:to>
      <xdr:col>6</xdr:col>
      <xdr:colOff>473528</xdr:colOff>
      <xdr:row>13</xdr:row>
      <xdr:rowOff>65863</xdr:rowOff>
    </xdr:to>
    <xdr:grpSp>
      <xdr:nvGrpSpPr>
        <xdr:cNvPr id="28" name="Group 27">
          <a:extLst>
            <a:ext uri="{FF2B5EF4-FFF2-40B4-BE49-F238E27FC236}">
              <a16:creationId xmlns:a16="http://schemas.microsoft.com/office/drawing/2014/main" id="{89BC6BE8-B6C3-482D-9A2B-8A156F1DAEBE}"/>
            </a:ext>
          </a:extLst>
        </xdr:cNvPr>
        <xdr:cNvGrpSpPr/>
      </xdr:nvGrpSpPr>
      <xdr:grpSpPr>
        <a:xfrm>
          <a:off x="10346584" y="2926225"/>
          <a:ext cx="390132" cy="366232"/>
          <a:chOff x="6273668" y="3846512"/>
          <a:chExt cx="392672" cy="392113"/>
        </a:xfrm>
      </xdr:grpSpPr>
      <xdr:sp macro="" textlink="">
        <xdr:nvSpPr>
          <xdr:cNvPr id="29" name="Oval 28">
            <a:extLst>
              <a:ext uri="{FF2B5EF4-FFF2-40B4-BE49-F238E27FC236}">
                <a16:creationId xmlns:a16="http://schemas.microsoft.com/office/drawing/2014/main" id="{0E910595-67EE-AABB-BCCB-E086CBB77A8A}"/>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30" name="TextBox 29">
            <a:extLst>
              <a:ext uri="{FF2B5EF4-FFF2-40B4-BE49-F238E27FC236}">
                <a16:creationId xmlns:a16="http://schemas.microsoft.com/office/drawing/2014/main" id="{270B44D7-354B-82D0-669C-E6DC304011AD}"/>
              </a:ext>
            </a:extLst>
          </xdr:cNvPr>
          <xdr:cNvSpPr txBox="1"/>
        </xdr:nvSpPr>
        <xdr:spPr bwMode="auto">
          <a:xfrm>
            <a:off x="6273668" y="3854786"/>
            <a:ext cx="392672" cy="379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 8</a:t>
            </a:r>
          </a:p>
        </xdr:txBody>
      </xdr:sp>
    </xdr:grpSp>
    <xdr:clientData/>
  </xdr:twoCellAnchor>
  <xdr:twoCellAnchor>
    <xdr:from>
      <xdr:col>7</xdr:col>
      <xdr:colOff>1049894</xdr:colOff>
      <xdr:row>11</xdr:row>
      <xdr:rowOff>476780</xdr:rowOff>
    </xdr:from>
    <xdr:to>
      <xdr:col>7</xdr:col>
      <xdr:colOff>1446376</xdr:colOff>
      <xdr:row>13</xdr:row>
      <xdr:rowOff>67836</xdr:rowOff>
    </xdr:to>
    <xdr:grpSp>
      <xdr:nvGrpSpPr>
        <xdr:cNvPr id="31" name="Group 30">
          <a:extLst>
            <a:ext uri="{FF2B5EF4-FFF2-40B4-BE49-F238E27FC236}">
              <a16:creationId xmlns:a16="http://schemas.microsoft.com/office/drawing/2014/main" id="{231C06C0-9912-4C0B-8127-5FCB9349C452}"/>
            </a:ext>
          </a:extLst>
        </xdr:cNvPr>
        <xdr:cNvGrpSpPr/>
      </xdr:nvGrpSpPr>
      <xdr:grpSpPr>
        <a:xfrm>
          <a:off x="13229988" y="2929468"/>
          <a:ext cx="396482" cy="364962"/>
          <a:chOff x="6273668" y="3846512"/>
          <a:chExt cx="392672" cy="392113"/>
        </a:xfrm>
      </xdr:grpSpPr>
      <xdr:sp macro="" textlink="">
        <xdr:nvSpPr>
          <xdr:cNvPr id="32" name="Oval 31">
            <a:extLst>
              <a:ext uri="{FF2B5EF4-FFF2-40B4-BE49-F238E27FC236}">
                <a16:creationId xmlns:a16="http://schemas.microsoft.com/office/drawing/2014/main" id="{93F0EFED-76EB-0780-D863-E19D0F587A46}"/>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33" name="TextBox 32">
            <a:extLst>
              <a:ext uri="{FF2B5EF4-FFF2-40B4-BE49-F238E27FC236}">
                <a16:creationId xmlns:a16="http://schemas.microsoft.com/office/drawing/2014/main" id="{30DD6398-7590-E687-53A4-ECF3473A619A}"/>
              </a:ext>
            </a:extLst>
          </xdr:cNvPr>
          <xdr:cNvSpPr txBox="1"/>
        </xdr:nvSpPr>
        <xdr:spPr bwMode="auto">
          <a:xfrm>
            <a:off x="6273668" y="3854786"/>
            <a:ext cx="392672" cy="379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 9</a:t>
            </a:r>
          </a:p>
        </xdr:txBody>
      </xdr:sp>
    </xdr:grpSp>
    <xdr:clientData/>
  </xdr:twoCellAnchor>
  <xdr:twoCellAnchor>
    <xdr:from>
      <xdr:col>1</xdr:col>
      <xdr:colOff>511807</xdr:colOff>
      <xdr:row>16</xdr:row>
      <xdr:rowOff>9459</xdr:rowOff>
    </xdr:from>
    <xdr:to>
      <xdr:col>1</xdr:col>
      <xdr:colOff>896859</xdr:colOff>
      <xdr:row>17</xdr:row>
      <xdr:rowOff>181196</xdr:rowOff>
    </xdr:to>
    <xdr:grpSp>
      <xdr:nvGrpSpPr>
        <xdr:cNvPr id="34" name="Group 33">
          <a:extLst>
            <a:ext uri="{FF2B5EF4-FFF2-40B4-BE49-F238E27FC236}">
              <a16:creationId xmlns:a16="http://schemas.microsoft.com/office/drawing/2014/main" id="{76F8881D-7EEC-4E28-A72E-ACB7076CBDBD}"/>
            </a:ext>
          </a:extLst>
        </xdr:cNvPr>
        <xdr:cNvGrpSpPr/>
      </xdr:nvGrpSpPr>
      <xdr:grpSpPr>
        <a:xfrm>
          <a:off x="2214401" y="3974240"/>
          <a:ext cx="385052" cy="362237"/>
          <a:chOff x="6264910" y="3846512"/>
          <a:chExt cx="392672" cy="392113"/>
        </a:xfrm>
      </xdr:grpSpPr>
      <xdr:sp macro="" textlink="">
        <xdr:nvSpPr>
          <xdr:cNvPr id="35" name="Oval 34">
            <a:extLst>
              <a:ext uri="{FF2B5EF4-FFF2-40B4-BE49-F238E27FC236}">
                <a16:creationId xmlns:a16="http://schemas.microsoft.com/office/drawing/2014/main" id="{0CBB3039-D820-F1DB-90F2-F49F6CAE234D}"/>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36" name="TextBox 35">
            <a:extLst>
              <a:ext uri="{FF2B5EF4-FFF2-40B4-BE49-F238E27FC236}">
                <a16:creationId xmlns:a16="http://schemas.microsoft.com/office/drawing/2014/main" id="{BF95E88F-4AFA-B24E-D664-321B472FF326}"/>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13</a:t>
            </a:r>
          </a:p>
        </xdr:txBody>
      </xdr:sp>
    </xdr:grpSp>
    <xdr:clientData/>
  </xdr:twoCellAnchor>
  <xdr:twoCellAnchor>
    <xdr:from>
      <xdr:col>2</xdr:col>
      <xdr:colOff>989723</xdr:colOff>
      <xdr:row>16</xdr:row>
      <xdr:rowOff>0</xdr:rowOff>
    </xdr:from>
    <xdr:to>
      <xdr:col>2</xdr:col>
      <xdr:colOff>1381125</xdr:colOff>
      <xdr:row>17</xdr:row>
      <xdr:rowOff>183167</xdr:rowOff>
    </xdr:to>
    <xdr:grpSp>
      <xdr:nvGrpSpPr>
        <xdr:cNvPr id="37" name="Group 36">
          <a:extLst>
            <a:ext uri="{FF2B5EF4-FFF2-40B4-BE49-F238E27FC236}">
              <a16:creationId xmlns:a16="http://schemas.microsoft.com/office/drawing/2014/main" id="{7DE8E408-38D6-4A5C-81FE-7079DB224603}"/>
            </a:ext>
          </a:extLst>
        </xdr:cNvPr>
        <xdr:cNvGrpSpPr/>
      </xdr:nvGrpSpPr>
      <xdr:grpSpPr>
        <a:xfrm>
          <a:off x="4049629" y="3964781"/>
          <a:ext cx="391402" cy="373667"/>
          <a:chOff x="6264910" y="3846512"/>
          <a:chExt cx="392672" cy="392113"/>
        </a:xfrm>
      </xdr:grpSpPr>
      <xdr:sp macro="" textlink="">
        <xdr:nvSpPr>
          <xdr:cNvPr id="38" name="Oval 37">
            <a:extLst>
              <a:ext uri="{FF2B5EF4-FFF2-40B4-BE49-F238E27FC236}">
                <a16:creationId xmlns:a16="http://schemas.microsoft.com/office/drawing/2014/main" id="{7F2D545C-C178-FFF8-927C-59B2F6545DFC}"/>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39" name="TextBox 38">
            <a:extLst>
              <a:ext uri="{FF2B5EF4-FFF2-40B4-BE49-F238E27FC236}">
                <a16:creationId xmlns:a16="http://schemas.microsoft.com/office/drawing/2014/main" id="{EED71DBB-D7BF-2B03-A6FF-A94E7B816ED7}"/>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14</a:t>
            </a:r>
          </a:p>
        </xdr:txBody>
      </xdr:sp>
    </xdr:grpSp>
    <xdr:clientData/>
  </xdr:twoCellAnchor>
  <xdr:twoCellAnchor>
    <xdr:from>
      <xdr:col>3</xdr:col>
      <xdr:colOff>561821</xdr:colOff>
      <xdr:row>16</xdr:row>
      <xdr:rowOff>9463</xdr:rowOff>
    </xdr:from>
    <xdr:to>
      <xdr:col>3</xdr:col>
      <xdr:colOff>953223</xdr:colOff>
      <xdr:row>17</xdr:row>
      <xdr:rowOff>181200</xdr:rowOff>
    </xdr:to>
    <xdr:grpSp>
      <xdr:nvGrpSpPr>
        <xdr:cNvPr id="40" name="Group 39">
          <a:extLst>
            <a:ext uri="{FF2B5EF4-FFF2-40B4-BE49-F238E27FC236}">
              <a16:creationId xmlns:a16="http://schemas.microsoft.com/office/drawing/2014/main" id="{859FFE29-59B3-4DD2-9647-E372EB330317}"/>
            </a:ext>
          </a:extLst>
        </xdr:cNvPr>
        <xdr:cNvGrpSpPr/>
      </xdr:nvGrpSpPr>
      <xdr:grpSpPr>
        <a:xfrm>
          <a:off x="6002977" y="3974244"/>
          <a:ext cx="391402" cy="362237"/>
          <a:chOff x="6264910" y="3846512"/>
          <a:chExt cx="392672" cy="392113"/>
        </a:xfrm>
      </xdr:grpSpPr>
      <xdr:sp macro="" textlink="">
        <xdr:nvSpPr>
          <xdr:cNvPr id="41" name="Oval 40">
            <a:extLst>
              <a:ext uri="{FF2B5EF4-FFF2-40B4-BE49-F238E27FC236}">
                <a16:creationId xmlns:a16="http://schemas.microsoft.com/office/drawing/2014/main" id="{98C3131C-F921-01E7-19AC-FB164E665C08}"/>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42" name="TextBox 41">
            <a:extLst>
              <a:ext uri="{FF2B5EF4-FFF2-40B4-BE49-F238E27FC236}">
                <a16:creationId xmlns:a16="http://schemas.microsoft.com/office/drawing/2014/main" id="{E0EE43C6-D74D-A87B-A9CC-6CE82E510393}"/>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15</a:t>
            </a:r>
          </a:p>
        </xdr:txBody>
      </xdr:sp>
    </xdr:grpSp>
    <xdr:clientData/>
  </xdr:twoCellAnchor>
  <xdr:twoCellAnchor>
    <xdr:from>
      <xdr:col>4</xdr:col>
      <xdr:colOff>769488</xdr:colOff>
      <xdr:row>16</xdr:row>
      <xdr:rowOff>7488</xdr:rowOff>
    </xdr:from>
    <xdr:to>
      <xdr:col>4</xdr:col>
      <xdr:colOff>1159620</xdr:colOff>
      <xdr:row>18</xdr:row>
      <xdr:rowOff>155</xdr:rowOff>
    </xdr:to>
    <xdr:grpSp>
      <xdr:nvGrpSpPr>
        <xdr:cNvPr id="43" name="Group 42">
          <a:extLst>
            <a:ext uri="{FF2B5EF4-FFF2-40B4-BE49-F238E27FC236}">
              <a16:creationId xmlns:a16="http://schemas.microsoft.com/office/drawing/2014/main" id="{07B53CE1-DF1F-4BF0-AAC1-F22C2F50B8A2}"/>
            </a:ext>
          </a:extLst>
        </xdr:cNvPr>
        <xdr:cNvGrpSpPr/>
      </xdr:nvGrpSpPr>
      <xdr:grpSpPr>
        <a:xfrm>
          <a:off x="7710832" y="3972269"/>
          <a:ext cx="390132" cy="373667"/>
          <a:chOff x="6264910" y="3846512"/>
          <a:chExt cx="392672" cy="392113"/>
        </a:xfrm>
      </xdr:grpSpPr>
      <xdr:sp macro="" textlink="">
        <xdr:nvSpPr>
          <xdr:cNvPr id="44" name="Oval 43">
            <a:extLst>
              <a:ext uri="{FF2B5EF4-FFF2-40B4-BE49-F238E27FC236}">
                <a16:creationId xmlns:a16="http://schemas.microsoft.com/office/drawing/2014/main" id="{ACC39AD6-EE3A-AE7B-CF9D-C48B8727A92B}"/>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45" name="TextBox 44">
            <a:extLst>
              <a:ext uri="{FF2B5EF4-FFF2-40B4-BE49-F238E27FC236}">
                <a16:creationId xmlns:a16="http://schemas.microsoft.com/office/drawing/2014/main" id="{A79B1962-9C77-2074-2EFB-0726C0DC38AC}"/>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16</a:t>
            </a:r>
          </a:p>
        </xdr:txBody>
      </xdr:sp>
    </xdr:grpSp>
    <xdr:clientData/>
  </xdr:twoCellAnchor>
  <xdr:twoCellAnchor>
    <xdr:from>
      <xdr:col>5</xdr:col>
      <xdr:colOff>502348</xdr:colOff>
      <xdr:row>16</xdr:row>
      <xdr:rowOff>0</xdr:rowOff>
    </xdr:from>
    <xdr:to>
      <xdr:col>5</xdr:col>
      <xdr:colOff>892480</xdr:colOff>
      <xdr:row>17</xdr:row>
      <xdr:rowOff>183167</xdr:rowOff>
    </xdr:to>
    <xdr:grpSp>
      <xdr:nvGrpSpPr>
        <xdr:cNvPr id="46" name="Group 45">
          <a:extLst>
            <a:ext uri="{FF2B5EF4-FFF2-40B4-BE49-F238E27FC236}">
              <a16:creationId xmlns:a16="http://schemas.microsoft.com/office/drawing/2014/main" id="{666AB870-E41A-47E4-9124-27B22F5051EE}"/>
            </a:ext>
          </a:extLst>
        </xdr:cNvPr>
        <xdr:cNvGrpSpPr/>
      </xdr:nvGrpSpPr>
      <xdr:grpSpPr>
        <a:xfrm>
          <a:off x="9324879" y="3964781"/>
          <a:ext cx="390132" cy="373667"/>
          <a:chOff x="6264910" y="3846512"/>
          <a:chExt cx="392672" cy="392113"/>
        </a:xfrm>
      </xdr:grpSpPr>
      <xdr:sp macro="" textlink="">
        <xdr:nvSpPr>
          <xdr:cNvPr id="47" name="Oval 46">
            <a:extLst>
              <a:ext uri="{FF2B5EF4-FFF2-40B4-BE49-F238E27FC236}">
                <a16:creationId xmlns:a16="http://schemas.microsoft.com/office/drawing/2014/main" id="{C704FB3E-63DC-EC9F-297C-E1FD28690294}"/>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48" name="TextBox 47">
            <a:extLst>
              <a:ext uri="{FF2B5EF4-FFF2-40B4-BE49-F238E27FC236}">
                <a16:creationId xmlns:a16="http://schemas.microsoft.com/office/drawing/2014/main" id="{00F6723B-20B8-1B95-7851-DD5B2C3328EB}"/>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17</a:t>
            </a:r>
          </a:p>
        </xdr:txBody>
      </xdr:sp>
    </xdr:grpSp>
    <xdr:clientData/>
  </xdr:twoCellAnchor>
  <xdr:twoCellAnchor>
    <xdr:from>
      <xdr:col>6</xdr:col>
      <xdr:colOff>818361</xdr:colOff>
      <xdr:row>16</xdr:row>
      <xdr:rowOff>0</xdr:rowOff>
    </xdr:from>
    <xdr:to>
      <xdr:col>6</xdr:col>
      <xdr:colOff>1206588</xdr:colOff>
      <xdr:row>17</xdr:row>
      <xdr:rowOff>183167</xdr:rowOff>
    </xdr:to>
    <xdr:grpSp>
      <xdr:nvGrpSpPr>
        <xdr:cNvPr id="49" name="Group 48">
          <a:extLst>
            <a:ext uri="{FF2B5EF4-FFF2-40B4-BE49-F238E27FC236}">
              <a16:creationId xmlns:a16="http://schemas.microsoft.com/office/drawing/2014/main" id="{6F6A977B-B30F-487C-A715-94C276A9C45D}"/>
            </a:ext>
          </a:extLst>
        </xdr:cNvPr>
        <xdr:cNvGrpSpPr/>
      </xdr:nvGrpSpPr>
      <xdr:grpSpPr>
        <a:xfrm>
          <a:off x="11081549" y="3964781"/>
          <a:ext cx="388227" cy="373667"/>
          <a:chOff x="6264910" y="3846512"/>
          <a:chExt cx="392672" cy="392113"/>
        </a:xfrm>
      </xdr:grpSpPr>
      <xdr:sp macro="" textlink="">
        <xdr:nvSpPr>
          <xdr:cNvPr id="50" name="Oval 49">
            <a:extLst>
              <a:ext uri="{FF2B5EF4-FFF2-40B4-BE49-F238E27FC236}">
                <a16:creationId xmlns:a16="http://schemas.microsoft.com/office/drawing/2014/main" id="{6F7EC5B8-1C53-0D9E-3190-7C617FC2401E}"/>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51" name="TextBox 50">
            <a:extLst>
              <a:ext uri="{FF2B5EF4-FFF2-40B4-BE49-F238E27FC236}">
                <a16:creationId xmlns:a16="http://schemas.microsoft.com/office/drawing/2014/main" id="{66B5D9A7-5B27-2843-4F32-3F03CB7BA018}"/>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18</a:t>
            </a:r>
          </a:p>
        </xdr:txBody>
      </xdr:sp>
    </xdr:grpSp>
    <xdr:clientData/>
  </xdr:twoCellAnchor>
  <xdr:twoCellAnchor>
    <xdr:from>
      <xdr:col>7</xdr:col>
      <xdr:colOff>1036625</xdr:colOff>
      <xdr:row>16</xdr:row>
      <xdr:rowOff>0</xdr:rowOff>
    </xdr:from>
    <xdr:to>
      <xdr:col>7</xdr:col>
      <xdr:colOff>1426757</xdr:colOff>
      <xdr:row>17</xdr:row>
      <xdr:rowOff>183167</xdr:rowOff>
    </xdr:to>
    <xdr:grpSp>
      <xdr:nvGrpSpPr>
        <xdr:cNvPr id="52" name="Group 51">
          <a:extLst>
            <a:ext uri="{FF2B5EF4-FFF2-40B4-BE49-F238E27FC236}">
              <a16:creationId xmlns:a16="http://schemas.microsoft.com/office/drawing/2014/main" id="{96BA853D-0086-41FD-9C28-BC479504A8F2}"/>
            </a:ext>
          </a:extLst>
        </xdr:cNvPr>
        <xdr:cNvGrpSpPr/>
      </xdr:nvGrpSpPr>
      <xdr:grpSpPr>
        <a:xfrm>
          <a:off x="13216719" y="3964781"/>
          <a:ext cx="390132" cy="373667"/>
          <a:chOff x="6264910" y="3846512"/>
          <a:chExt cx="392672" cy="392113"/>
        </a:xfrm>
      </xdr:grpSpPr>
      <xdr:sp macro="" textlink="">
        <xdr:nvSpPr>
          <xdr:cNvPr id="53" name="Oval 52">
            <a:extLst>
              <a:ext uri="{FF2B5EF4-FFF2-40B4-BE49-F238E27FC236}">
                <a16:creationId xmlns:a16="http://schemas.microsoft.com/office/drawing/2014/main" id="{1DEAB9F1-91F9-E9D2-6399-5819E2F013CF}"/>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54" name="TextBox 53">
            <a:extLst>
              <a:ext uri="{FF2B5EF4-FFF2-40B4-BE49-F238E27FC236}">
                <a16:creationId xmlns:a16="http://schemas.microsoft.com/office/drawing/2014/main" id="{27415AB2-BE2D-697F-3145-1579B3281739}"/>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19</a:t>
            </a:r>
          </a:p>
        </xdr:txBody>
      </xdr:sp>
    </xdr:grpSp>
    <xdr:clientData/>
  </xdr:twoCellAnchor>
  <xdr:twoCellAnchor>
    <xdr:from>
      <xdr:col>8</xdr:col>
      <xdr:colOff>627498</xdr:colOff>
      <xdr:row>16</xdr:row>
      <xdr:rowOff>0</xdr:rowOff>
    </xdr:from>
    <xdr:to>
      <xdr:col>8</xdr:col>
      <xdr:colOff>1012550</xdr:colOff>
      <xdr:row>17</xdr:row>
      <xdr:rowOff>183167</xdr:rowOff>
    </xdr:to>
    <xdr:grpSp>
      <xdr:nvGrpSpPr>
        <xdr:cNvPr id="55" name="Group 54">
          <a:extLst>
            <a:ext uri="{FF2B5EF4-FFF2-40B4-BE49-F238E27FC236}">
              <a16:creationId xmlns:a16="http://schemas.microsoft.com/office/drawing/2014/main" id="{2E5C32E7-C9F7-4F9A-977B-C3947C62369E}"/>
            </a:ext>
          </a:extLst>
        </xdr:cNvPr>
        <xdr:cNvGrpSpPr/>
      </xdr:nvGrpSpPr>
      <xdr:grpSpPr>
        <a:xfrm>
          <a:off x="15141217" y="3964781"/>
          <a:ext cx="385052" cy="373667"/>
          <a:chOff x="6264910" y="3846512"/>
          <a:chExt cx="392672" cy="392113"/>
        </a:xfrm>
      </xdr:grpSpPr>
      <xdr:sp macro="" textlink="">
        <xdr:nvSpPr>
          <xdr:cNvPr id="56" name="Oval 55">
            <a:extLst>
              <a:ext uri="{FF2B5EF4-FFF2-40B4-BE49-F238E27FC236}">
                <a16:creationId xmlns:a16="http://schemas.microsoft.com/office/drawing/2014/main" id="{14540876-9A58-A146-D898-055D9BC777C4}"/>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57" name="TextBox 56">
            <a:extLst>
              <a:ext uri="{FF2B5EF4-FFF2-40B4-BE49-F238E27FC236}">
                <a16:creationId xmlns:a16="http://schemas.microsoft.com/office/drawing/2014/main" id="{C0CD544C-D83B-320E-6453-5CB26459B926}"/>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20</a:t>
            </a:r>
          </a:p>
        </xdr:txBody>
      </xdr:sp>
    </xdr:grpSp>
    <xdr:clientData/>
  </xdr:twoCellAnchor>
  <xdr:twoCellAnchor>
    <xdr:from>
      <xdr:col>9</xdr:col>
      <xdr:colOff>1210180</xdr:colOff>
      <xdr:row>16</xdr:row>
      <xdr:rowOff>0</xdr:rowOff>
    </xdr:from>
    <xdr:to>
      <xdr:col>9</xdr:col>
      <xdr:colOff>1606662</xdr:colOff>
      <xdr:row>17</xdr:row>
      <xdr:rowOff>183167</xdr:rowOff>
    </xdr:to>
    <xdr:grpSp>
      <xdr:nvGrpSpPr>
        <xdr:cNvPr id="58" name="Group 57">
          <a:extLst>
            <a:ext uri="{FF2B5EF4-FFF2-40B4-BE49-F238E27FC236}">
              <a16:creationId xmlns:a16="http://schemas.microsoft.com/office/drawing/2014/main" id="{2C5976D9-2A76-47CA-B4E9-9F36F03751FF}"/>
            </a:ext>
          </a:extLst>
        </xdr:cNvPr>
        <xdr:cNvGrpSpPr/>
      </xdr:nvGrpSpPr>
      <xdr:grpSpPr>
        <a:xfrm>
          <a:off x="17235993" y="3964781"/>
          <a:ext cx="396482" cy="373667"/>
          <a:chOff x="6264910" y="3846512"/>
          <a:chExt cx="392672" cy="392113"/>
        </a:xfrm>
      </xdr:grpSpPr>
      <xdr:sp macro="" textlink="">
        <xdr:nvSpPr>
          <xdr:cNvPr id="59" name="Oval 58">
            <a:extLst>
              <a:ext uri="{FF2B5EF4-FFF2-40B4-BE49-F238E27FC236}">
                <a16:creationId xmlns:a16="http://schemas.microsoft.com/office/drawing/2014/main" id="{CEEF080F-7A13-C3F5-3CB5-D64620599841}"/>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60" name="TextBox 59">
            <a:extLst>
              <a:ext uri="{FF2B5EF4-FFF2-40B4-BE49-F238E27FC236}">
                <a16:creationId xmlns:a16="http://schemas.microsoft.com/office/drawing/2014/main" id="{AD6C2C53-6A9F-733E-0584-A2A8760AEA6A}"/>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21</a:t>
            </a:r>
          </a:p>
        </xdr:txBody>
      </xdr:sp>
    </xdr:grpSp>
    <xdr:clientData/>
  </xdr:twoCellAnchor>
  <xdr:twoCellAnchor>
    <xdr:from>
      <xdr:col>10</xdr:col>
      <xdr:colOff>447962</xdr:colOff>
      <xdr:row>16</xdr:row>
      <xdr:rowOff>0</xdr:rowOff>
    </xdr:from>
    <xdr:to>
      <xdr:col>10</xdr:col>
      <xdr:colOff>839364</xdr:colOff>
      <xdr:row>17</xdr:row>
      <xdr:rowOff>183167</xdr:rowOff>
    </xdr:to>
    <xdr:grpSp>
      <xdr:nvGrpSpPr>
        <xdr:cNvPr id="61" name="Group 60">
          <a:extLst>
            <a:ext uri="{FF2B5EF4-FFF2-40B4-BE49-F238E27FC236}">
              <a16:creationId xmlns:a16="http://schemas.microsoft.com/office/drawing/2014/main" id="{0AD692CD-125E-44DE-809B-A85533515944}"/>
            </a:ext>
          </a:extLst>
        </xdr:cNvPr>
        <xdr:cNvGrpSpPr/>
      </xdr:nvGrpSpPr>
      <xdr:grpSpPr>
        <a:xfrm>
          <a:off x="19116962" y="3964781"/>
          <a:ext cx="391402" cy="373667"/>
          <a:chOff x="6264910" y="3846512"/>
          <a:chExt cx="392672" cy="392113"/>
        </a:xfrm>
      </xdr:grpSpPr>
      <xdr:sp macro="" textlink="">
        <xdr:nvSpPr>
          <xdr:cNvPr id="62" name="Oval 61">
            <a:extLst>
              <a:ext uri="{FF2B5EF4-FFF2-40B4-BE49-F238E27FC236}">
                <a16:creationId xmlns:a16="http://schemas.microsoft.com/office/drawing/2014/main" id="{491828B9-0925-D59E-7AA8-4B5FB1B29F6B}"/>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63" name="TextBox 62">
            <a:extLst>
              <a:ext uri="{FF2B5EF4-FFF2-40B4-BE49-F238E27FC236}">
                <a16:creationId xmlns:a16="http://schemas.microsoft.com/office/drawing/2014/main" id="{AED5796F-35FD-419A-6787-F909153D7C03}"/>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22</a:t>
            </a:r>
          </a:p>
        </xdr:txBody>
      </xdr:sp>
    </xdr:grpSp>
    <xdr:clientData/>
  </xdr:twoCellAnchor>
  <xdr:twoCellAnchor>
    <xdr:from>
      <xdr:col>11</xdr:col>
      <xdr:colOff>552362</xdr:colOff>
      <xdr:row>16</xdr:row>
      <xdr:rowOff>0</xdr:rowOff>
    </xdr:from>
    <xdr:to>
      <xdr:col>11</xdr:col>
      <xdr:colOff>945669</xdr:colOff>
      <xdr:row>17</xdr:row>
      <xdr:rowOff>183167</xdr:rowOff>
    </xdr:to>
    <xdr:grpSp>
      <xdr:nvGrpSpPr>
        <xdr:cNvPr id="64" name="Group 63">
          <a:extLst>
            <a:ext uri="{FF2B5EF4-FFF2-40B4-BE49-F238E27FC236}">
              <a16:creationId xmlns:a16="http://schemas.microsoft.com/office/drawing/2014/main" id="{AC7932FA-3A9D-4781-9236-6B0EC14904D8}"/>
            </a:ext>
          </a:extLst>
        </xdr:cNvPr>
        <xdr:cNvGrpSpPr/>
      </xdr:nvGrpSpPr>
      <xdr:grpSpPr>
        <a:xfrm>
          <a:off x="20400081" y="3964781"/>
          <a:ext cx="393307" cy="373667"/>
          <a:chOff x="6264910" y="3846512"/>
          <a:chExt cx="392672" cy="392113"/>
        </a:xfrm>
      </xdr:grpSpPr>
      <xdr:sp macro="" textlink="">
        <xdr:nvSpPr>
          <xdr:cNvPr id="65" name="Oval 64">
            <a:extLst>
              <a:ext uri="{FF2B5EF4-FFF2-40B4-BE49-F238E27FC236}">
                <a16:creationId xmlns:a16="http://schemas.microsoft.com/office/drawing/2014/main" id="{7F3352F8-AD69-F17D-FD86-FFB2690187E3}"/>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66" name="TextBox 65">
            <a:extLst>
              <a:ext uri="{FF2B5EF4-FFF2-40B4-BE49-F238E27FC236}">
                <a16:creationId xmlns:a16="http://schemas.microsoft.com/office/drawing/2014/main" id="{1D343D14-7911-0266-EA39-92BFBD539DC6}"/>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23</a:t>
            </a:r>
          </a:p>
        </xdr:txBody>
      </xdr:sp>
    </xdr:grpSp>
    <xdr:clientData/>
  </xdr:twoCellAnchor>
  <xdr:twoCellAnchor>
    <xdr:from>
      <xdr:col>12</xdr:col>
      <xdr:colOff>626443</xdr:colOff>
      <xdr:row>16</xdr:row>
      <xdr:rowOff>0</xdr:rowOff>
    </xdr:from>
    <xdr:to>
      <xdr:col>12</xdr:col>
      <xdr:colOff>1017845</xdr:colOff>
      <xdr:row>17</xdr:row>
      <xdr:rowOff>183167</xdr:rowOff>
    </xdr:to>
    <xdr:grpSp>
      <xdr:nvGrpSpPr>
        <xdr:cNvPr id="67" name="Group 66">
          <a:extLst>
            <a:ext uri="{FF2B5EF4-FFF2-40B4-BE49-F238E27FC236}">
              <a16:creationId xmlns:a16="http://schemas.microsoft.com/office/drawing/2014/main" id="{E61A9DB9-9038-4FE4-805A-838B298B9C47}"/>
            </a:ext>
          </a:extLst>
        </xdr:cNvPr>
        <xdr:cNvGrpSpPr/>
      </xdr:nvGrpSpPr>
      <xdr:grpSpPr>
        <a:xfrm>
          <a:off x="21891006" y="3964781"/>
          <a:ext cx="391402" cy="373667"/>
          <a:chOff x="6264910" y="3846512"/>
          <a:chExt cx="392672" cy="392113"/>
        </a:xfrm>
      </xdr:grpSpPr>
      <xdr:sp macro="" textlink="">
        <xdr:nvSpPr>
          <xdr:cNvPr id="68" name="Oval 67">
            <a:extLst>
              <a:ext uri="{FF2B5EF4-FFF2-40B4-BE49-F238E27FC236}">
                <a16:creationId xmlns:a16="http://schemas.microsoft.com/office/drawing/2014/main" id="{1D8DE4C8-6F6D-543D-B166-7EEB1E067A78}"/>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69" name="TextBox 68">
            <a:extLst>
              <a:ext uri="{FF2B5EF4-FFF2-40B4-BE49-F238E27FC236}">
                <a16:creationId xmlns:a16="http://schemas.microsoft.com/office/drawing/2014/main" id="{5F621973-E2E0-460C-E69B-166855736209}"/>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24</a:t>
            </a:r>
          </a:p>
        </xdr:txBody>
      </xdr:sp>
    </xdr:grpSp>
    <xdr:clientData/>
  </xdr:twoCellAnchor>
  <xdr:twoCellAnchor>
    <xdr:from>
      <xdr:col>13</xdr:col>
      <xdr:colOff>445988</xdr:colOff>
      <xdr:row>16</xdr:row>
      <xdr:rowOff>0</xdr:rowOff>
    </xdr:from>
    <xdr:to>
      <xdr:col>13</xdr:col>
      <xdr:colOff>848820</xdr:colOff>
      <xdr:row>17</xdr:row>
      <xdr:rowOff>183167</xdr:rowOff>
    </xdr:to>
    <xdr:grpSp>
      <xdr:nvGrpSpPr>
        <xdr:cNvPr id="70" name="Group 69">
          <a:extLst>
            <a:ext uri="{FF2B5EF4-FFF2-40B4-BE49-F238E27FC236}">
              <a16:creationId xmlns:a16="http://schemas.microsoft.com/office/drawing/2014/main" id="{30AC9C1A-5376-4848-9AA4-7154F554CF5B}"/>
            </a:ext>
          </a:extLst>
        </xdr:cNvPr>
        <xdr:cNvGrpSpPr/>
      </xdr:nvGrpSpPr>
      <xdr:grpSpPr>
        <a:xfrm>
          <a:off x="23198832" y="3964781"/>
          <a:ext cx="402832" cy="373667"/>
          <a:chOff x="6264910" y="3846512"/>
          <a:chExt cx="392672" cy="392113"/>
        </a:xfrm>
      </xdr:grpSpPr>
      <xdr:sp macro="" textlink="">
        <xdr:nvSpPr>
          <xdr:cNvPr id="71" name="Oval 70">
            <a:extLst>
              <a:ext uri="{FF2B5EF4-FFF2-40B4-BE49-F238E27FC236}">
                <a16:creationId xmlns:a16="http://schemas.microsoft.com/office/drawing/2014/main" id="{D6EB49EC-5B82-674E-3FEB-E5946329E978}"/>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72" name="TextBox 71">
            <a:extLst>
              <a:ext uri="{FF2B5EF4-FFF2-40B4-BE49-F238E27FC236}">
                <a16:creationId xmlns:a16="http://schemas.microsoft.com/office/drawing/2014/main" id="{7B2E0AA3-AE1B-29BE-E9CE-353019512460}"/>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25</a:t>
            </a:r>
          </a:p>
        </xdr:txBody>
      </xdr:sp>
    </xdr:grpSp>
    <xdr:clientData/>
  </xdr:twoCellAnchor>
  <xdr:twoCellAnchor>
    <xdr:from>
      <xdr:col>14</xdr:col>
      <xdr:colOff>601235</xdr:colOff>
      <xdr:row>16</xdr:row>
      <xdr:rowOff>0</xdr:rowOff>
    </xdr:from>
    <xdr:to>
      <xdr:col>14</xdr:col>
      <xdr:colOff>992637</xdr:colOff>
      <xdr:row>17</xdr:row>
      <xdr:rowOff>183167</xdr:rowOff>
    </xdr:to>
    <xdr:grpSp>
      <xdr:nvGrpSpPr>
        <xdr:cNvPr id="73" name="Group 72">
          <a:extLst>
            <a:ext uri="{FF2B5EF4-FFF2-40B4-BE49-F238E27FC236}">
              <a16:creationId xmlns:a16="http://schemas.microsoft.com/office/drawing/2014/main" id="{727714A7-040F-4CB5-AA16-F0B23BF572CF}"/>
            </a:ext>
          </a:extLst>
        </xdr:cNvPr>
        <xdr:cNvGrpSpPr/>
      </xdr:nvGrpSpPr>
      <xdr:grpSpPr>
        <a:xfrm>
          <a:off x="24604235" y="3964781"/>
          <a:ext cx="391402" cy="373667"/>
          <a:chOff x="6264910" y="3846512"/>
          <a:chExt cx="392672" cy="392113"/>
        </a:xfrm>
      </xdr:grpSpPr>
      <xdr:sp macro="" textlink="">
        <xdr:nvSpPr>
          <xdr:cNvPr id="74" name="Oval 73">
            <a:extLst>
              <a:ext uri="{FF2B5EF4-FFF2-40B4-BE49-F238E27FC236}">
                <a16:creationId xmlns:a16="http://schemas.microsoft.com/office/drawing/2014/main" id="{85124E4F-94E9-0903-0D57-3F33853D03B5}"/>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75" name="TextBox 74">
            <a:extLst>
              <a:ext uri="{FF2B5EF4-FFF2-40B4-BE49-F238E27FC236}">
                <a16:creationId xmlns:a16="http://schemas.microsoft.com/office/drawing/2014/main" id="{D55ACD86-5548-5630-E842-FBF6699A8D19}"/>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26</a:t>
            </a:r>
          </a:p>
        </xdr:txBody>
      </xdr:sp>
    </xdr:grpSp>
    <xdr:clientData/>
  </xdr:twoCellAnchor>
  <xdr:twoCellAnchor>
    <xdr:from>
      <xdr:col>15</xdr:col>
      <xdr:colOff>638675</xdr:colOff>
      <xdr:row>16</xdr:row>
      <xdr:rowOff>0</xdr:rowOff>
    </xdr:from>
    <xdr:to>
      <xdr:col>15</xdr:col>
      <xdr:colOff>1035157</xdr:colOff>
      <xdr:row>17</xdr:row>
      <xdr:rowOff>183167</xdr:rowOff>
    </xdr:to>
    <xdr:grpSp>
      <xdr:nvGrpSpPr>
        <xdr:cNvPr id="76" name="Group 75">
          <a:extLst>
            <a:ext uri="{FF2B5EF4-FFF2-40B4-BE49-F238E27FC236}">
              <a16:creationId xmlns:a16="http://schemas.microsoft.com/office/drawing/2014/main" id="{4255D30C-ECA2-452F-AADE-9DB8970A1498}"/>
            </a:ext>
          </a:extLst>
        </xdr:cNvPr>
        <xdr:cNvGrpSpPr/>
      </xdr:nvGrpSpPr>
      <xdr:grpSpPr>
        <a:xfrm>
          <a:off x="26225206" y="3964781"/>
          <a:ext cx="396482" cy="373667"/>
          <a:chOff x="6264910" y="3846512"/>
          <a:chExt cx="392672" cy="392113"/>
        </a:xfrm>
      </xdr:grpSpPr>
      <xdr:sp macro="" textlink="">
        <xdr:nvSpPr>
          <xdr:cNvPr id="77" name="Oval 76">
            <a:extLst>
              <a:ext uri="{FF2B5EF4-FFF2-40B4-BE49-F238E27FC236}">
                <a16:creationId xmlns:a16="http://schemas.microsoft.com/office/drawing/2014/main" id="{05FAEC23-C75E-951E-86D7-92AFA08B95E9}"/>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78" name="TextBox 77">
            <a:extLst>
              <a:ext uri="{FF2B5EF4-FFF2-40B4-BE49-F238E27FC236}">
                <a16:creationId xmlns:a16="http://schemas.microsoft.com/office/drawing/2014/main" id="{18715863-B433-B10D-A4F2-02D167C70A2A}"/>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27</a:t>
            </a:r>
          </a:p>
        </xdr:txBody>
      </xdr:sp>
    </xdr:grpSp>
    <xdr:clientData/>
  </xdr:twoCellAnchor>
  <xdr:twoCellAnchor>
    <xdr:from>
      <xdr:col>16</xdr:col>
      <xdr:colOff>487378</xdr:colOff>
      <xdr:row>16</xdr:row>
      <xdr:rowOff>0</xdr:rowOff>
    </xdr:from>
    <xdr:to>
      <xdr:col>16</xdr:col>
      <xdr:colOff>878780</xdr:colOff>
      <xdr:row>17</xdr:row>
      <xdr:rowOff>183167</xdr:rowOff>
    </xdr:to>
    <xdr:grpSp>
      <xdr:nvGrpSpPr>
        <xdr:cNvPr id="79" name="Group 78">
          <a:extLst>
            <a:ext uri="{FF2B5EF4-FFF2-40B4-BE49-F238E27FC236}">
              <a16:creationId xmlns:a16="http://schemas.microsoft.com/office/drawing/2014/main" id="{8CC71763-8824-4142-8FE0-23BA36DBD04F}"/>
            </a:ext>
          </a:extLst>
        </xdr:cNvPr>
        <xdr:cNvGrpSpPr/>
      </xdr:nvGrpSpPr>
      <xdr:grpSpPr>
        <a:xfrm>
          <a:off x="27657441" y="3964781"/>
          <a:ext cx="391402" cy="373667"/>
          <a:chOff x="6264910" y="3846512"/>
          <a:chExt cx="392672" cy="392113"/>
        </a:xfrm>
      </xdr:grpSpPr>
      <xdr:sp macro="" textlink="">
        <xdr:nvSpPr>
          <xdr:cNvPr id="80" name="Oval 79">
            <a:extLst>
              <a:ext uri="{FF2B5EF4-FFF2-40B4-BE49-F238E27FC236}">
                <a16:creationId xmlns:a16="http://schemas.microsoft.com/office/drawing/2014/main" id="{94B95A6D-7FA0-A86D-3B14-87E3F2EE122F}"/>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81" name="TextBox 80">
            <a:extLst>
              <a:ext uri="{FF2B5EF4-FFF2-40B4-BE49-F238E27FC236}">
                <a16:creationId xmlns:a16="http://schemas.microsoft.com/office/drawing/2014/main" id="{76CB3F93-29D9-3A91-5F4D-6FC62EBC7E5C}"/>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28</a:t>
            </a:r>
          </a:p>
        </xdr:txBody>
      </xdr:sp>
    </xdr:grpSp>
    <xdr:clientData/>
  </xdr:twoCellAnchor>
  <xdr:twoCellAnchor>
    <xdr:from>
      <xdr:col>17</xdr:col>
      <xdr:colOff>640649</xdr:colOff>
      <xdr:row>16</xdr:row>
      <xdr:rowOff>0</xdr:rowOff>
    </xdr:from>
    <xdr:to>
      <xdr:col>17</xdr:col>
      <xdr:colOff>1035226</xdr:colOff>
      <xdr:row>17</xdr:row>
      <xdr:rowOff>183167</xdr:rowOff>
    </xdr:to>
    <xdr:grpSp>
      <xdr:nvGrpSpPr>
        <xdr:cNvPr id="82" name="Group 81">
          <a:extLst>
            <a:ext uri="{FF2B5EF4-FFF2-40B4-BE49-F238E27FC236}">
              <a16:creationId xmlns:a16="http://schemas.microsoft.com/office/drawing/2014/main" id="{29E210F6-8B0F-4875-AE4A-3BDB451EA2C6}"/>
            </a:ext>
          </a:extLst>
        </xdr:cNvPr>
        <xdr:cNvGrpSpPr/>
      </xdr:nvGrpSpPr>
      <xdr:grpSpPr>
        <a:xfrm>
          <a:off x="29096587" y="3964781"/>
          <a:ext cx="394577" cy="373667"/>
          <a:chOff x="6264910" y="3846512"/>
          <a:chExt cx="392672" cy="392113"/>
        </a:xfrm>
      </xdr:grpSpPr>
      <xdr:sp macro="" textlink="">
        <xdr:nvSpPr>
          <xdr:cNvPr id="83" name="Oval 82">
            <a:extLst>
              <a:ext uri="{FF2B5EF4-FFF2-40B4-BE49-F238E27FC236}">
                <a16:creationId xmlns:a16="http://schemas.microsoft.com/office/drawing/2014/main" id="{26B37F04-3C90-8FC4-E699-5FBBE0F48FA1}"/>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84" name="TextBox 83">
            <a:extLst>
              <a:ext uri="{FF2B5EF4-FFF2-40B4-BE49-F238E27FC236}">
                <a16:creationId xmlns:a16="http://schemas.microsoft.com/office/drawing/2014/main" id="{2E6D344B-C08C-22CB-BD3E-B6511EF6D054}"/>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29</a:t>
            </a:r>
          </a:p>
        </xdr:txBody>
      </xdr:sp>
    </xdr:grpSp>
    <xdr:clientData/>
  </xdr:twoCellAnchor>
  <xdr:twoCellAnchor>
    <xdr:from>
      <xdr:col>9</xdr:col>
      <xdr:colOff>1219832</xdr:colOff>
      <xdr:row>11</xdr:row>
      <xdr:rowOff>473535</xdr:rowOff>
    </xdr:from>
    <xdr:to>
      <xdr:col>9</xdr:col>
      <xdr:colOff>1616314</xdr:colOff>
      <xdr:row>13</xdr:row>
      <xdr:rowOff>76794</xdr:rowOff>
    </xdr:to>
    <xdr:grpSp>
      <xdr:nvGrpSpPr>
        <xdr:cNvPr id="85" name="Group 84">
          <a:extLst>
            <a:ext uri="{FF2B5EF4-FFF2-40B4-BE49-F238E27FC236}">
              <a16:creationId xmlns:a16="http://schemas.microsoft.com/office/drawing/2014/main" id="{155B25BC-87B5-4EF3-B2B8-930E254ED5B2}"/>
            </a:ext>
          </a:extLst>
        </xdr:cNvPr>
        <xdr:cNvGrpSpPr/>
      </xdr:nvGrpSpPr>
      <xdr:grpSpPr>
        <a:xfrm>
          <a:off x="17245645" y="2926223"/>
          <a:ext cx="396482" cy="377165"/>
          <a:chOff x="6264910" y="3846512"/>
          <a:chExt cx="392672" cy="392113"/>
        </a:xfrm>
      </xdr:grpSpPr>
      <xdr:sp macro="" textlink="">
        <xdr:nvSpPr>
          <xdr:cNvPr id="86" name="Oval 85">
            <a:extLst>
              <a:ext uri="{FF2B5EF4-FFF2-40B4-BE49-F238E27FC236}">
                <a16:creationId xmlns:a16="http://schemas.microsoft.com/office/drawing/2014/main" id="{792467E8-CDA0-147C-28BA-AC855F1A646C}"/>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87" name="TextBox 86">
            <a:extLst>
              <a:ext uri="{FF2B5EF4-FFF2-40B4-BE49-F238E27FC236}">
                <a16:creationId xmlns:a16="http://schemas.microsoft.com/office/drawing/2014/main" id="{332115E9-5C46-33AE-7FBE-EF97E8D430DE}"/>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11</a:t>
            </a:r>
          </a:p>
        </xdr:txBody>
      </xdr:sp>
    </xdr:grpSp>
    <xdr:clientData/>
  </xdr:twoCellAnchor>
  <xdr:twoCellAnchor>
    <xdr:from>
      <xdr:col>8</xdr:col>
      <xdr:colOff>626209</xdr:colOff>
      <xdr:row>11</xdr:row>
      <xdr:rowOff>477914</xdr:rowOff>
    </xdr:from>
    <xdr:to>
      <xdr:col>8</xdr:col>
      <xdr:colOff>1017611</xdr:colOff>
      <xdr:row>13</xdr:row>
      <xdr:rowOff>86253</xdr:rowOff>
    </xdr:to>
    <xdr:grpSp>
      <xdr:nvGrpSpPr>
        <xdr:cNvPr id="88" name="Group 87">
          <a:extLst>
            <a:ext uri="{FF2B5EF4-FFF2-40B4-BE49-F238E27FC236}">
              <a16:creationId xmlns:a16="http://schemas.microsoft.com/office/drawing/2014/main" id="{4E56082E-9294-4C92-ABC0-4B24BD178E96}"/>
            </a:ext>
          </a:extLst>
        </xdr:cNvPr>
        <xdr:cNvGrpSpPr/>
      </xdr:nvGrpSpPr>
      <xdr:grpSpPr>
        <a:xfrm>
          <a:off x="15139928" y="2930602"/>
          <a:ext cx="391402" cy="382245"/>
          <a:chOff x="6264910" y="3846512"/>
          <a:chExt cx="392672" cy="392113"/>
        </a:xfrm>
      </xdr:grpSpPr>
      <xdr:sp macro="" textlink="">
        <xdr:nvSpPr>
          <xdr:cNvPr id="89" name="Oval 88">
            <a:extLst>
              <a:ext uri="{FF2B5EF4-FFF2-40B4-BE49-F238E27FC236}">
                <a16:creationId xmlns:a16="http://schemas.microsoft.com/office/drawing/2014/main" id="{7069AE2E-4960-7A3F-EE16-3D0EF1B4A99B}"/>
              </a:ext>
            </a:extLst>
          </xdr:cNvPr>
          <xdr:cNvSpPr/>
        </xdr:nvSpPr>
        <xdr:spPr bwMode="auto">
          <a:xfrm>
            <a:off x="6280150" y="3846512"/>
            <a:ext cx="361950" cy="392113"/>
          </a:xfrm>
          <a:prstGeom prst="ellipse">
            <a:avLst/>
          </a:prstGeom>
          <a:solidFill>
            <a:schemeClr val="bg2">
              <a:alpha val="57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90" name="TextBox 89">
            <a:extLst>
              <a:ext uri="{FF2B5EF4-FFF2-40B4-BE49-F238E27FC236}">
                <a16:creationId xmlns:a16="http://schemas.microsoft.com/office/drawing/2014/main" id="{521D7B36-2E68-107C-A365-45A4FC04EF1D}"/>
              </a:ext>
            </a:extLst>
          </xdr:cNvPr>
          <xdr:cNvSpPr txBox="1"/>
        </xdr:nvSpPr>
        <xdr:spPr bwMode="auto">
          <a:xfrm>
            <a:off x="6264910" y="3860266"/>
            <a:ext cx="392672" cy="373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10</a:t>
            </a:r>
          </a:p>
        </xdr:txBody>
      </xdr:sp>
    </xdr:grp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57152</xdr:rowOff>
    </xdr:from>
    <xdr:ext cx="17878425" cy="1028698"/>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0" y="57152"/>
          <a:ext cx="17878425" cy="1028698"/>
        </a:xfrm>
        <a:prstGeom prst="rect">
          <a:avLst/>
        </a:prstGeom>
        <a:solidFill>
          <a:schemeClr val="bg1">
            <a:lumMod val="95000"/>
          </a:schemeClr>
        </a:solidFill>
        <a:ln w="76200" cmpd="thickThin">
          <a:solidFill>
            <a:schemeClr val="tx1"/>
          </a:solidFill>
          <a:beve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1600"/>
            </a:lnSpc>
          </a:pPr>
          <a:r>
            <a:rPr lang="en-US" sz="1400" b="0" i="0" u="none" strike="noStrike">
              <a:solidFill>
                <a:schemeClr val="tx1"/>
              </a:solidFill>
              <a:effectLst/>
              <a:latin typeface="+mn-lt"/>
              <a:ea typeface="+mn-ea"/>
              <a:cs typeface="+mn-cs"/>
            </a:rPr>
            <a:t>In determining</a:t>
          </a:r>
          <a:r>
            <a:rPr lang="en-US" sz="1400" b="0" i="0" u="none" strike="noStrike" baseline="0">
              <a:solidFill>
                <a:schemeClr val="tx1"/>
              </a:solidFill>
              <a:effectLst/>
              <a:latin typeface="+mn-lt"/>
              <a:ea typeface="+mn-ea"/>
              <a:cs typeface="+mn-cs"/>
            </a:rPr>
            <a:t> risk levels, please become familiar with </a:t>
          </a:r>
          <a:r>
            <a:rPr lang="en-US" sz="1400" b="0" i="0" u="none" strike="noStrike">
              <a:solidFill>
                <a:schemeClr val="tx1"/>
              </a:solidFill>
              <a:effectLst/>
              <a:latin typeface="+mn-lt"/>
              <a:ea typeface="+mn-ea"/>
              <a:cs typeface="+mn-cs"/>
            </a:rPr>
            <a:t>NIST Special</a:t>
          </a:r>
          <a:r>
            <a:rPr lang="en-US" sz="1400" b="0" i="0" u="none" strike="noStrike" baseline="0">
              <a:solidFill>
                <a:schemeClr val="tx1"/>
              </a:solidFill>
              <a:effectLst/>
              <a:latin typeface="+mn-lt"/>
              <a:ea typeface="+mn-ea"/>
              <a:cs typeface="+mn-cs"/>
            </a:rPr>
            <a:t> Publication</a:t>
          </a:r>
          <a:r>
            <a:rPr lang="en-US" sz="1400" b="0" i="0" u="none" strike="noStrike">
              <a:solidFill>
                <a:schemeClr val="tx1"/>
              </a:solidFill>
              <a:effectLst/>
              <a:latin typeface="+mn-lt"/>
              <a:ea typeface="+mn-ea"/>
              <a:cs typeface="+mn-cs"/>
            </a:rPr>
            <a:t> 800-30</a:t>
          </a:r>
          <a:r>
            <a:rPr lang="en-US" sz="1400" b="0" i="0" u="none" strike="noStrike" baseline="0">
              <a:solidFill>
                <a:schemeClr val="tx1"/>
              </a:solidFill>
              <a:effectLst/>
              <a:latin typeface="+mn-lt"/>
              <a:ea typeface="+mn-ea"/>
              <a:cs typeface="+mn-cs"/>
            </a:rPr>
            <a:t> </a:t>
          </a:r>
          <a:r>
            <a:rPr lang="en-US" sz="1400" b="0" i="0" u="none" strike="noStrike">
              <a:solidFill>
                <a:schemeClr val="tx1"/>
              </a:solidFill>
              <a:effectLst/>
              <a:latin typeface="+mn-lt"/>
              <a:ea typeface="+mn-ea"/>
              <a:cs typeface="+mn-cs"/>
            </a:rPr>
            <a:t>Revision 1. </a:t>
          </a:r>
        </a:p>
        <a:p>
          <a:pPr>
            <a:lnSpc>
              <a:spcPts val="1600"/>
            </a:lnSpc>
          </a:pPr>
          <a:endParaRPr lang="en-US" sz="1400" b="0" i="0" u="none" strike="noStrike">
            <a:solidFill>
              <a:schemeClr val="tx1"/>
            </a:solidFill>
            <a:effectLst/>
            <a:latin typeface="+mn-lt"/>
            <a:ea typeface="+mn-ea"/>
            <a:cs typeface="+mn-cs"/>
          </a:endParaRPr>
        </a:p>
        <a:p>
          <a:pPr marL="0" marR="0" lvl="0" indent="0" defTabSz="914400" eaLnBrk="1" fontAlgn="auto" latinLnBrk="0" hangingPunct="1">
            <a:lnSpc>
              <a:spcPts val="1600"/>
            </a:lnSpc>
            <a:spcBef>
              <a:spcPts val="0"/>
            </a:spcBef>
            <a:spcAft>
              <a:spcPts val="0"/>
            </a:spcAft>
            <a:buClrTx/>
            <a:buSzTx/>
            <a:buFontTx/>
            <a:buNone/>
            <a:tabLst/>
            <a:defRPr/>
          </a:pPr>
          <a:r>
            <a:rPr lang="en-US" sz="1400" b="0" i="0" u="none" strike="noStrike">
              <a:solidFill>
                <a:schemeClr val="tx1"/>
              </a:solidFill>
              <a:effectLst/>
              <a:latin typeface="+mn-lt"/>
              <a:ea typeface="+mn-ea"/>
              <a:cs typeface="+mn-cs"/>
            </a:rPr>
            <a:t>Below</a:t>
          </a:r>
          <a:r>
            <a:rPr lang="en-US" sz="1400" b="0" i="0" u="none" strike="noStrike" baseline="0">
              <a:solidFill>
                <a:schemeClr val="tx1"/>
              </a:solidFill>
              <a:effectLst/>
              <a:latin typeface="+mn-lt"/>
              <a:ea typeface="+mn-ea"/>
              <a:cs typeface="+mn-cs"/>
            </a:rPr>
            <a:t> are tables from NIST Special Publication 800-30 Revision 1 for your reference. </a:t>
          </a:r>
          <a:r>
            <a:rPr lang="en-US" sz="1400">
              <a:solidFill>
                <a:schemeClr val="tx1"/>
              </a:solidFill>
              <a:effectLst/>
              <a:latin typeface="+mn-lt"/>
              <a:ea typeface="+mn-ea"/>
              <a:cs typeface="+mn-cs"/>
            </a:rPr>
            <a:t>In assigning risk levels, CMS requires four levels of granularity: </a:t>
          </a:r>
          <a:r>
            <a:rPr lang="en-US" sz="1400" b="1" i="1">
              <a:solidFill>
                <a:schemeClr val="tx1"/>
              </a:solidFill>
              <a:effectLst/>
              <a:latin typeface="+mn-lt"/>
              <a:ea typeface="+mn-ea"/>
              <a:cs typeface="+mn-cs"/>
            </a:rPr>
            <a:t>Critical</a:t>
          </a:r>
          <a:r>
            <a:rPr lang="en-US" sz="1400">
              <a:solidFill>
                <a:schemeClr val="tx1"/>
              </a:solidFill>
              <a:effectLst/>
              <a:latin typeface="+mn-lt"/>
              <a:ea typeface="+mn-ea"/>
              <a:cs typeface="+mn-cs"/>
            </a:rPr>
            <a:t>,</a:t>
          </a:r>
          <a:r>
            <a:rPr lang="en-US" sz="1400" baseline="0">
              <a:solidFill>
                <a:schemeClr val="tx1"/>
              </a:solidFill>
              <a:effectLst/>
              <a:latin typeface="+mn-lt"/>
              <a:ea typeface="+mn-ea"/>
              <a:cs typeface="+mn-cs"/>
            </a:rPr>
            <a:t> </a:t>
          </a:r>
          <a:r>
            <a:rPr lang="en-US" sz="1400" b="1" i="1">
              <a:solidFill>
                <a:schemeClr val="tx1"/>
              </a:solidFill>
              <a:effectLst/>
              <a:latin typeface="+mn-lt"/>
              <a:ea typeface="+mn-ea"/>
              <a:cs typeface="+mn-cs"/>
            </a:rPr>
            <a:t>High</a:t>
          </a:r>
          <a:r>
            <a:rPr lang="en-US" sz="1400">
              <a:solidFill>
                <a:schemeClr val="tx1"/>
              </a:solidFill>
              <a:effectLst/>
              <a:latin typeface="+mn-lt"/>
              <a:ea typeface="+mn-ea"/>
              <a:cs typeface="+mn-cs"/>
            </a:rPr>
            <a:t>, </a:t>
          </a:r>
          <a:r>
            <a:rPr lang="en-US" sz="1400" b="1" i="1">
              <a:solidFill>
                <a:schemeClr val="tx1"/>
              </a:solidFill>
              <a:effectLst/>
              <a:latin typeface="+mn-lt"/>
              <a:ea typeface="+mn-ea"/>
              <a:cs typeface="+mn-cs"/>
            </a:rPr>
            <a:t>Moderate</a:t>
          </a:r>
          <a:r>
            <a:rPr lang="en-US" sz="1400">
              <a:solidFill>
                <a:schemeClr val="tx1"/>
              </a:solidFill>
              <a:effectLst/>
              <a:latin typeface="+mn-lt"/>
              <a:ea typeface="+mn-ea"/>
              <a:cs typeface="+mn-cs"/>
            </a:rPr>
            <a:t>, and </a:t>
          </a:r>
          <a:r>
            <a:rPr lang="en-US" sz="1400" b="1" i="1">
              <a:solidFill>
                <a:schemeClr val="tx1"/>
              </a:solidFill>
              <a:effectLst/>
              <a:latin typeface="+mn-lt"/>
              <a:ea typeface="+mn-ea"/>
              <a:cs typeface="+mn-cs"/>
            </a:rPr>
            <a:t>Low</a:t>
          </a:r>
          <a:r>
            <a:rPr lang="en-US" sz="1400" b="1" i="1" baseline="0">
              <a:solidFill>
                <a:schemeClr val="tx1"/>
              </a:solidFill>
              <a:effectLst/>
              <a:latin typeface="+mn-lt"/>
              <a:ea typeface="+mn-ea"/>
              <a:cs typeface="+mn-cs"/>
            </a:rPr>
            <a:t> </a:t>
          </a:r>
          <a:r>
            <a:rPr lang="en-US" sz="1400" b="0" i="0" baseline="0">
              <a:solidFill>
                <a:schemeClr val="tx1"/>
              </a:solidFill>
              <a:effectLst/>
              <a:latin typeface="+mn-lt"/>
              <a:ea typeface="+mn-ea"/>
              <a:cs typeface="+mn-cs"/>
            </a:rPr>
            <a:t>which is reflected in the tables below.</a:t>
          </a:r>
          <a:br>
            <a:rPr lang="en-US" sz="1400" b="0" i="0" u="none" strike="noStrike">
              <a:solidFill>
                <a:schemeClr val="tx1"/>
              </a:solidFill>
              <a:effectLst/>
              <a:latin typeface="+mn-lt"/>
              <a:ea typeface="+mn-ea"/>
              <a:cs typeface="+mn-cs"/>
            </a:rPr>
          </a:br>
          <a:endParaRPr lang="en-US" sz="1400">
            <a:effectLst/>
          </a:endParaRPr>
        </a:p>
        <a:p>
          <a:pPr>
            <a:lnSpc>
              <a:spcPts val="1600"/>
            </a:lnSpc>
          </a:pPr>
          <a:endParaRPr lang="en-US" sz="1400" b="0" i="0" u="none" strike="noStrike">
            <a:solidFill>
              <a:schemeClr val="tx1"/>
            </a:solidFill>
            <a:effectLst/>
            <a:latin typeface="+mn-lt"/>
            <a:ea typeface="+mn-ea"/>
            <a:cs typeface="+mn-cs"/>
          </a:endParaRPr>
        </a:p>
        <a:p>
          <a:pPr>
            <a:lnSpc>
              <a:spcPts val="1600"/>
            </a:lnSpc>
          </a:pPr>
          <a:br>
            <a:rPr lang="en-US" sz="1400" b="0" i="0" u="none" strike="noStrike">
              <a:solidFill>
                <a:schemeClr val="tx1"/>
              </a:solidFill>
              <a:effectLst/>
              <a:latin typeface="+mn-lt"/>
              <a:ea typeface="+mn-ea"/>
              <a:cs typeface="+mn-cs"/>
            </a:rPr>
          </a:br>
          <a:endParaRPr lang="en-US" sz="1400" b="0" i="0" u="none" strike="noStrike">
            <a:solidFill>
              <a:schemeClr val="tx1"/>
            </a:solidFill>
            <a:effectLst/>
            <a:latin typeface="+mn-lt"/>
            <a:ea typeface="+mn-ea"/>
            <a:cs typeface="+mn-cs"/>
          </a:endParaRPr>
        </a:p>
        <a:p>
          <a:endParaRPr lang="en-US" sz="1400" b="0" i="0" u="none" strike="noStrike">
            <a:solidFill>
              <a:schemeClr val="tx1"/>
            </a:solidFill>
            <a:effectLst/>
            <a:latin typeface="+mn-lt"/>
            <a:ea typeface="+mn-ea"/>
            <a:cs typeface="+mn-cs"/>
          </a:endParaRPr>
        </a:p>
        <a:p>
          <a:endParaRPr lang="en-US" sz="1400" b="0" i="0" u="none" strike="noStrike">
            <a:solidFill>
              <a:schemeClr val="tx1"/>
            </a:solidFill>
            <a:effectLst/>
            <a:latin typeface="+mn-lt"/>
            <a:ea typeface="+mn-ea"/>
            <a:cs typeface="+mn-cs"/>
          </a:endParaRPr>
        </a:p>
        <a:p>
          <a:endParaRPr lang="en-US" sz="1400" b="0" i="0" u="none" strike="noStrike">
            <a:solidFill>
              <a:schemeClr val="tx1"/>
            </a:solidFill>
            <a:effectLst/>
            <a:latin typeface="+mn-lt"/>
            <a:ea typeface="+mn-ea"/>
            <a:cs typeface="+mn-cs"/>
          </a:endParaRPr>
        </a:p>
        <a:p>
          <a:endParaRPr lang="en-US" sz="1400" b="0" i="0" u="none" strike="noStrike">
            <a:solidFill>
              <a:schemeClr val="tx1"/>
            </a:solidFill>
            <a:effectLst/>
            <a:latin typeface="+mn-lt"/>
            <a:ea typeface="+mn-ea"/>
            <a:cs typeface="+mn-cs"/>
          </a:endParaRPr>
        </a:p>
        <a:p>
          <a:endParaRPr lang="en-US" sz="1400" b="0" i="0" u="none" strike="noStrike">
            <a:solidFill>
              <a:schemeClr val="tx1"/>
            </a:solidFill>
            <a:effectLst/>
            <a:latin typeface="+mn-lt"/>
            <a:ea typeface="+mn-ea"/>
            <a:cs typeface="+mn-cs"/>
          </a:endParaRPr>
        </a:p>
        <a:p>
          <a:endParaRPr lang="en-US" sz="1400" b="0" i="0" u="none" strike="noStrike">
            <a:solidFill>
              <a:schemeClr val="tx1"/>
            </a:solidFill>
            <a:effectLst/>
            <a:latin typeface="+mn-lt"/>
            <a:ea typeface="+mn-ea"/>
            <a:cs typeface="+mn-cs"/>
          </a:endParaRPr>
        </a:p>
        <a:p>
          <a:endParaRPr lang="en-US" sz="1400" b="0" i="0" u="none" strike="noStrike">
            <a:solidFill>
              <a:schemeClr val="tx1"/>
            </a:solidFill>
            <a:effectLst/>
            <a:latin typeface="+mn-lt"/>
            <a:ea typeface="+mn-ea"/>
            <a:cs typeface="+mn-cs"/>
          </a:endParaRPr>
        </a:p>
        <a:p>
          <a:endParaRPr lang="en-US" sz="1400" b="0" i="0" u="none" strike="noStrike">
            <a:solidFill>
              <a:schemeClr val="tx1"/>
            </a:solidFill>
            <a:effectLst/>
            <a:latin typeface="+mn-lt"/>
            <a:ea typeface="+mn-ea"/>
            <a:cs typeface="+mn-cs"/>
          </a:endParaRP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422015</xdr:colOff>
      <xdr:row>5</xdr:row>
      <xdr:rowOff>152400</xdr:rowOff>
    </xdr:to>
    <xdr:pic>
      <xdr:nvPicPr>
        <xdr:cNvPr id="8" name="Picture 1" descr="Centers for Medicare &amp; Medicaid Services (CMS) logo">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26034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1279156</xdr:colOff>
      <xdr:row>18</xdr:row>
      <xdr:rowOff>1026685</xdr:rowOff>
    </xdr:from>
    <xdr:ext cx="20874524" cy="3298275"/>
    <xdr:sp macro="" textlink="">
      <xdr:nvSpPr>
        <xdr:cNvPr id="10" name="TextBox 9">
          <a:extLst>
            <a:ext uri="{FF2B5EF4-FFF2-40B4-BE49-F238E27FC236}">
              <a16:creationId xmlns:a16="http://schemas.microsoft.com/office/drawing/2014/main" id="{00000000-0008-0000-0400-00000A000000}"/>
            </a:ext>
          </a:extLst>
        </xdr:cNvPr>
        <xdr:cNvSpPr txBox="1"/>
      </xdr:nvSpPr>
      <xdr:spPr>
        <a:xfrm rot="20645228">
          <a:off x="1279156" y="6274960"/>
          <a:ext cx="20874524" cy="3298275"/>
        </a:xfrm>
        <a:prstGeom prst="rect">
          <a:avLst/>
        </a:prstGeom>
        <a:solidFill>
          <a:srgbClr val="FF0000">
            <a:alpha val="15000"/>
          </a:srgb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5000">
              <a:solidFill>
                <a:schemeClr val="tx1">
                  <a:alpha val="12000"/>
                </a:schemeClr>
              </a:solidFill>
              <a:latin typeface="Aharoni" panose="02010803020104030203" pitchFamily="2" charset="-79"/>
              <a:cs typeface="Aharoni" panose="02010803020104030203" pitchFamily="2" charset="-79"/>
            </a:rPr>
            <a:t>      SAMPLE</a:t>
          </a:r>
          <a:r>
            <a:rPr lang="en-US" sz="20000">
              <a:latin typeface="Aharoni" panose="02010803020104030203" pitchFamily="2" charset="-79"/>
              <a:cs typeface="Aharoni" panose="02010803020104030203" pitchFamily="2" charset="-79"/>
            </a:rPr>
            <a:t> </a:t>
          </a: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2:J72"/>
  <sheetViews>
    <sheetView showGridLines="0" tabSelected="1" zoomScaleNormal="100" workbookViewId="0">
      <selection activeCell="B39" sqref="B39"/>
    </sheetView>
  </sheetViews>
  <sheetFormatPr defaultRowHeight="12.75" x14ac:dyDescent="0.2"/>
  <cols>
    <col min="1" max="1" width="38.7109375" customWidth="1"/>
    <col min="2" max="2" width="24.85546875" customWidth="1"/>
    <col min="4" max="4" width="20.7109375" bestFit="1" customWidth="1"/>
    <col min="5" max="5" width="13.7109375" customWidth="1"/>
    <col min="6" max="6" width="11.5703125" customWidth="1"/>
    <col min="7" max="7" width="11.42578125" customWidth="1"/>
    <col min="8" max="9" width="14.28515625" customWidth="1"/>
    <col min="11" max="11" width="17.7109375" customWidth="1"/>
    <col min="12" max="12" width="13.7109375" customWidth="1"/>
    <col min="13" max="13" width="12.5703125" customWidth="1"/>
    <col min="14" max="14" width="11.5703125" customWidth="1"/>
    <col min="15" max="15" width="14.7109375" customWidth="1"/>
    <col min="16" max="16" width="12.7109375" customWidth="1"/>
  </cols>
  <sheetData>
    <row r="2" spans="1:10" ht="15" customHeight="1" x14ac:dyDescent="0.2">
      <c r="B2" s="193"/>
      <c r="C2" s="193"/>
      <c r="D2" s="193"/>
    </row>
    <row r="3" spans="1:10" ht="26.65" customHeight="1" x14ac:dyDescent="0.2">
      <c r="B3" s="196" t="s">
        <v>0</v>
      </c>
      <c r="C3" s="196"/>
      <c r="D3" s="196"/>
      <c r="E3" s="196"/>
    </row>
    <row r="4" spans="1:10" ht="17.649999999999999" customHeight="1" x14ac:dyDescent="0.2">
      <c r="B4" s="142" t="s">
        <v>274</v>
      </c>
      <c r="C4" s="142"/>
      <c r="D4" s="142"/>
    </row>
    <row r="5" spans="1:10" ht="15" customHeight="1" x14ac:dyDescent="0.2">
      <c r="B5" s="193"/>
      <c r="C5" s="193"/>
      <c r="D5" s="193"/>
    </row>
    <row r="6" spans="1:10" ht="15" customHeight="1" x14ac:dyDescent="0.2"/>
    <row r="7" spans="1:10" ht="15" customHeight="1" x14ac:dyDescent="0.2"/>
    <row r="8" spans="1:10" ht="15" customHeight="1" x14ac:dyDescent="0.2">
      <c r="A8" s="51" t="s">
        <v>1</v>
      </c>
      <c r="B8" s="52">
        <f>'POA&amp;M Template'!C6</f>
        <v>0</v>
      </c>
    </row>
    <row r="9" spans="1:10" ht="15" customHeight="1" x14ac:dyDescent="0.2">
      <c r="A9" s="51" t="s">
        <v>2</v>
      </c>
      <c r="B9" s="52">
        <f>'POA&amp;M Template'!C7</f>
        <v>0</v>
      </c>
    </row>
    <row r="10" spans="1:10" ht="15" customHeight="1" x14ac:dyDescent="0.2">
      <c r="A10" s="51" t="s">
        <v>3</v>
      </c>
      <c r="B10" s="52">
        <f>'POA&amp;M Template'!C8</f>
        <v>0</v>
      </c>
    </row>
    <row r="11" spans="1:10" ht="15" customHeight="1" x14ac:dyDescent="0.2">
      <c r="A11" s="51" t="s">
        <v>4</v>
      </c>
      <c r="B11" s="52">
        <f>'POA&amp;M Template'!C9</f>
        <v>0</v>
      </c>
    </row>
    <row r="12" spans="1:10" ht="15" customHeight="1" x14ac:dyDescent="0.2">
      <c r="D12" t="s">
        <v>5</v>
      </c>
    </row>
    <row r="13" spans="1:10" ht="15" customHeight="1" x14ac:dyDescent="0.25">
      <c r="D13" s="194" t="s">
        <v>211</v>
      </c>
      <c r="E13" s="195"/>
      <c r="F13" s="195"/>
      <c r="G13" s="195"/>
      <c r="H13" s="195"/>
      <c r="I13" s="195"/>
    </row>
    <row r="14" spans="1:10" ht="3.4" customHeight="1" thickBot="1" x14ac:dyDescent="0.25"/>
    <row r="15" spans="1:10" ht="31.5" customHeight="1" thickBot="1" x14ac:dyDescent="0.25">
      <c r="A15" s="197" t="s">
        <v>233</v>
      </c>
      <c r="B15" s="198"/>
      <c r="D15" s="135" t="s">
        <v>67</v>
      </c>
      <c r="E15" s="136" t="s">
        <v>182</v>
      </c>
      <c r="F15" s="136" t="s">
        <v>6</v>
      </c>
      <c r="G15" s="136" t="s">
        <v>7</v>
      </c>
      <c r="H15" s="136" t="s">
        <v>9</v>
      </c>
      <c r="I15" s="137" t="s">
        <v>8</v>
      </c>
      <c r="J15" s="64"/>
    </row>
    <row r="16" spans="1:10" ht="19.899999999999999" customHeight="1" x14ac:dyDescent="0.2">
      <c r="A16" s="65" t="s">
        <v>10</v>
      </c>
      <c r="B16" s="87"/>
      <c r="D16" s="94" t="s">
        <v>11</v>
      </c>
      <c r="E16" s="134">
        <f>SUM(F16:H16)</f>
        <v>0</v>
      </c>
      <c r="F16" s="93">
        <f>SUM(COUNTIFS('POA&amp;M Template'!$N$17:$N$5040, "Ongoing",'POA&amp;M Template'!$B$17:$B$5040, "AC"))</f>
        <v>0</v>
      </c>
      <c r="G16" s="93">
        <f>SUM(COUNTIFS('POA&amp;M Template'!$N$17:$N$5040, "Delayed",'POA&amp;M Template'!$B$17:$B$5040, "AC"))</f>
        <v>0</v>
      </c>
      <c r="H16" s="93">
        <f>SUM(COUNTIFS('POA&amp;M Template'!$N$17:$N$5040, "Risk Accepted",'POA&amp;M Template'!$B$17:$B$5040, "AC"))</f>
        <v>0</v>
      </c>
      <c r="I16" s="93">
        <f>SUM(COUNTIFS('POA&amp;M Template'!$N$17:$N$5040, "Completed",'POA&amp;M Template'!$B$17:$B$5040, "AC"))</f>
        <v>0</v>
      </c>
    </row>
    <row r="17" spans="1:9" ht="15.75" x14ac:dyDescent="0.2">
      <c r="A17" s="53" t="s">
        <v>12</v>
      </c>
      <c r="B17" s="26">
        <f>COUNTIF('POA&amp;M Template'!$N$17:$N$5040, "Ongoing")</f>
        <v>0</v>
      </c>
      <c r="D17" s="92" t="s">
        <v>13</v>
      </c>
      <c r="E17" s="26">
        <f t="shared" ref="E17:E34" si="0">SUM(F17:H17)</f>
        <v>0</v>
      </c>
      <c r="F17" s="91">
        <f>SUM(COUNTIFS('POA&amp;M Template'!$N$17:$N$5040, "Ongoing",'POA&amp;M Template'!$B$17:$B$5040, "AT"))</f>
        <v>0</v>
      </c>
      <c r="G17" s="91">
        <f>SUM(COUNTIFS('POA&amp;M Template'!$N$17:$N$5040, "Delayed",'POA&amp;M Template'!$B$17:$B$5040, "AT"))</f>
        <v>0</v>
      </c>
      <c r="H17" s="91">
        <f>SUM(COUNTIFS('POA&amp;M Template'!$N$17:$N$5040, "Risk Accepted",'POA&amp;M Template'!$B$17:$B$5040, "AT"))</f>
        <v>0</v>
      </c>
      <c r="I17" s="91">
        <f>SUM(COUNTIFS('POA&amp;M Template'!$N$17:$N$5040, "Completed",'POA&amp;M Template'!$B$17:$B$5040, "AT"))</f>
        <v>0</v>
      </c>
    </row>
    <row r="18" spans="1:9" ht="15.75" x14ac:dyDescent="0.2">
      <c r="A18" s="53" t="s">
        <v>14</v>
      </c>
      <c r="B18" s="26">
        <f>COUNTIF('POA&amp;M Template'!$N$17:$N$5040, "Delayed")</f>
        <v>0</v>
      </c>
      <c r="D18" s="92" t="s">
        <v>15</v>
      </c>
      <c r="E18" s="26">
        <f t="shared" si="0"/>
        <v>0</v>
      </c>
      <c r="F18" s="91">
        <f>SUM(COUNTIFS('POA&amp;M Template'!$N$17:$N$5040, "Ongoing",'POA&amp;M Template'!$B$17:$B$5040, "AU"))</f>
        <v>0</v>
      </c>
      <c r="G18" s="91">
        <f>SUM(COUNTIFS('POA&amp;M Template'!$N$17:$N$5040, "Delayed",'POA&amp;M Template'!$B$17:$B$5040, "AU"))</f>
        <v>0</v>
      </c>
      <c r="H18" s="91">
        <f>SUM(COUNTIFS('POA&amp;M Template'!$N$17:$N$5040, "Risk Accepted",'POA&amp;M Template'!$B$17:$B$5040, "AU"))</f>
        <v>0</v>
      </c>
      <c r="I18" s="91">
        <f>SUM(COUNTIFS('POA&amp;M Template'!$N$17:$N$5040, "Completed",'POA&amp;M Template'!$B$17:$B$5040, "AU"))</f>
        <v>0</v>
      </c>
    </row>
    <row r="19" spans="1:9" ht="15.75" x14ac:dyDescent="0.2">
      <c r="A19" s="53" t="s">
        <v>18</v>
      </c>
      <c r="B19" s="26">
        <f>COUNTIF('POA&amp;M Template'!$N$17:$N$5040, "Risk Accepted")</f>
        <v>0</v>
      </c>
      <c r="D19" s="92" t="s">
        <v>17</v>
      </c>
      <c r="E19" s="26">
        <f t="shared" si="0"/>
        <v>0</v>
      </c>
      <c r="F19" s="91">
        <f>SUM(COUNTIFS('POA&amp;M Template'!$N$17:$N$5040, "Ongoing",'POA&amp;M Template'!$B$17:$B$5040, "CA"))</f>
        <v>0</v>
      </c>
      <c r="G19" s="91">
        <f>SUM(COUNTIFS('POA&amp;M Template'!$N$17:$N$5040, "Delayed",'POA&amp;M Template'!$B$17:$B$5040, "CA"))</f>
        <v>0</v>
      </c>
      <c r="H19" s="91">
        <f>SUM(COUNTIFS('POA&amp;M Template'!$N$17:$N$5040, "Risk Accepted",'POA&amp;M Template'!$B$17:$B$5040, "CA"))</f>
        <v>0</v>
      </c>
      <c r="I19" s="91">
        <f>SUM(COUNTIFS('POA&amp;M Template'!$N$17:$N$5040, "Completed",'POA&amp;M Template'!$B$17:$B$5040, "CA"))</f>
        <v>0</v>
      </c>
    </row>
    <row r="20" spans="1:9" ht="15.75" x14ac:dyDescent="0.2">
      <c r="A20" s="53" t="s">
        <v>16</v>
      </c>
      <c r="B20" s="26">
        <f>COUNTIF('POA&amp;M Template'!$N$17:$N$5040, "Completed")</f>
        <v>0</v>
      </c>
      <c r="D20" s="92" t="s">
        <v>19</v>
      </c>
      <c r="E20" s="26">
        <f t="shared" si="0"/>
        <v>0</v>
      </c>
      <c r="F20" s="91">
        <f>SUM(COUNTIFS('POA&amp;M Template'!$N$17:$N$5040, "Ongoing",'POA&amp;M Template'!$B$17:$B$5040, "CM"))</f>
        <v>0</v>
      </c>
      <c r="G20" s="91">
        <f>SUM(COUNTIFS('POA&amp;M Template'!$N$17:$N$5040, "Delayed",'POA&amp;M Template'!$B$17:$B$5040, "CM"))</f>
        <v>0</v>
      </c>
      <c r="H20" s="91">
        <f>SUM(COUNTIFS('POA&amp;M Template'!$N$17:$N$5040, "Risk Accepted",'POA&amp;M Template'!$B$17:$B$5040, "CM"))</f>
        <v>0</v>
      </c>
      <c r="I20" s="91">
        <f>SUM(COUNTIFS('POA&amp;M Template'!$N$17:$N$5040, "Completed",'POA&amp;M Template'!$B$17:$B$5040, "CM"))</f>
        <v>0</v>
      </c>
    </row>
    <row r="21" spans="1:9" ht="18" customHeight="1" x14ac:dyDescent="0.2">
      <c r="A21" s="88" t="s">
        <v>20</v>
      </c>
      <c r="B21" s="80">
        <f>SUM(B17:B20)</f>
        <v>0</v>
      </c>
      <c r="D21" s="92" t="s">
        <v>21</v>
      </c>
      <c r="E21" s="26">
        <f t="shared" si="0"/>
        <v>0</v>
      </c>
      <c r="F21" s="91">
        <f>SUM(COUNTIFS('POA&amp;M Template'!$N$17:$N$5040, "Ongoing",'POA&amp;M Template'!$B$17:$B$5040, "CP"))</f>
        <v>0</v>
      </c>
      <c r="G21" s="91">
        <f>SUM(COUNTIFS('POA&amp;M Template'!$N$17:$N$5040, "Delayed",'POA&amp;M Template'!$B$17:$B$5040, "CP"))</f>
        <v>0</v>
      </c>
      <c r="H21" s="91">
        <f>SUM(COUNTIFS('POA&amp;M Template'!$N$17:$N$5040, "Risk Accepted",'POA&amp;M Template'!$B$17:$B$5040, "CP"))</f>
        <v>0</v>
      </c>
      <c r="I21" s="91">
        <f>SUM(COUNTIFS('POA&amp;M Template'!$N$17:$N$5040, "Completed",'POA&amp;M Template'!$B$17:$B$5040, "CP"))</f>
        <v>0</v>
      </c>
    </row>
    <row r="22" spans="1:9" ht="15.75" x14ac:dyDescent="0.2">
      <c r="A22" s="89"/>
      <c r="B22" s="90"/>
      <c r="D22" s="92" t="s">
        <v>22</v>
      </c>
      <c r="E22" s="26">
        <f t="shared" si="0"/>
        <v>0</v>
      </c>
      <c r="F22" s="91">
        <f>SUM(COUNTIFS('POA&amp;M Template'!$N$17:$N$5040, "Ongoing",'POA&amp;M Template'!$B$17:$B$5040, "IA"))</f>
        <v>0</v>
      </c>
      <c r="G22" s="91">
        <f>SUM(COUNTIFS('POA&amp;M Template'!$N$17:$N$5040, "Delayed",'POA&amp;M Template'!$B$17:$B$5040, "IA"))</f>
        <v>0</v>
      </c>
      <c r="H22" s="91">
        <f>SUM(COUNTIFS('POA&amp;M Template'!$N$17:$N$5040, "Risk Accepted",'POA&amp;M Template'!$B$17:$B$5040, "IA"))</f>
        <v>0</v>
      </c>
      <c r="I22" s="91">
        <f>SUM(COUNTIFS('POA&amp;M Template'!$N$17:$N$5040, "Completed",'POA&amp;M Template'!$B$17:$B$5040, "IA"))</f>
        <v>0</v>
      </c>
    </row>
    <row r="23" spans="1:9" ht="19.899999999999999" customHeight="1" x14ac:dyDescent="0.2">
      <c r="A23" s="66" t="s">
        <v>23</v>
      </c>
      <c r="B23" s="86"/>
      <c r="D23" s="92" t="s">
        <v>24</v>
      </c>
      <c r="E23" s="26">
        <f t="shared" si="0"/>
        <v>0</v>
      </c>
      <c r="F23" s="91">
        <f>SUM(COUNTIFS('POA&amp;M Template'!$N$17:$N$5040, "Ongoing",'POA&amp;M Template'!$B$17:$B$5040, "IR"))</f>
        <v>0</v>
      </c>
      <c r="G23" s="91">
        <f>SUM(COUNTIFS('POA&amp;M Template'!$N$17:$N$5040, "Delayed",'POA&amp;M Template'!$B$17:$B$5040, "IR"))</f>
        <v>0</v>
      </c>
      <c r="H23" s="91">
        <f>SUM(COUNTIFS('POA&amp;M Template'!$N$17:$N$5040, "Risk Accepted",'POA&amp;M Template'!$B$17:$B$5040, "IR"))</f>
        <v>0</v>
      </c>
      <c r="I23" s="91">
        <f>SUM(COUNTIFS('POA&amp;M Template'!$N$17:$N$5040, "Completed",'POA&amp;M Template'!$B$17:$B$5040, "IR"))</f>
        <v>0</v>
      </c>
    </row>
    <row r="24" spans="1:9" ht="15.75" x14ac:dyDescent="0.2">
      <c r="A24" s="53" t="s">
        <v>25</v>
      </c>
      <c r="B24" s="26" cm="1">
        <f t="array" ref="B24">SUM(COUNTIFS('POA&amp;M Template'!$O$17:$O$5040, "Critical",'POA&amp;M Template'!$N$17:$N$5040, {"Ongoing","Delayed","Risk Accepted"}))</f>
        <v>0</v>
      </c>
      <c r="D24" s="92" t="s">
        <v>26</v>
      </c>
      <c r="E24" s="26">
        <f t="shared" si="0"/>
        <v>0</v>
      </c>
      <c r="F24" s="91">
        <f>SUM(COUNTIFS('POA&amp;M Template'!$N$17:$N$5040, "Ongoing",'POA&amp;M Template'!$B$17:$B$5040, "MA"))</f>
        <v>0</v>
      </c>
      <c r="G24" s="91">
        <f>SUM(COUNTIFS('POA&amp;M Template'!$N$17:$N$5040, "Delayed",'POA&amp;M Template'!$B$17:$B$5040, "MA"))</f>
        <v>0</v>
      </c>
      <c r="H24" s="91">
        <f>SUM(COUNTIFS('POA&amp;M Template'!$N$17:$N$5040, "Risk Accepted",'POA&amp;M Template'!$B$17:$B$5040, "MA"))</f>
        <v>0</v>
      </c>
      <c r="I24" s="91">
        <f>SUM(COUNTIFS('POA&amp;M Template'!$N$17:$N$5040, "Completed",'POA&amp;M Template'!$B$17:$B$5040, "MA"))</f>
        <v>0</v>
      </c>
    </row>
    <row r="25" spans="1:9" ht="15.75" x14ac:dyDescent="0.2">
      <c r="A25" s="53" t="s">
        <v>27</v>
      </c>
      <c r="B25" s="26" cm="1">
        <f t="array" ref="B25">SUM(COUNTIFS('POA&amp;M Template'!$O$17:$O$5040, "High",'POA&amp;M Template'!$N$17:$N$5040, {"Ongoing","Delayed","Risk Accepted"}))</f>
        <v>0</v>
      </c>
      <c r="D25" s="92" t="s">
        <v>28</v>
      </c>
      <c r="E25" s="26">
        <f t="shared" si="0"/>
        <v>0</v>
      </c>
      <c r="F25" s="91">
        <f>SUM(COUNTIFS('POA&amp;M Template'!$N$17:$N$5040, "Ongoing",'POA&amp;M Template'!$B$17:$B$5040, "MP"))</f>
        <v>0</v>
      </c>
      <c r="G25" s="91">
        <f>SUM(COUNTIFS('POA&amp;M Template'!$N$17:$N$5040, "Delayed",'POA&amp;M Template'!$B$17:$B$5040, "MP"))</f>
        <v>0</v>
      </c>
      <c r="H25" s="91">
        <f>SUM(COUNTIFS('POA&amp;M Template'!$N$17:$N$5040, "Risk Accepted",'POA&amp;M Template'!$B$17:$B$5040, "MP"))</f>
        <v>0</v>
      </c>
      <c r="I25" s="91">
        <f>SUM(COUNTIFS('POA&amp;M Template'!$N$17:$N$5040, "Completed",'POA&amp;M Template'!$B$17:$B$5040, "MP"))</f>
        <v>0</v>
      </c>
    </row>
    <row r="26" spans="1:9" ht="15.75" x14ac:dyDescent="0.2">
      <c r="A26" s="53" t="s">
        <v>29</v>
      </c>
      <c r="B26" s="26" cm="1">
        <f t="array" ref="B26">SUM(COUNTIFS('POA&amp;M Template'!$O$17:$O$5040, "Moderate",'POA&amp;M Template'!$N$17:$N$5040, {"Ongoing","Delayed","Risk Accepted"}))</f>
        <v>0</v>
      </c>
      <c r="D26" s="92" t="s">
        <v>30</v>
      </c>
      <c r="E26" s="26">
        <f t="shared" si="0"/>
        <v>0</v>
      </c>
      <c r="F26" s="91">
        <f>SUM(COUNTIFS('POA&amp;M Template'!$N$17:$N$5040, "Ongoing",'POA&amp;M Template'!$B$17:$B$5040, "PE"))</f>
        <v>0</v>
      </c>
      <c r="G26" s="91">
        <f>SUM(COUNTIFS('POA&amp;M Template'!$N$17:$N$5040, "Delayed",'POA&amp;M Template'!$B$17:$B$5040, "PE"))</f>
        <v>0</v>
      </c>
      <c r="H26" s="91">
        <f>SUM(COUNTIFS('POA&amp;M Template'!$N$17:$N$5040, "Risk Accepted",'POA&amp;M Template'!$B$17:$B$5040, "PE"))</f>
        <v>0</v>
      </c>
      <c r="I26" s="91">
        <f>SUM(COUNTIFS('POA&amp;M Template'!$N$17:$N$5040, "Completed",'POA&amp;M Template'!$B$17:$B$5040, "PE"))</f>
        <v>0</v>
      </c>
    </row>
    <row r="27" spans="1:9" ht="15.75" x14ac:dyDescent="0.2">
      <c r="A27" s="53" t="s">
        <v>31</v>
      </c>
      <c r="B27" s="26" cm="1">
        <f t="array" ref="B27">SUM(COUNTIFS('POA&amp;M Template'!$O$17:$O$5040, "Low",'POA&amp;M Template'!$N$17:$N$5040, {"Ongoing","Delayed","Risk Accepted"}))</f>
        <v>0</v>
      </c>
      <c r="D27" s="92" t="s">
        <v>32</v>
      </c>
      <c r="E27" s="26">
        <f t="shared" si="0"/>
        <v>0</v>
      </c>
      <c r="F27" s="91">
        <f>SUM(COUNTIFS('POA&amp;M Template'!$N$17:$N$5040, "Ongoing",'POA&amp;M Template'!$B$17:$B$5040, "PL"))</f>
        <v>0</v>
      </c>
      <c r="G27" s="91">
        <f>SUM(COUNTIFS('POA&amp;M Template'!$N$17:$N$5040, "Delayed",'POA&amp;M Template'!$B$17:$B$5040, "PL"))</f>
        <v>0</v>
      </c>
      <c r="H27" s="91">
        <f>SUM(COUNTIFS('POA&amp;M Template'!$N$17:$N$5040, "Risk Accepted",'POA&amp;M Template'!$B$17:$B$5040, "PL"))</f>
        <v>0</v>
      </c>
      <c r="I27" s="91">
        <f>SUM(COUNTIFS('POA&amp;M Template'!$N$17:$N$5040, "Completed",'POA&amp;M Template'!$B$17:$B$5040, "PL"))</f>
        <v>0</v>
      </c>
    </row>
    <row r="28" spans="1:9" ht="18" customHeight="1" x14ac:dyDescent="0.2">
      <c r="A28" s="88" t="s">
        <v>20</v>
      </c>
      <c r="B28" s="80">
        <f>SUM(B24:B27)</f>
        <v>0</v>
      </c>
      <c r="D28" s="92" t="s">
        <v>38</v>
      </c>
      <c r="E28" s="26">
        <f>SUM(F28:H28)</f>
        <v>0</v>
      </c>
      <c r="F28" s="91">
        <f>SUM(COUNTIFS('POA&amp;M Template'!$N$17:$N$5040, "Ongoing",'POA&amp;M Template'!$B$17:$B$5040, "PM"))</f>
        <v>0</v>
      </c>
      <c r="G28" s="91">
        <f>SUM(COUNTIFS('POA&amp;M Template'!$N$17:$N$5040, "Delayed",'POA&amp;M Template'!$B$17:$B$5040, "PM"))</f>
        <v>0</v>
      </c>
      <c r="H28" s="91">
        <f>SUM(COUNTIFS('POA&amp;M Template'!$N$17:$N$5040, "Risk Accepted",'POA&amp;M Template'!$B$17:$B$5040, "PM"))</f>
        <v>0</v>
      </c>
      <c r="I28" s="91">
        <f>SUM(COUNTIFS('POA&amp;M Template'!$N$17:$N$5040, "Completed",'POA&amp;M Template'!$B$17:$B$5040, "PM"))</f>
        <v>0</v>
      </c>
    </row>
    <row r="29" spans="1:9" ht="15.75" x14ac:dyDescent="0.2">
      <c r="A29" s="89"/>
      <c r="B29" s="90"/>
      <c r="D29" s="92" t="s">
        <v>33</v>
      </c>
      <c r="E29" s="26">
        <f>SUM(F29:H29)</f>
        <v>0</v>
      </c>
      <c r="F29" s="91">
        <f>SUM(COUNTIFS('POA&amp;M Template'!$N$17:$N$5040, "Ongoing",'POA&amp;M Template'!$B$17:$B$5040, "PS"))</f>
        <v>0</v>
      </c>
      <c r="G29" s="91">
        <f>SUM(COUNTIFS('POA&amp;M Template'!$N$17:$N$5040, "Delayed",'POA&amp;M Template'!$B$17:$B$5040, "PS"))</f>
        <v>0</v>
      </c>
      <c r="H29" s="91">
        <f>SUM(COUNTIFS('POA&amp;M Template'!$N$17:$N$5040, "Risk Accepted",'POA&amp;M Template'!$B$17:$B$5040, "PS"))</f>
        <v>0</v>
      </c>
      <c r="I29" s="91">
        <f>SUM(COUNTIFS('POA&amp;M Template'!$N$17:$N$5040, "Completed",'POA&amp;M Template'!$B$17:$B$5040, "PS"))</f>
        <v>0</v>
      </c>
    </row>
    <row r="30" spans="1:9" ht="31.5" customHeight="1" x14ac:dyDescent="0.2">
      <c r="A30" s="75" t="s">
        <v>39</v>
      </c>
      <c r="B30" s="80">
        <f>SUM(B17:B19)</f>
        <v>0</v>
      </c>
      <c r="D30" s="92" t="s">
        <v>195</v>
      </c>
      <c r="E30" s="26">
        <f>SUM(F30:H30)</f>
        <v>0</v>
      </c>
      <c r="F30" s="91">
        <f>SUM(COUNTIFS('POA&amp;M Template'!$N$17:$N$5040, "Ongoing",'POA&amp;M Template'!$B$17:$B$5040, "PT"))</f>
        <v>0</v>
      </c>
      <c r="G30" s="91">
        <f>SUM(COUNTIFS('POA&amp;M Template'!$N$17:$N$5040, "Delayed",'POA&amp;M Template'!$B$17:$B$5040, "PT"))</f>
        <v>0</v>
      </c>
      <c r="H30" s="91">
        <f>SUM(COUNTIFS('POA&amp;M Template'!$N$17:$N$5040, "Risk Accepted",'POA&amp;M Template'!$B$17:$B$5040, "PT"))</f>
        <v>0</v>
      </c>
      <c r="I30" s="91">
        <f>SUM(COUNTIFS('POA&amp;M Template'!$N$17:$N$5040, "Completed",'POA&amp;M Template'!$B$17:$B$5040, "PT"))</f>
        <v>0</v>
      </c>
    </row>
    <row r="31" spans="1:9" ht="15.75" x14ac:dyDescent="0.2">
      <c r="D31" s="92" t="s">
        <v>34</v>
      </c>
      <c r="E31" s="26">
        <f t="shared" si="0"/>
        <v>0</v>
      </c>
      <c r="F31" s="91">
        <f>SUM(COUNTIFS('POA&amp;M Template'!$N$17:$N$5040, "Ongoing",'POA&amp;M Template'!$B$17:$B$5040, "RA"))</f>
        <v>0</v>
      </c>
      <c r="G31" s="91">
        <f>SUM(COUNTIFS('POA&amp;M Template'!$N$17:$N$5040, "Delayed",'POA&amp;M Template'!$B$17:$B$5040, "RA"))</f>
        <v>0</v>
      </c>
      <c r="H31" s="91">
        <f>SUM(COUNTIFS('POA&amp;M Template'!$N$17:$N$5040, "Risk Accepted",'POA&amp;M Template'!$B$17:$B$5040, "RA"))</f>
        <v>0</v>
      </c>
      <c r="I31" s="91">
        <f>SUM(COUNTIFS('POA&amp;M Template'!$N$17:$N$5040, "Completed",'POA&amp;M Template'!$B$17:$B$5040, "RA"))</f>
        <v>0</v>
      </c>
    </row>
    <row r="32" spans="1:9" ht="17.25" customHeight="1" x14ac:dyDescent="0.2">
      <c r="D32" s="92" t="s">
        <v>35</v>
      </c>
      <c r="E32" s="26">
        <f t="shared" si="0"/>
        <v>0</v>
      </c>
      <c r="F32" s="91">
        <f>SUM(COUNTIFS('POA&amp;M Template'!$N$17:$N$5040, "Ongoing",'POA&amp;M Template'!$B$17:$B$5040, "SA"))</f>
        <v>0</v>
      </c>
      <c r="G32" s="91">
        <f>SUM(COUNTIFS('POA&amp;M Template'!$N$17:$N$5040, "Delayed",'POA&amp;M Template'!$B$17:$B$5040, "SA"))</f>
        <v>0</v>
      </c>
      <c r="H32" s="91">
        <f>SUM(COUNTIFS('POA&amp;M Template'!$N$17:$N$5040, "Risk Accepted",'POA&amp;M Template'!$B$17:$B$5040, "SA"))</f>
        <v>0</v>
      </c>
      <c r="I32" s="91">
        <f>SUM(COUNTIFS('POA&amp;M Template'!$N$17:$N$5040, "Completed",'POA&amp;M Template'!$B$17:$B$5040, "SA"))</f>
        <v>0</v>
      </c>
    </row>
    <row r="33" spans="4:9" ht="15.75" x14ac:dyDescent="0.2">
      <c r="D33" s="92" t="s">
        <v>36</v>
      </c>
      <c r="E33" s="26">
        <f t="shared" si="0"/>
        <v>0</v>
      </c>
      <c r="F33" s="91">
        <f>SUM(COUNTIFS('POA&amp;M Template'!$N$17:$N$5040, "Ongoing",'POA&amp;M Template'!$B$17:$B$5040, "SC"))</f>
        <v>0</v>
      </c>
      <c r="G33" s="91">
        <f>SUM(COUNTIFS('POA&amp;M Template'!$N$17:$N$5040, "Delayed",'POA&amp;M Template'!$B$17:$B$5040, "SC"))</f>
        <v>0</v>
      </c>
      <c r="H33" s="91">
        <f>SUM(COUNTIFS('POA&amp;M Template'!$N$17:$N$5040, "Risk Accepted",'POA&amp;M Template'!$B$17:$B$5040, "SC"))</f>
        <v>0</v>
      </c>
      <c r="I33" s="91">
        <f>SUM(COUNTIFS('POA&amp;M Template'!$N$17:$N$5040, "Completed",'POA&amp;M Template'!$B$17:$B$5040, "SC"))</f>
        <v>0</v>
      </c>
    </row>
    <row r="34" spans="4:9" ht="15.75" x14ac:dyDescent="0.2">
      <c r="D34" s="92" t="s">
        <v>37</v>
      </c>
      <c r="E34" s="26">
        <f t="shared" si="0"/>
        <v>0</v>
      </c>
      <c r="F34" s="91">
        <f>SUM(COUNTIFS('POA&amp;M Template'!$N$17:$N$5040, "Ongoing",'POA&amp;M Template'!$B$17:$B$5040, "SI"))</f>
        <v>0</v>
      </c>
      <c r="G34" s="91">
        <f>SUM(COUNTIFS('POA&amp;M Template'!$N$17:$N$5040, "Delayed",'POA&amp;M Template'!$B$17:$B$5040, "SI"))</f>
        <v>0</v>
      </c>
      <c r="H34" s="91">
        <f>SUM(COUNTIFS('POA&amp;M Template'!$N$17:$N$5040, "Risk Accepted",'POA&amp;M Template'!$B$17:$B$5040, "SI"))</f>
        <v>0</v>
      </c>
      <c r="I34" s="91">
        <f>SUM(COUNTIFS('POA&amp;M Template'!$N$17:$N$5040, "Completed",'POA&amp;M Template'!$B$17:$B$5040, "SI"))</f>
        <v>0</v>
      </c>
    </row>
    <row r="35" spans="4:9" ht="22.9" customHeight="1" x14ac:dyDescent="0.2">
      <c r="D35" s="92" t="s">
        <v>196</v>
      </c>
      <c r="E35" s="26">
        <f>SUM(F35:H35)</f>
        <v>0</v>
      </c>
      <c r="F35" s="91">
        <f>SUM(COUNTIFS('POA&amp;M Template'!$N$17:$N$5040, "Ongoing",'POA&amp;M Template'!$B$17:$B$5040, "SR"))</f>
        <v>0</v>
      </c>
      <c r="G35" s="91">
        <f>SUM(COUNTIFS('POA&amp;M Template'!$N$17:$N$5040, "Delayed",'POA&amp;M Template'!$B$17:$B$5040, "SR"))</f>
        <v>0</v>
      </c>
      <c r="H35" s="91">
        <f>SUM(COUNTIFS('POA&amp;M Template'!$N$17:$N$5040, "Risk Accepted",'POA&amp;M Template'!$B$17:$B$5040, "SR"))</f>
        <v>0</v>
      </c>
      <c r="I35" s="91">
        <f>SUM(COUNTIFS('POA&amp;M Template'!$N$17:$N$5040, "Completed",'POA&amp;M Template'!$B$17:$B$5040, "SR"))</f>
        <v>0</v>
      </c>
    </row>
    <row r="36" spans="4:9" ht="13.5" customHeight="1" x14ac:dyDescent="0.2">
      <c r="D36" s="92" t="s">
        <v>245</v>
      </c>
      <c r="E36" s="26">
        <f>SUM(F36:H36)</f>
        <v>0</v>
      </c>
      <c r="F36" s="91">
        <f>SUM(COUNTIFS('POA&amp;M Template'!$N$17:$N$5040, "Ongoing",'POA&amp;M Template'!$B$17:$B$5040, "Other"))</f>
        <v>0</v>
      </c>
      <c r="G36" s="91">
        <f>SUM(COUNTIFS('POA&amp;M Template'!$N$17:$N$5040, "Delayed",'POA&amp;M Template'!$B$17:$B$5040, "Other"))</f>
        <v>0</v>
      </c>
      <c r="H36" s="91">
        <f>SUM(COUNTIFS('POA&amp;M Template'!$N$17:$N$5040, "Risk Accepted",'POA&amp;M Template'!$B$17:$B$5040, "Other"))</f>
        <v>0</v>
      </c>
      <c r="I36" s="91">
        <f>SUM(COUNTIFS('POA&amp;M Template'!$N$17:$N$5040, "Completed",'POA&amp;M Template'!$B$17:$B$5040, "Other"))</f>
        <v>0</v>
      </c>
    </row>
    <row r="37" spans="4:9" ht="13.15" customHeight="1" x14ac:dyDescent="0.2">
      <c r="D37" s="143"/>
      <c r="E37" s="143"/>
      <c r="F37" s="143"/>
      <c r="G37" s="143"/>
      <c r="H37" s="143"/>
      <c r="I37" s="143"/>
    </row>
    <row r="38" spans="4:9" ht="15" x14ac:dyDescent="0.2">
      <c r="D38" s="143"/>
      <c r="E38" s="143"/>
      <c r="F38" s="143"/>
      <c r="G38" s="143"/>
      <c r="H38" s="143"/>
      <c r="I38" s="143"/>
    </row>
    <row r="39" spans="4:9" ht="29.25" customHeight="1" x14ac:dyDescent="0.2">
      <c r="D39" s="131"/>
      <c r="E39" s="132"/>
      <c r="F39" s="133"/>
      <c r="G39" s="133"/>
      <c r="H39" s="133"/>
      <c r="I39" s="133"/>
    </row>
    <row r="40" spans="4:9" ht="19.5" customHeight="1" x14ac:dyDescent="0.2">
      <c r="D40" s="131"/>
      <c r="E40" s="132"/>
      <c r="F40" s="133"/>
      <c r="G40" s="133"/>
      <c r="H40" s="133"/>
      <c r="I40" s="133"/>
    </row>
    <row r="41" spans="4:9" ht="18" x14ac:dyDescent="0.2">
      <c r="D41" s="131"/>
      <c r="E41" s="132"/>
      <c r="F41" s="133"/>
      <c r="G41" s="133"/>
      <c r="H41" s="133"/>
      <c r="I41" s="133"/>
    </row>
    <row r="42" spans="4:9" ht="18" x14ac:dyDescent="0.2">
      <c r="D42" s="131"/>
      <c r="E42" s="132"/>
      <c r="F42" s="133"/>
      <c r="G42" s="133"/>
      <c r="H42" s="133"/>
      <c r="I42" s="133"/>
    </row>
    <row r="43" spans="4:9" ht="18" x14ac:dyDescent="0.2">
      <c r="D43" s="131"/>
      <c r="E43" s="132"/>
      <c r="F43" s="133"/>
      <c r="G43" s="133"/>
      <c r="H43" s="133"/>
      <c r="I43" s="133"/>
    </row>
    <row r="45" spans="4:9" ht="18" customHeight="1" x14ac:dyDescent="0.2"/>
    <row r="46" spans="4:9" ht="7.15" customHeight="1" x14ac:dyDescent="0.2"/>
    <row r="47" spans="4:9" ht="19.899999999999999" customHeight="1" x14ac:dyDescent="0.2"/>
    <row r="49" ht="17.25" customHeight="1" x14ac:dyDescent="0.2"/>
    <row r="52" ht="18.399999999999999" customHeight="1" x14ac:dyDescent="0.2"/>
    <row r="53" ht="7.15" customHeight="1" x14ac:dyDescent="0.2"/>
    <row r="54" ht="31.5" customHeight="1" x14ac:dyDescent="0.2"/>
    <row r="55" ht="12.6" customHeight="1" x14ac:dyDescent="0.2"/>
    <row r="57" ht="21.4" customHeight="1" x14ac:dyDescent="0.2"/>
    <row r="58" ht="19.899999999999999" customHeight="1" x14ac:dyDescent="0.2"/>
    <row r="63" ht="18" customHeight="1" x14ac:dyDescent="0.2"/>
    <row r="64" ht="7.15" customHeight="1" x14ac:dyDescent="0.2"/>
    <row r="65" ht="19.899999999999999" customHeight="1" x14ac:dyDescent="0.2"/>
    <row r="70" ht="18" customHeight="1" x14ac:dyDescent="0.2"/>
    <row r="71" ht="7.15" customHeight="1" x14ac:dyDescent="0.2"/>
    <row r="72" ht="31.5" customHeight="1" x14ac:dyDescent="0.2"/>
  </sheetData>
  <mergeCells count="5">
    <mergeCell ref="B2:D2"/>
    <mergeCell ref="B5:D5"/>
    <mergeCell ref="D13:I13"/>
    <mergeCell ref="B3:E3"/>
    <mergeCell ref="A15:B15"/>
  </mergeCells>
  <conditionalFormatting sqref="B8:B11">
    <cfRule type="cellIs" dxfId="24" priority="1" operator="equal">
      <formula>0</formula>
    </cfRule>
  </conditionalFormatting>
  <pageMargins left="0.7" right="0.7" top="0.75" bottom="0.75" header="0.3" footer="0.3"/>
  <pageSetup scale="53" fitToHeight="0"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3:S100"/>
  <sheetViews>
    <sheetView showGridLines="0" topLeftCell="D1" zoomScale="80" zoomScaleNormal="80" workbookViewId="0">
      <pane ySplit="16" topLeftCell="A17" activePane="bottomLeft" state="frozen"/>
      <selection pane="bottomLeft" activeCell="P16" sqref="P16"/>
    </sheetView>
  </sheetViews>
  <sheetFormatPr defaultColWidth="9.28515625" defaultRowHeight="12.75" x14ac:dyDescent="0.2"/>
  <cols>
    <col min="1" max="1" width="27.5703125" style="28" customWidth="1"/>
    <col min="2" max="2" width="28.5703125" style="28" customWidth="1"/>
    <col min="3" max="3" width="29.28515625" style="28" customWidth="1"/>
    <col min="4" max="4" width="42.42578125" style="28" customWidth="1"/>
    <col min="5" max="5" width="37.5703125" style="28" customWidth="1"/>
    <col min="6" max="7" width="25.28515625" style="28" customWidth="1"/>
    <col min="8" max="8" width="31.28515625" style="28" customWidth="1"/>
    <col min="9" max="9" width="23.85546875" style="28" customWidth="1"/>
    <col min="10" max="11" width="42.7109375" style="28" customWidth="1"/>
    <col min="12" max="12" width="28.140625" style="28" customWidth="1"/>
    <col min="13" max="13" width="23.140625" style="28" customWidth="1"/>
    <col min="14" max="14" width="21" style="28" customWidth="1"/>
    <col min="15" max="15" width="16.5703125" style="28" customWidth="1"/>
    <col min="16" max="16" width="27.28515625" style="28" customWidth="1"/>
    <col min="17" max="17" width="23.85546875" style="28" customWidth="1"/>
    <col min="18" max="18" width="26.28515625" style="28" customWidth="1"/>
    <col min="19" max="19" width="36.42578125" style="28" customWidth="1"/>
    <col min="20" max="16384" width="9.28515625" style="28"/>
  </cols>
  <sheetData>
    <row r="3" spans="1:19" ht="20.25" x14ac:dyDescent="0.2">
      <c r="B3" s="196" t="s">
        <v>40</v>
      </c>
      <c r="C3" s="212"/>
      <c r="D3" s="212"/>
      <c r="E3" s="73"/>
    </row>
    <row r="4" spans="1:19" ht="15.75" x14ac:dyDescent="0.2">
      <c r="B4" s="142" t="str">
        <f>'POA&amp;M Metrics'!B4</f>
        <v>Version 6.1.4, Dated March 11, 2026</v>
      </c>
      <c r="C4" s="142"/>
      <c r="D4" s="74"/>
      <c r="E4" s="74"/>
    </row>
    <row r="5" spans="1:19" ht="22.5" customHeight="1" x14ac:dyDescent="0.2"/>
    <row r="6" spans="1:19" ht="20.25" customHeight="1" x14ac:dyDescent="0.25">
      <c r="A6" s="211" t="s">
        <v>1</v>
      </c>
      <c r="B6" s="211"/>
      <c r="C6" s="54"/>
      <c r="D6" s="76"/>
      <c r="E6" s="29"/>
      <c r="F6" s="29"/>
      <c r="G6" s="29"/>
      <c r="H6" s="29"/>
      <c r="I6" s="29"/>
      <c r="J6" s="29"/>
      <c r="K6" s="29"/>
    </row>
    <row r="7" spans="1:19" ht="20.25" customHeight="1" x14ac:dyDescent="0.25">
      <c r="A7" s="211" t="s">
        <v>2</v>
      </c>
      <c r="B7" s="211"/>
      <c r="C7" s="54"/>
      <c r="D7" s="76"/>
      <c r="E7" s="29"/>
      <c r="F7" s="29"/>
      <c r="G7" s="29"/>
      <c r="H7" s="29"/>
      <c r="I7" s="29"/>
      <c r="J7" s="29"/>
      <c r="K7" s="29"/>
    </row>
    <row r="8" spans="1:19" ht="20.25" customHeight="1" x14ac:dyDescent="0.25">
      <c r="A8" s="211" t="s">
        <v>3</v>
      </c>
      <c r="B8" s="211"/>
      <c r="C8" s="54"/>
      <c r="D8" s="76"/>
      <c r="E8" s="29"/>
      <c r="F8" s="29"/>
      <c r="G8" s="29"/>
      <c r="H8" s="29"/>
      <c r="I8" s="29"/>
      <c r="J8" s="29"/>
      <c r="K8" s="29"/>
    </row>
    <row r="9" spans="1:19" ht="18.75" customHeight="1" x14ac:dyDescent="0.25">
      <c r="A9" s="211" t="s">
        <v>4</v>
      </c>
      <c r="B9" s="211"/>
      <c r="C9" s="54"/>
      <c r="D9" s="76"/>
      <c r="E9" s="29"/>
      <c r="F9" s="29"/>
      <c r="G9" s="29"/>
      <c r="H9" s="29"/>
      <c r="I9" s="29"/>
      <c r="J9" s="29"/>
      <c r="K9" s="29"/>
    </row>
    <row r="10" spans="1:19" ht="15.75" customHeight="1" x14ac:dyDescent="0.25">
      <c r="A10" s="29"/>
      <c r="B10" s="29"/>
      <c r="C10" s="29"/>
      <c r="D10" s="29"/>
      <c r="E10" s="29"/>
      <c r="F10" s="29"/>
      <c r="G10" s="29"/>
      <c r="H10" s="29"/>
      <c r="I10" s="29"/>
      <c r="J10" s="29"/>
      <c r="K10" s="29"/>
      <c r="L10" s="29"/>
    </row>
    <row r="11" spans="1:19" ht="12.75" customHeight="1" x14ac:dyDescent="0.2">
      <c r="A11" s="200"/>
      <c r="B11" s="200"/>
      <c r="C11" s="200"/>
      <c r="D11" s="200"/>
      <c r="E11" s="200"/>
      <c r="F11" s="200"/>
      <c r="G11" s="200"/>
      <c r="H11" s="200"/>
      <c r="I11" s="200"/>
      <c r="J11" s="200"/>
    </row>
    <row r="12" spans="1:19" s="56" customFormat="1" ht="15.6" customHeight="1" x14ac:dyDescent="0.2">
      <c r="A12" s="204" t="s">
        <v>41</v>
      </c>
      <c r="B12" s="205"/>
      <c r="C12" s="55" t="s">
        <v>42</v>
      </c>
      <c r="D12" s="204" t="s">
        <v>43</v>
      </c>
      <c r="E12" s="208"/>
      <c r="F12" s="201" t="s">
        <v>44</v>
      </c>
      <c r="G12" s="202"/>
      <c r="H12" s="55" t="s">
        <v>45</v>
      </c>
      <c r="I12" s="55" t="s">
        <v>46</v>
      </c>
      <c r="J12" s="55" t="s">
        <v>47</v>
      </c>
      <c r="O12" s="57" t="s">
        <v>48</v>
      </c>
      <c r="P12" s="28"/>
    </row>
    <row r="13" spans="1:19" s="56" customFormat="1" ht="18.75" customHeight="1" x14ac:dyDescent="0.2">
      <c r="A13" s="206">
        <f>C7</f>
        <v>0</v>
      </c>
      <c r="B13" s="207"/>
      <c r="C13" s="58">
        <f>C8</f>
        <v>0</v>
      </c>
      <c r="D13" s="209" t="s">
        <v>49</v>
      </c>
      <c r="E13" s="210"/>
      <c r="F13" s="203" t="s">
        <v>49</v>
      </c>
      <c r="G13" s="203"/>
      <c r="H13" s="59" t="s">
        <v>49</v>
      </c>
      <c r="I13" s="59" t="s">
        <v>49</v>
      </c>
      <c r="J13" s="60"/>
      <c r="O13" s="59">
        <f>SUBTOTAL(3,$O$17:$O$5040)</f>
        <v>0</v>
      </c>
      <c r="P13" s="28"/>
    </row>
    <row r="14" spans="1:19" x14ac:dyDescent="0.2">
      <c r="A14" s="199"/>
      <c r="B14" s="199"/>
      <c r="C14" s="199"/>
      <c r="D14" s="199"/>
      <c r="E14" s="199"/>
      <c r="F14" s="199"/>
      <c r="G14" s="199"/>
      <c r="H14" s="199"/>
      <c r="I14" s="199"/>
      <c r="J14" s="199"/>
    </row>
    <row r="16" spans="1:19" s="79" customFormat="1" ht="25.5" x14ac:dyDescent="0.2">
      <c r="A16" s="78" t="s">
        <v>50</v>
      </c>
      <c r="B16" s="77" t="s">
        <v>209</v>
      </c>
      <c r="C16" s="77" t="s">
        <v>51</v>
      </c>
      <c r="D16" s="77" t="s">
        <v>52</v>
      </c>
      <c r="E16" s="77" t="s">
        <v>53</v>
      </c>
      <c r="F16" s="77" t="s">
        <v>54</v>
      </c>
      <c r="G16" s="77" t="s">
        <v>55</v>
      </c>
      <c r="H16" s="77" t="s">
        <v>56</v>
      </c>
      <c r="I16" s="77" t="s">
        <v>183</v>
      </c>
      <c r="J16" s="77" t="s">
        <v>57</v>
      </c>
      <c r="K16" s="77" t="s">
        <v>58</v>
      </c>
      <c r="L16" s="77" t="s">
        <v>59</v>
      </c>
      <c r="M16" s="77" t="s">
        <v>60</v>
      </c>
      <c r="N16" s="77" t="s">
        <v>61</v>
      </c>
      <c r="O16" s="77" t="s">
        <v>62</v>
      </c>
      <c r="P16" s="81" t="s">
        <v>257</v>
      </c>
      <c r="Q16" s="77" t="s">
        <v>189</v>
      </c>
      <c r="R16" s="77" t="s">
        <v>63</v>
      </c>
      <c r="S16" s="77" t="s">
        <v>64</v>
      </c>
    </row>
    <row r="17" spans="1:19" x14ac:dyDescent="0.2">
      <c r="A17" s="139"/>
      <c r="B17" s="139"/>
      <c r="C17" s="139"/>
      <c r="D17" s="139"/>
      <c r="E17" s="139"/>
      <c r="F17" s="139"/>
      <c r="G17" s="139"/>
      <c r="H17" s="139"/>
      <c r="I17" s="140"/>
      <c r="J17" s="139"/>
      <c r="K17" s="139"/>
      <c r="L17" s="140"/>
      <c r="M17" s="140"/>
      <c r="N17" s="139"/>
      <c r="O17" s="139"/>
      <c r="P17" s="139"/>
      <c r="Q17" s="139"/>
      <c r="R17" s="139"/>
      <c r="S17" s="139"/>
    </row>
    <row r="18" spans="1:19" x14ac:dyDescent="0.2">
      <c r="A18" s="139"/>
      <c r="B18" s="139"/>
      <c r="C18" s="139"/>
      <c r="D18" s="139"/>
      <c r="E18" s="139"/>
      <c r="F18" s="139"/>
      <c r="G18" s="139"/>
      <c r="H18" s="139"/>
      <c r="I18" s="140"/>
      <c r="J18" s="139"/>
      <c r="K18" s="139"/>
      <c r="L18" s="140"/>
      <c r="M18" s="139"/>
      <c r="N18" s="139"/>
      <c r="O18" s="139"/>
      <c r="P18" s="139"/>
      <c r="Q18" s="139"/>
      <c r="R18" s="139"/>
      <c r="S18" s="139"/>
    </row>
    <row r="19" spans="1:19" x14ac:dyDescent="0.2">
      <c r="A19" s="139"/>
      <c r="B19" s="139"/>
      <c r="C19" s="139"/>
      <c r="D19" s="139"/>
      <c r="E19" s="139"/>
      <c r="F19" s="139"/>
      <c r="G19" s="139"/>
      <c r="H19" s="139"/>
      <c r="I19" s="139"/>
      <c r="J19" s="139"/>
      <c r="K19" s="139"/>
      <c r="L19" s="139"/>
      <c r="M19" s="139"/>
      <c r="N19" s="139"/>
      <c r="O19" s="139"/>
      <c r="P19" s="139"/>
      <c r="Q19" s="139"/>
      <c r="R19" s="139"/>
      <c r="S19" s="139"/>
    </row>
    <row r="20" spans="1:19" x14ac:dyDescent="0.2">
      <c r="A20" s="139"/>
      <c r="B20" s="139"/>
      <c r="C20" s="139"/>
      <c r="D20" s="139"/>
      <c r="E20" s="139"/>
      <c r="F20" s="139"/>
      <c r="G20" s="139"/>
      <c r="H20" s="139"/>
      <c r="I20" s="139"/>
      <c r="J20" s="139"/>
      <c r="K20" s="139"/>
      <c r="L20" s="139"/>
      <c r="M20" s="139"/>
      <c r="N20" s="139"/>
      <c r="O20" s="139"/>
      <c r="P20" s="139"/>
      <c r="Q20" s="139"/>
      <c r="R20" s="139"/>
      <c r="S20" s="139"/>
    </row>
    <row r="21" spans="1:19" x14ac:dyDescent="0.2">
      <c r="A21" s="139"/>
      <c r="B21" s="139"/>
      <c r="C21" s="139"/>
      <c r="D21" s="139"/>
      <c r="E21" s="139"/>
      <c r="F21" s="139"/>
      <c r="G21" s="139"/>
      <c r="H21" s="139"/>
      <c r="I21" s="139"/>
      <c r="J21" s="139"/>
      <c r="K21" s="139"/>
      <c r="L21" s="139"/>
      <c r="M21" s="139"/>
      <c r="N21" s="139"/>
      <c r="O21" s="139"/>
      <c r="P21" s="139"/>
      <c r="Q21" s="139"/>
      <c r="R21" s="139"/>
      <c r="S21" s="139"/>
    </row>
    <row r="22" spans="1:19" x14ac:dyDescent="0.2">
      <c r="A22" s="139"/>
      <c r="B22" s="139"/>
      <c r="C22" s="139"/>
      <c r="D22" s="139"/>
      <c r="E22" s="139"/>
      <c r="F22" s="139"/>
      <c r="G22" s="139"/>
      <c r="H22" s="139"/>
      <c r="I22" s="139"/>
      <c r="J22" s="139"/>
      <c r="K22" s="139"/>
      <c r="L22" s="139"/>
      <c r="M22" s="139"/>
      <c r="N22" s="139"/>
      <c r="O22" s="139"/>
      <c r="P22" s="139"/>
      <c r="Q22" s="139"/>
      <c r="R22" s="139"/>
      <c r="S22" s="139"/>
    </row>
    <row r="23" spans="1:19" x14ac:dyDescent="0.2">
      <c r="A23" s="139"/>
      <c r="B23" s="139"/>
      <c r="C23" s="139"/>
      <c r="D23" s="139"/>
      <c r="E23" s="139"/>
      <c r="F23" s="139"/>
      <c r="G23" s="139"/>
      <c r="H23" s="139"/>
      <c r="I23" s="139"/>
      <c r="J23" s="139"/>
      <c r="K23" s="139"/>
      <c r="L23" s="139"/>
      <c r="M23" s="139"/>
      <c r="N23" s="139"/>
      <c r="O23" s="139"/>
      <c r="P23" s="139"/>
      <c r="Q23" s="139"/>
      <c r="R23" s="139"/>
      <c r="S23" s="139"/>
    </row>
    <row r="24" spans="1:19" x14ac:dyDescent="0.2">
      <c r="A24" s="139"/>
      <c r="B24" s="139"/>
      <c r="C24" s="139"/>
      <c r="D24" s="139"/>
      <c r="E24" s="139"/>
      <c r="F24" s="139"/>
      <c r="G24" s="139"/>
      <c r="H24" s="139"/>
      <c r="I24" s="139"/>
      <c r="J24" s="139"/>
      <c r="K24" s="139"/>
      <c r="L24" s="139"/>
      <c r="M24" s="139"/>
      <c r="N24" s="139"/>
      <c r="O24" s="139"/>
      <c r="P24" s="139"/>
      <c r="Q24" s="139"/>
      <c r="R24" s="139"/>
      <c r="S24" s="139"/>
    </row>
    <row r="25" spans="1:19" x14ac:dyDescent="0.2">
      <c r="A25" s="139"/>
      <c r="B25" s="139"/>
      <c r="C25" s="139"/>
      <c r="D25" s="139"/>
      <c r="E25" s="139"/>
      <c r="F25" s="139"/>
      <c r="G25" s="139"/>
      <c r="H25" s="139"/>
      <c r="I25" s="139"/>
      <c r="J25" s="139"/>
      <c r="K25" s="139"/>
      <c r="L25" s="139"/>
      <c r="M25" s="139"/>
      <c r="N25" s="139"/>
      <c r="O25" s="139"/>
      <c r="P25" s="139"/>
      <c r="Q25" s="139"/>
      <c r="R25" s="139"/>
      <c r="S25" s="139"/>
    </row>
    <row r="26" spans="1:19" x14ac:dyDescent="0.2">
      <c r="A26" s="139"/>
      <c r="B26" s="139"/>
      <c r="C26" s="139"/>
      <c r="D26" s="139"/>
      <c r="E26" s="139"/>
      <c r="F26" s="139"/>
      <c r="G26" s="139"/>
      <c r="H26" s="139"/>
      <c r="I26" s="139"/>
      <c r="J26" s="139"/>
      <c r="K26" s="139"/>
      <c r="L26" s="139"/>
      <c r="M26" s="139"/>
      <c r="N26" s="139"/>
      <c r="O26" s="139"/>
      <c r="P26" s="139"/>
      <c r="Q26" s="139"/>
      <c r="R26" s="139"/>
      <c r="S26" s="139"/>
    </row>
    <row r="27" spans="1:19" x14ac:dyDescent="0.2">
      <c r="A27" s="139"/>
      <c r="B27" s="139"/>
      <c r="C27" s="139"/>
      <c r="D27" s="139"/>
      <c r="E27" s="139"/>
      <c r="F27" s="139"/>
      <c r="G27" s="139"/>
      <c r="H27" s="139"/>
      <c r="I27" s="139"/>
      <c r="J27" s="139"/>
      <c r="K27" s="139"/>
      <c r="L27" s="139"/>
      <c r="M27" s="139"/>
      <c r="N27" s="139"/>
      <c r="O27" s="139"/>
      <c r="P27" s="139"/>
      <c r="Q27" s="139"/>
      <c r="R27" s="139"/>
      <c r="S27" s="139"/>
    </row>
    <row r="28" spans="1:19" x14ac:dyDescent="0.2">
      <c r="A28" s="139"/>
      <c r="B28" s="139"/>
      <c r="C28" s="139"/>
      <c r="D28" s="139"/>
      <c r="E28" s="139"/>
      <c r="F28" s="139"/>
      <c r="G28" s="139"/>
      <c r="H28" s="139"/>
      <c r="I28" s="139"/>
      <c r="J28" s="139"/>
      <c r="K28" s="139"/>
      <c r="L28" s="139"/>
      <c r="M28" s="139"/>
      <c r="N28" s="139"/>
      <c r="O28" s="139"/>
      <c r="P28" s="139"/>
      <c r="Q28" s="139"/>
      <c r="R28" s="139"/>
      <c r="S28" s="139"/>
    </row>
    <row r="29" spans="1:19" x14ac:dyDescent="0.2">
      <c r="A29" s="139"/>
      <c r="B29" s="139"/>
      <c r="C29" s="139"/>
      <c r="D29" s="139"/>
      <c r="E29" s="139"/>
      <c r="F29" s="139"/>
      <c r="G29" s="139"/>
      <c r="H29" s="139"/>
      <c r="I29" s="139"/>
      <c r="J29" s="139"/>
      <c r="K29" s="139"/>
      <c r="L29" s="139"/>
      <c r="M29" s="139"/>
      <c r="N29" s="139"/>
      <c r="O29" s="139"/>
      <c r="P29" s="139"/>
      <c r="Q29" s="139"/>
      <c r="R29" s="139"/>
      <c r="S29" s="139"/>
    </row>
    <row r="30" spans="1:19" x14ac:dyDescent="0.2">
      <c r="A30" s="139"/>
      <c r="B30" s="139"/>
      <c r="C30" s="139"/>
      <c r="D30" s="139"/>
      <c r="E30" s="139"/>
      <c r="F30" s="139"/>
      <c r="G30" s="139"/>
      <c r="H30" s="139"/>
      <c r="I30" s="139"/>
      <c r="J30" s="139"/>
      <c r="K30" s="139"/>
      <c r="L30" s="139"/>
      <c r="M30" s="139"/>
      <c r="N30" s="139"/>
      <c r="O30" s="139"/>
      <c r="P30" s="139"/>
      <c r="Q30" s="139"/>
      <c r="R30" s="139"/>
      <c r="S30" s="139"/>
    </row>
    <row r="31" spans="1:19" x14ac:dyDescent="0.2">
      <c r="A31" s="139"/>
      <c r="B31" s="139"/>
      <c r="C31" s="139"/>
      <c r="D31" s="139"/>
      <c r="E31" s="139"/>
      <c r="F31" s="139"/>
      <c r="G31" s="139"/>
      <c r="H31" s="139"/>
      <c r="I31" s="139"/>
      <c r="J31" s="139"/>
      <c r="K31" s="139"/>
      <c r="L31" s="139"/>
      <c r="M31" s="139"/>
      <c r="N31" s="139"/>
      <c r="O31" s="139"/>
      <c r="P31" s="139"/>
      <c r="Q31" s="139"/>
      <c r="R31" s="139"/>
      <c r="S31" s="139"/>
    </row>
    <row r="32" spans="1:19" x14ac:dyDescent="0.2">
      <c r="A32" s="139"/>
      <c r="B32" s="139"/>
      <c r="C32" s="139"/>
      <c r="D32" s="139"/>
      <c r="E32" s="139"/>
      <c r="F32" s="139"/>
      <c r="G32" s="139"/>
      <c r="H32" s="139"/>
      <c r="I32" s="139"/>
      <c r="J32" s="139"/>
      <c r="K32" s="139"/>
      <c r="L32" s="139"/>
      <c r="M32" s="139"/>
      <c r="N32" s="139"/>
      <c r="O32" s="139"/>
      <c r="P32" s="139"/>
      <c r="Q32" s="139"/>
      <c r="R32" s="139"/>
      <c r="S32" s="139"/>
    </row>
    <row r="33" spans="1:19" x14ac:dyDescent="0.2">
      <c r="A33" s="139"/>
      <c r="B33" s="139"/>
      <c r="C33" s="139"/>
      <c r="D33" s="139"/>
      <c r="E33" s="139"/>
      <c r="F33" s="139"/>
      <c r="G33" s="139"/>
      <c r="H33" s="139"/>
      <c r="I33" s="139"/>
      <c r="J33" s="139"/>
      <c r="K33" s="139"/>
      <c r="L33" s="139"/>
      <c r="M33" s="139"/>
      <c r="N33" s="139"/>
      <c r="O33" s="139"/>
      <c r="P33" s="139"/>
      <c r="Q33" s="139"/>
      <c r="R33" s="139"/>
      <c r="S33" s="139"/>
    </row>
    <row r="34" spans="1:19" x14ac:dyDescent="0.2">
      <c r="A34" s="139"/>
      <c r="B34" s="139"/>
      <c r="C34" s="139"/>
      <c r="D34" s="139"/>
      <c r="E34" s="139"/>
      <c r="F34" s="139"/>
      <c r="G34" s="139"/>
      <c r="H34" s="139"/>
      <c r="I34" s="139"/>
      <c r="J34" s="139"/>
      <c r="K34" s="139"/>
      <c r="L34" s="139"/>
      <c r="M34" s="139"/>
      <c r="N34" s="139"/>
      <c r="O34" s="139"/>
      <c r="P34" s="139"/>
      <c r="Q34" s="139"/>
      <c r="R34" s="139"/>
      <c r="S34" s="139"/>
    </row>
    <row r="35" spans="1:19" x14ac:dyDescent="0.2">
      <c r="A35" s="139"/>
      <c r="B35" s="139"/>
      <c r="C35" s="139"/>
      <c r="D35" s="139"/>
      <c r="E35" s="139"/>
      <c r="F35" s="139"/>
      <c r="G35" s="139"/>
      <c r="H35" s="139"/>
      <c r="I35" s="139"/>
      <c r="J35" s="139"/>
      <c r="K35" s="139"/>
      <c r="L35" s="139"/>
      <c r="M35" s="139"/>
      <c r="N35" s="139"/>
      <c r="O35" s="139"/>
      <c r="P35" s="139"/>
      <c r="Q35" s="139"/>
      <c r="R35" s="139"/>
      <c r="S35" s="139"/>
    </row>
    <row r="36" spans="1:19" x14ac:dyDescent="0.2">
      <c r="A36" s="139"/>
      <c r="B36" s="139"/>
      <c r="C36" s="139"/>
      <c r="D36" s="139"/>
      <c r="E36" s="139"/>
      <c r="F36" s="139"/>
      <c r="G36" s="139"/>
      <c r="H36" s="139"/>
      <c r="I36" s="139"/>
      <c r="J36" s="139"/>
      <c r="K36" s="139"/>
      <c r="L36" s="139"/>
      <c r="M36" s="139"/>
      <c r="N36" s="139"/>
      <c r="O36" s="139"/>
      <c r="P36" s="139"/>
      <c r="Q36" s="139"/>
      <c r="R36" s="139"/>
      <c r="S36" s="139"/>
    </row>
    <row r="37" spans="1:19" x14ac:dyDescent="0.2">
      <c r="A37" s="139"/>
      <c r="B37" s="139"/>
      <c r="C37" s="139"/>
      <c r="D37" s="139"/>
      <c r="E37" s="139"/>
      <c r="F37" s="139"/>
      <c r="G37" s="139"/>
      <c r="H37" s="139"/>
      <c r="I37" s="139"/>
      <c r="J37" s="139"/>
      <c r="K37" s="139"/>
      <c r="L37" s="139"/>
      <c r="M37" s="139"/>
      <c r="N37" s="139"/>
      <c r="O37" s="139"/>
      <c r="P37" s="139"/>
      <c r="Q37" s="139"/>
      <c r="R37" s="139"/>
      <c r="S37" s="139"/>
    </row>
    <row r="38" spans="1:19" x14ac:dyDescent="0.2">
      <c r="A38" s="139"/>
      <c r="B38" s="139"/>
      <c r="C38" s="139"/>
      <c r="D38" s="139"/>
      <c r="E38" s="139"/>
      <c r="F38" s="139"/>
      <c r="G38" s="139"/>
      <c r="H38" s="139"/>
      <c r="I38" s="139"/>
      <c r="J38" s="139"/>
      <c r="K38" s="139"/>
      <c r="L38" s="139"/>
      <c r="M38" s="139"/>
      <c r="N38" s="139"/>
      <c r="O38" s="139"/>
      <c r="P38" s="139"/>
      <c r="Q38" s="139"/>
      <c r="R38" s="139"/>
      <c r="S38" s="139"/>
    </row>
    <row r="39" spans="1:19" x14ac:dyDescent="0.2">
      <c r="A39" s="139"/>
      <c r="B39" s="139"/>
      <c r="C39" s="139"/>
      <c r="D39" s="139"/>
      <c r="E39" s="139"/>
      <c r="F39" s="139"/>
      <c r="G39" s="139"/>
      <c r="H39" s="139"/>
      <c r="I39" s="139"/>
      <c r="J39" s="139"/>
      <c r="K39" s="139"/>
      <c r="L39" s="139"/>
      <c r="M39" s="139"/>
      <c r="N39" s="139"/>
      <c r="O39" s="139"/>
      <c r="P39" s="139"/>
      <c r="Q39" s="139"/>
      <c r="R39" s="139"/>
      <c r="S39" s="139"/>
    </row>
    <row r="40" spans="1:19" x14ac:dyDescent="0.2">
      <c r="A40" s="139"/>
      <c r="B40" s="139"/>
      <c r="C40" s="139"/>
      <c r="D40" s="139"/>
      <c r="E40" s="139"/>
      <c r="F40" s="139"/>
      <c r="G40" s="139"/>
      <c r="H40" s="139"/>
      <c r="I40" s="139"/>
      <c r="J40" s="139"/>
      <c r="K40" s="139"/>
      <c r="L40" s="139"/>
      <c r="M40" s="139"/>
      <c r="N40" s="139"/>
      <c r="O40" s="139"/>
      <c r="P40" s="139"/>
      <c r="Q40" s="139"/>
      <c r="R40" s="139"/>
      <c r="S40" s="139"/>
    </row>
    <row r="41" spans="1:19" x14ac:dyDescent="0.2">
      <c r="A41" s="139"/>
      <c r="B41" s="139"/>
      <c r="C41" s="139"/>
      <c r="D41" s="139"/>
      <c r="E41" s="139"/>
      <c r="F41" s="139"/>
      <c r="G41" s="139"/>
      <c r="H41" s="139"/>
      <c r="I41" s="139"/>
      <c r="J41" s="139"/>
      <c r="K41" s="139"/>
      <c r="L41" s="139"/>
      <c r="M41" s="139"/>
      <c r="N41" s="139"/>
      <c r="O41" s="139"/>
      <c r="P41" s="139"/>
      <c r="Q41" s="139"/>
      <c r="R41" s="139"/>
      <c r="S41" s="139"/>
    </row>
    <row r="42" spans="1:19" x14ac:dyDescent="0.2">
      <c r="A42" s="139"/>
      <c r="B42" s="139"/>
      <c r="C42" s="139"/>
      <c r="D42" s="139"/>
      <c r="E42" s="139"/>
      <c r="F42" s="139"/>
      <c r="G42" s="139"/>
      <c r="H42" s="139"/>
      <c r="I42" s="139"/>
      <c r="J42" s="139"/>
      <c r="K42" s="139"/>
      <c r="L42" s="139"/>
      <c r="M42" s="139"/>
      <c r="N42" s="139"/>
      <c r="O42" s="139"/>
      <c r="P42" s="139"/>
      <c r="Q42" s="139"/>
      <c r="R42" s="139"/>
      <c r="S42" s="139"/>
    </row>
    <row r="43" spans="1:19" x14ac:dyDescent="0.2">
      <c r="A43" s="139"/>
      <c r="B43" s="139"/>
      <c r="C43" s="139"/>
      <c r="D43" s="139"/>
      <c r="E43" s="139"/>
      <c r="F43" s="139"/>
      <c r="G43" s="139"/>
      <c r="H43" s="139"/>
      <c r="I43" s="139"/>
      <c r="J43" s="139"/>
      <c r="K43" s="139"/>
      <c r="L43" s="139"/>
      <c r="M43" s="139"/>
      <c r="N43" s="139"/>
      <c r="O43" s="139"/>
      <c r="P43" s="139"/>
      <c r="Q43" s="139"/>
      <c r="R43" s="139"/>
      <c r="S43" s="139"/>
    </row>
    <row r="44" spans="1:19" x14ac:dyDescent="0.2">
      <c r="A44" s="139"/>
      <c r="B44" s="139"/>
      <c r="C44" s="139"/>
      <c r="D44" s="139"/>
      <c r="E44" s="139"/>
      <c r="F44" s="139"/>
      <c r="G44" s="139"/>
      <c r="H44" s="139"/>
      <c r="I44" s="139"/>
      <c r="J44" s="139"/>
      <c r="K44" s="139"/>
      <c r="L44" s="139"/>
      <c r="M44" s="139"/>
      <c r="N44" s="139"/>
      <c r="O44" s="139"/>
      <c r="P44" s="139"/>
      <c r="Q44" s="139"/>
      <c r="R44" s="139"/>
      <c r="S44" s="139"/>
    </row>
    <row r="45" spans="1:19" x14ac:dyDescent="0.2">
      <c r="A45" s="139"/>
      <c r="B45" s="139"/>
      <c r="C45" s="139"/>
      <c r="D45" s="139"/>
      <c r="E45" s="139"/>
      <c r="F45" s="139"/>
      <c r="G45" s="139"/>
      <c r="H45" s="139"/>
      <c r="I45" s="139"/>
      <c r="J45" s="139"/>
      <c r="K45" s="139"/>
      <c r="L45" s="139"/>
      <c r="M45" s="139"/>
      <c r="N45" s="139"/>
      <c r="O45" s="139"/>
      <c r="P45" s="139"/>
      <c r="Q45" s="139"/>
      <c r="R45" s="139"/>
      <c r="S45" s="139"/>
    </row>
    <row r="46" spans="1:19" x14ac:dyDescent="0.2">
      <c r="A46" s="139"/>
      <c r="B46" s="139"/>
      <c r="C46" s="139"/>
      <c r="D46" s="139"/>
      <c r="E46" s="139"/>
      <c r="F46" s="139"/>
      <c r="G46" s="139"/>
      <c r="H46" s="139"/>
      <c r="I46" s="139"/>
      <c r="J46" s="139"/>
      <c r="K46" s="139"/>
      <c r="L46" s="139"/>
      <c r="M46" s="139"/>
      <c r="N46" s="139"/>
      <c r="O46" s="139"/>
      <c r="P46" s="139"/>
      <c r="Q46" s="139"/>
      <c r="R46" s="139"/>
      <c r="S46" s="139"/>
    </row>
    <row r="47" spans="1:19" x14ac:dyDescent="0.2">
      <c r="A47" s="139"/>
      <c r="B47" s="139"/>
      <c r="C47" s="139"/>
      <c r="D47" s="139"/>
      <c r="E47" s="139"/>
      <c r="F47" s="139"/>
      <c r="G47" s="139"/>
      <c r="H47" s="139"/>
      <c r="I47" s="139"/>
      <c r="J47" s="139"/>
      <c r="K47" s="139"/>
      <c r="L47" s="139"/>
      <c r="M47" s="139"/>
      <c r="N47" s="139"/>
      <c r="O47" s="139"/>
      <c r="P47" s="139"/>
      <c r="Q47" s="139"/>
      <c r="R47" s="139"/>
      <c r="S47" s="139"/>
    </row>
    <row r="48" spans="1:19" x14ac:dyDescent="0.2">
      <c r="A48" s="139"/>
      <c r="B48" s="139"/>
      <c r="C48" s="139"/>
      <c r="D48" s="139"/>
      <c r="E48" s="139"/>
      <c r="F48" s="139"/>
      <c r="G48" s="139"/>
      <c r="H48" s="139"/>
      <c r="I48" s="139"/>
      <c r="J48" s="139"/>
      <c r="K48" s="139"/>
      <c r="L48" s="139"/>
      <c r="M48" s="139"/>
      <c r="N48" s="139"/>
      <c r="O48" s="139"/>
      <c r="P48" s="139"/>
      <c r="Q48" s="139"/>
      <c r="R48" s="139"/>
      <c r="S48" s="139"/>
    </row>
    <row r="49" spans="1:19" x14ac:dyDescent="0.2">
      <c r="A49" s="139"/>
      <c r="B49" s="139"/>
      <c r="C49" s="139"/>
      <c r="D49" s="139"/>
      <c r="E49" s="139"/>
      <c r="F49" s="139"/>
      <c r="G49" s="139"/>
      <c r="H49" s="139"/>
      <c r="I49" s="139"/>
      <c r="J49" s="139"/>
      <c r="K49" s="139"/>
      <c r="L49" s="139"/>
      <c r="M49" s="139"/>
      <c r="N49" s="139"/>
      <c r="O49" s="139"/>
      <c r="P49" s="139"/>
      <c r="Q49" s="139"/>
      <c r="R49" s="139"/>
      <c r="S49" s="139"/>
    </row>
    <row r="50" spans="1:19" x14ac:dyDescent="0.2">
      <c r="A50" s="139"/>
      <c r="B50" s="139"/>
      <c r="C50" s="139"/>
      <c r="D50" s="139"/>
      <c r="E50" s="139"/>
      <c r="F50" s="139"/>
      <c r="G50" s="139"/>
      <c r="H50" s="139"/>
      <c r="I50" s="139"/>
      <c r="J50" s="139"/>
      <c r="K50" s="139"/>
      <c r="L50" s="139"/>
      <c r="M50" s="139"/>
      <c r="N50" s="139"/>
      <c r="O50" s="139"/>
      <c r="P50" s="139"/>
      <c r="Q50" s="139"/>
      <c r="R50" s="139"/>
      <c r="S50" s="139"/>
    </row>
    <row r="51" spans="1:19" x14ac:dyDescent="0.2">
      <c r="A51" s="139"/>
      <c r="B51" s="139"/>
      <c r="C51" s="139"/>
      <c r="D51" s="139"/>
      <c r="E51" s="139"/>
      <c r="F51" s="139"/>
      <c r="G51" s="139"/>
      <c r="H51" s="139"/>
      <c r="I51" s="139"/>
      <c r="J51" s="139"/>
      <c r="K51" s="139"/>
      <c r="L51" s="139"/>
      <c r="M51" s="139"/>
      <c r="N51" s="139"/>
      <c r="O51" s="139"/>
      <c r="P51" s="139"/>
      <c r="Q51" s="139"/>
      <c r="R51" s="139"/>
      <c r="S51" s="139"/>
    </row>
    <row r="52" spans="1:19" x14ac:dyDescent="0.2">
      <c r="A52" s="139"/>
      <c r="B52" s="139"/>
      <c r="C52" s="139"/>
      <c r="D52" s="139"/>
      <c r="E52" s="139"/>
      <c r="F52" s="139"/>
      <c r="G52" s="139"/>
      <c r="H52" s="139"/>
      <c r="I52" s="139"/>
      <c r="J52" s="139"/>
      <c r="K52" s="139"/>
      <c r="L52" s="139"/>
      <c r="M52" s="139"/>
      <c r="N52" s="139"/>
      <c r="O52" s="139"/>
      <c r="P52" s="139"/>
      <c r="Q52" s="139"/>
      <c r="R52" s="139"/>
      <c r="S52" s="139"/>
    </row>
    <row r="53" spans="1:19" x14ac:dyDescent="0.2">
      <c r="A53" s="139"/>
      <c r="B53" s="139"/>
      <c r="C53" s="139"/>
      <c r="D53" s="139"/>
      <c r="E53" s="139"/>
      <c r="F53" s="139"/>
      <c r="G53" s="139"/>
      <c r="H53" s="139"/>
      <c r="I53" s="139"/>
      <c r="J53" s="139"/>
      <c r="K53" s="139"/>
      <c r="L53" s="139"/>
      <c r="M53" s="139"/>
      <c r="N53" s="139"/>
      <c r="O53" s="139"/>
      <c r="P53" s="139"/>
      <c r="Q53" s="139"/>
      <c r="R53" s="139"/>
      <c r="S53" s="139"/>
    </row>
    <row r="54" spans="1:19" x14ac:dyDescent="0.2">
      <c r="A54" s="139"/>
      <c r="B54" s="139"/>
      <c r="C54" s="139"/>
      <c r="D54" s="139"/>
      <c r="E54" s="139"/>
      <c r="F54" s="139"/>
      <c r="G54" s="139"/>
      <c r="H54" s="139"/>
      <c r="I54" s="139"/>
      <c r="J54" s="139"/>
      <c r="K54" s="139"/>
      <c r="L54" s="139"/>
      <c r="M54" s="139"/>
      <c r="N54" s="139"/>
      <c r="O54" s="139"/>
      <c r="P54" s="139"/>
      <c r="Q54" s="139"/>
      <c r="R54" s="139"/>
      <c r="S54" s="139"/>
    </row>
    <row r="55" spans="1:19" x14ac:dyDescent="0.2">
      <c r="A55" s="139"/>
      <c r="B55" s="139"/>
      <c r="C55" s="139"/>
      <c r="D55" s="139"/>
      <c r="E55" s="139"/>
      <c r="F55" s="139"/>
      <c r="G55" s="139"/>
      <c r="H55" s="139"/>
      <c r="I55" s="139"/>
      <c r="J55" s="139"/>
      <c r="K55" s="139"/>
      <c r="L55" s="139"/>
      <c r="M55" s="139"/>
      <c r="N55" s="139"/>
      <c r="O55" s="139"/>
      <c r="P55" s="139"/>
      <c r="Q55" s="139"/>
      <c r="R55" s="139"/>
      <c r="S55" s="139"/>
    </row>
    <row r="56" spans="1:19" x14ac:dyDescent="0.2">
      <c r="A56" s="139"/>
      <c r="B56" s="139"/>
      <c r="C56" s="139"/>
      <c r="D56" s="139"/>
      <c r="E56" s="139"/>
      <c r="F56" s="139"/>
      <c r="G56" s="139"/>
      <c r="H56" s="139"/>
      <c r="I56" s="139"/>
      <c r="J56" s="139"/>
      <c r="K56" s="139"/>
      <c r="L56" s="139"/>
      <c r="M56" s="139"/>
      <c r="N56" s="139"/>
      <c r="O56" s="139"/>
      <c r="P56" s="139"/>
      <c r="Q56" s="139"/>
      <c r="R56" s="139"/>
      <c r="S56" s="139"/>
    </row>
    <row r="57" spans="1:19" x14ac:dyDescent="0.2">
      <c r="A57" s="139"/>
      <c r="B57" s="139"/>
      <c r="C57" s="139"/>
      <c r="D57" s="139"/>
      <c r="E57" s="139"/>
      <c r="F57" s="139"/>
      <c r="G57" s="139"/>
      <c r="H57" s="139"/>
      <c r="I57" s="139"/>
      <c r="J57" s="139"/>
      <c r="K57" s="139"/>
      <c r="L57" s="139"/>
      <c r="M57" s="139"/>
      <c r="N57" s="139"/>
      <c r="O57" s="139"/>
      <c r="P57" s="139"/>
      <c r="Q57" s="139"/>
      <c r="R57" s="139"/>
      <c r="S57" s="139"/>
    </row>
    <row r="58" spans="1:19" x14ac:dyDescent="0.2">
      <c r="A58" s="139"/>
      <c r="B58" s="139"/>
      <c r="C58" s="139"/>
      <c r="D58" s="139"/>
      <c r="E58" s="139"/>
      <c r="F58" s="139"/>
      <c r="G58" s="139"/>
      <c r="H58" s="139"/>
      <c r="I58" s="139"/>
      <c r="J58" s="139"/>
      <c r="K58" s="139"/>
      <c r="L58" s="139"/>
      <c r="M58" s="139"/>
      <c r="N58" s="139"/>
      <c r="O58" s="139"/>
      <c r="P58" s="139"/>
      <c r="Q58" s="139"/>
      <c r="R58" s="139"/>
      <c r="S58" s="139"/>
    </row>
    <row r="59" spans="1:19" x14ac:dyDescent="0.2">
      <c r="A59" s="139"/>
      <c r="B59" s="139"/>
      <c r="C59" s="139"/>
      <c r="D59" s="139"/>
      <c r="E59" s="139"/>
      <c r="F59" s="139"/>
      <c r="G59" s="139"/>
      <c r="H59" s="139"/>
      <c r="I59" s="139"/>
      <c r="J59" s="139"/>
      <c r="K59" s="139"/>
      <c r="L59" s="139"/>
      <c r="M59" s="139"/>
      <c r="N59" s="139"/>
      <c r="O59" s="139"/>
      <c r="P59" s="139"/>
      <c r="Q59" s="139"/>
      <c r="R59" s="139"/>
      <c r="S59" s="139"/>
    </row>
    <row r="60" spans="1:19" x14ac:dyDescent="0.2">
      <c r="A60" s="139"/>
      <c r="B60" s="139"/>
      <c r="C60" s="139"/>
      <c r="D60" s="139"/>
      <c r="E60" s="139"/>
      <c r="F60" s="139"/>
      <c r="G60" s="139"/>
      <c r="H60" s="139"/>
      <c r="I60" s="139"/>
      <c r="J60" s="139"/>
      <c r="K60" s="139"/>
      <c r="L60" s="139"/>
      <c r="M60" s="139"/>
      <c r="N60" s="139"/>
      <c r="O60" s="139"/>
      <c r="P60" s="139"/>
      <c r="Q60" s="139"/>
      <c r="R60" s="139"/>
      <c r="S60" s="139"/>
    </row>
    <row r="61" spans="1:19" x14ac:dyDescent="0.2">
      <c r="A61" s="139"/>
      <c r="B61" s="139"/>
      <c r="C61" s="139"/>
      <c r="D61" s="139"/>
      <c r="E61" s="139"/>
      <c r="F61" s="139"/>
      <c r="G61" s="139"/>
      <c r="H61" s="139"/>
      <c r="I61" s="139"/>
      <c r="J61" s="139"/>
      <c r="K61" s="139"/>
      <c r="L61" s="139"/>
      <c r="M61" s="139"/>
      <c r="N61" s="139"/>
      <c r="O61" s="139"/>
      <c r="P61" s="139"/>
      <c r="Q61" s="139"/>
      <c r="R61" s="139"/>
      <c r="S61" s="139"/>
    </row>
    <row r="62" spans="1:19" x14ac:dyDescent="0.2">
      <c r="A62" s="139"/>
      <c r="B62" s="139"/>
      <c r="C62" s="139"/>
      <c r="D62" s="139"/>
      <c r="E62" s="139"/>
      <c r="F62" s="139"/>
      <c r="G62" s="139"/>
      <c r="H62" s="139"/>
      <c r="I62" s="139"/>
      <c r="J62" s="139"/>
      <c r="K62" s="139"/>
      <c r="L62" s="139"/>
      <c r="M62" s="139"/>
      <c r="N62" s="139"/>
      <c r="O62" s="139"/>
      <c r="P62" s="139"/>
      <c r="Q62" s="139"/>
      <c r="R62" s="139"/>
      <c r="S62" s="139"/>
    </row>
    <row r="63" spans="1:19" x14ac:dyDescent="0.2">
      <c r="A63" s="139"/>
      <c r="B63" s="139"/>
      <c r="C63" s="139"/>
      <c r="D63" s="139"/>
      <c r="E63" s="139"/>
      <c r="F63" s="139"/>
      <c r="G63" s="139"/>
      <c r="H63" s="139"/>
      <c r="I63" s="139"/>
      <c r="J63" s="139"/>
      <c r="K63" s="139"/>
      <c r="L63" s="139"/>
      <c r="M63" s="139"/>
      <c r="N63" s="139"/>
      <c r="O63" s="139"/>
      <c r="P63" s="139"/>
      <c r="Q63" s="139"/>
      <c r="R63" s="139"/>
      <c r="S63" s="139"/>
    </row>
    <row r="64" spans="1:19" x14ac:dyDescent="0.2">
      <c r="A64" s="139"/>
      <c r="B64" s="139"/>
      <c r="C64" s="139"/>
      <c r="D64" s="139"/>
      <c r="E64" s="139"/>
      <c r="F64" s="139"/>
      <c r="G64" s="139"/>
      <c r="H64" s="139"/>
      <c r="I64" s="139"/>
      <c r="J64" s="139"/>
      <c r="K64" s="139"/>
      <c r="L64" s="139"/>
      <c r="M64" s="139"/>
      <c r="N64" s="139"/>
      <c r="O64" s="139"/>
      <c r="P64" s="139"/>
      <c r="Q64" s="139"/>
      <c r="R64" s="139"/>
      <c r="S64" s="139"/>
    </row>
    <row r="65" spans="1:19" x14ac:dyDescent="0.2">
      <c r="A65" s="139"/>
      <c r="B65" s="139"/>
      <c r="C65" s="139"/>
      <c r="D65" s="139"/>
      <c r="E65" s="139"/>
      <c r="F65" s="139"/>
      <c r="G65" s="139"/>
      <c r="H65" s="139"/>
      <c r="I65" s="139"/>
      <c r="J65" s="139"/>
      <c r="K65" s="139"/>
      <c r="L65" s="139"/>
      <c r="M65" s="139"/>
      <c r="N65" s="139"/>
      <c r="O65" s="139"/>
      <c r="P65" s="139"/>
      <c r="Q65" s="139"/>
      <c r="R65" s="139"/>
      <c r="S65" s="139"/>
    </row>
    <row r="66" spans="1:19" x14ac:dyDescent="0.2">
      <c r="A66" s="139"/>
      <c r="B66" s="139"/>
      <c r="C66" s="139"/>
      <c r="D66" s="139"/>
      <c r="E66" s="139"/>
      <c r="F66" s="139"/>
      <c r="G66" s="139"/>
      <c r="H66" s="139"/>
      <c r="I66" s="139"/>
      <c r="J66" s="139"/>
      <c r="K66" s="139"/>
      <c r="L66" s="139"/>
      <c r="M66" s="139"/>
      <c r="N66" s="139"/>
      <c r="O66" s="139"/>
      <c r="P66" s="139"/>
      <c r="Q66" s="139"/>
      <c r="R66" s="139"/>
      <c r="S66" s="139"/>
    </row>
    <row r="67" spans="1:19" x14ac:dyDescent="0.2">
      <c r="A67" s="139"/>
      <c r="B67" s="139"/>
      <c r="C67" s="139"/>
      <c r="D67" s="139"/>
      <c r="E67" s="139"/>
      <c r="F67" s="139"/>
      <c r="G67" s="139"/>
      <c r="H67" s="139"/>
      <c r="I67" s="139"/>
      <c r="J67" s="139"/>
      <c r="K67" s="139"/>
      <c r="L67" s="139"/>
      <c r="M67" s="139"/>
      <c r="N67" s="139"/>
      <c r="O67" s="139"/>
      <c r="P67" s="139"/>
      <c r="Q67" s="139"/>
      <c r="R67" s="139"/>
      <c r="S67" s="139"/>
    </row>
    <row r="68" spans="1:19" x14ac:dyDescent="0.2">
      <c r="A68" s="139"/>
      <c r="B68" s="139"/>
      <c r="C68" s="139"/>
      <c r="D68" s="139"/>
      <c r="E68" s="139"/>
      <c r="F68" s="139"/>
      <c r="G68" s="139"/>
      <c r="H68" s="139"/>
      <c r="I68" s="139"/>
      <c r="J68" s="139"/>
      <c r="K68" s="139"/>
      <c r="L68" s="139"/>
      <c r="M68" s="139"/>
      <c r="N68" s="139"/>
      <c r="O68" s="139"/>
      <c r="P68" s="139"/>
      <c r="Q68" s="139"/>
      <c r="R68" s="139"/>
      <c r="S68" s="139"/>
    </row>
    <row r="69" spans="1:19" x14ac:dyDescent="0.2">
      <c r="A69" s="139"/>
      <c r="B69" s="139"/>
      <c r="C69" s="139"/>
      <c r="D69" s="139"/>
      <c r="E69" s="139"/>
      <c r="F69" s="139"/>
      <c r="G69" s="139"/>
      <c r="H69" s="139"/>
      <c r="I69" s="139"/>
      <c r="J69" s="139"/>
      <c r="K69" s="139"/>
      <c r="L69" s="139"/>
      <c r="M69" s="139"/>
      <c r="N69" s="139"/>
      <c r="O69" s="139"/>
      <c r="P69" s="139"/>
      <c r="Q69" s="139"/>
      <c r="R69" s="139"/>
      <c r="S69" s="139"/>
    </row>
    <row r="70" spans="1:19" x14ac:dyDescent="0.2">
      <c r="A70" s="139"/>
      <c r="B70" s="139"/>
      <c r="C70" s="139"/>
      <c r="D70" s="139"/>
      <c r="E70" s="139"/>
      <c r="F70" s="139"/>
      <c r="G70" s="139"/>
      <c r="H70" s="139"/>
      <c r="I70" s="139"/>
      <c r="J70" s="139"/>
      <c r="K70" s="139"/>
      <c r="L70" s="139"/>
      <c r="M70" s="139"/>
      <c r="N70" s="139"/>
      <c r="O70" s="139"/>
      <c r="P70" s="139"/>
      <c r="Q70" s="139"/>
      <c r="R70" s="139"/>
      <c r="S70" s="139"/>
    </row>
    <row r="71" spans="1:19" x14ac:dyDescent="0.2">
      <c r="A71" s="139"/>
      <c r="B71" s="139"/>
      <c r="C71" s="139"/>
      <c r="D71" s="139"/>
      <c r="E71" s="139"/>
      <c r="F71" s="139"/>
      <c r="G71" s="139"/>
      <c r="H71" s="139"/>
      <c r="I71" s="139"/>
      <c r="J71" s="139"/>
      <c r="K71" s="139"/>
      <c r="L71" s="139"/>
      <c r="M71" s="139"/>
      <c r="N71" s="139"/>
      <c r="O71" s="139"/>
      <c r="P71" s="139"/>
      <c r="Q71" s="139"/>
      <c r="R71" s="139"/>
      <c r="S71" s="139"/>
    </row>
    <row r="72" spans="1:19" x14ac:dyDescent="0.2">
      <c r="A72" s="139"/>
      <c r="B72" s="139"/>
      <c r="C72" s="139"/>
      <c r="D72" s="139"/>
      <c r="E72" s="139"/>
      <c r="F72" s="139"/>
      <c r="G72" s="139"/>
      <c r="H72" s="139"/>
      <c r="I72" s="139"/>
      <c r="J72" s="139"/>
      <c r="K72" s="139"/>
      <c r="L72" s="139"/>
      <c r="M72" s="139"/>
      <c r="N72" s="139"/>
      <c r="O72" s="139"/>
      <c r="P72" s="139"/>
      <c r="Q72" s="139"/>
      <c r="R72" s="139"/>
      <c r="S72" s="139"/>
    </row>
    <row r="73" spans="1:19" x14ac:dyDescent="0.2">
      <c r="A73" s="139"/>
      <c r="B73" s="139"/>
      <c r="C73" s="139"/>
      <c r="D73" s="139"/>
      <c r="E73" s="139"/>
      <c r="F73" s="139"/>
      <c r="G73" s="139"/>
      <c r="H73" s="139"/>
      <c r="I73" s="139"/>
      <c r="J73" s="139"/>
      <c r="K73" s="139"/>
      <c r="L73" s="139"/>
      <c r="M73" s="139"/>
      <c r="N73" s="139"/>
      <c r="O73" s="139"/>
      <c r="P73" s="139"/>
      <c r="Q73" s="139"/>
      <c r="R73" s="139"/>
      <c r="S73" s="139"/>
    </row>
    <row r="74" spans="1:19" x14ac:dyDescent="0.2">
      <c r="A74" s="139"/>
      <c r="B74" s="139"/>
      <c r="C74" s="139"/>
      <c r="D74" s="139"/>
      <c r="E74" s="139"/>
      <c r="F74" s="139"/>
      <c r="G74" s="139"/>
      <c r="H74" s="139"/>
      <c r="I74" s="139"/>
      <c r="J74" s="139"/>
      <c r="K74" s="139"/>
      <c r="L74" s="139"/>
      <c r="M74" s="139"/>
      <c r="N74" s="139"/>
      <c r="O74" s="139"/>
      <c r="P74" s="139"/>
      <c r="Q74" s="139"/>
      <c r="R74" s="139"/>
      <c r="S74" s="139"/>
    </row>
    <row r="75" spans="1:19" x14ac:dyDescent="0.2">
      <c r="A75" s="139"/>
      <c r="B75" s="139"/>
      <c r="C75" s="139"/>
      <c r="D75" s="139"/>
      <c r="E75" s="139"/>
      <c r="F75" s="139"/>
      <c r="G75" s="139"/>
      <c r="H75" s="139"/>
      <c r="I75" s="139"/>
      <c r="J75" s="139"/>
      <c r="K75" s="139"/>
      <c r="L75" s="139"/>
      <c r="M75" s="139"/>
      <c r="N75" s="139"/>
      <c r="O75" s="139"/>
      <c r="P75" s="139"/>
      <c r="Q75" s="139"/>
      <c r="R75" s="139"/>
      <c r="S75" s="139"/>
    </row>
    <row r="76" spans="1:19" x14ac:dyDescent="0.2">
      <c r="A76" s="139"/>
      <c r="B76" s="139"/>
      <c r="C76" s="139"/>
      <c r="D76" s="139"/>
      <c r="E76" s="139"/>
      <c r="F76" s="139"/>
      <c r="G76" s="139"/>
      <c r="H76" s="139"/>
      <c r="I76" s="139"/>
      <c r="J76" s="139"/>
      <c r="K76" s="139"/>
      <c r="L76" s="139"/>
      <c r="M76" s="139"/>
      <c r="N76" s="139"/>
      <c r="O76" s="139"/>
      <c r="P76" s="139"/>
      <c r="Q76" s="139"/>
      <c r="R76" s="139"/>
      <c r="S76" s="139"/>
    </row>
    <row r="77" spans="1:19" x14ac:dyDescent="0.2">
      <c r="A77" s="139"/>
      <c r="B77" s="139"/>
      <c r="C77" s="139"/>
      <c r="D77" s="139"/>
      <c r="E77" s="139"/>
      <c r="F77" s="139"/>
      <c r="G77" s="139"/>
      <c r="H77" s="139"/>
      <c r="I77" s="139"/>
      <c r="J77" s="139"/>
      <c r="K77" s="139"/>
      <c r="L77" s="139"/>
      <c r="M77" s="139"/>
      <c r="N77" s="139"/>
      <c r="O77" s="139"/>
      <c r="P77" s="139"/>
      <c r="Q77" s="139"/>
      <c r="R77" s="139"/>
      <c r="S77" s="139"/>
    </row>
    <row r="78" spans="1:19" x14ac:dyDescent="0.2">
      <c r="A78" s="139"/>
      <c r="B78" s="139"/>
      <c r="C78" s="139"/>
      <c r="D78" s="139"/>
      <c r="E78" s="139"/>
      <c r="F78" s="139"/>
      <c r="G78" s="139"/>
      <c r="H78" s="139"/>
      <c r="I78" s="139"/>
      <c r="J78" s="139"/>
      <c r="K78" s="139"/>
      <c r="L78" s="139"/>
      <c r="M78" s="139"/>
      <c r="N78" s="139"/>
      <c r="O78" s="139"/>
      <c r="P78" s="139"/>
      <c r="Q78" s="139"/>
      <c r="R78" s="139"/>
      <c r="S78" s="139"/>
    </row>
    <row r="79" spans="1:19" x14ac:dyDescent="0.2">
      <c r="A79" s="139"/>
      <c r="B79" s="139"/>
      <c r="C79" s="139"/>
      <c r="D79" s="139"/>
      <c r="E79" s="139"/>
      <c r="F79" s="139"/>
      <c r="G79" s="139"/>
      <c r="H79" s="139"/>
      <c r="I79" s="139"/>
      <c r="J79" s="139"/>
      <c r="K79" s="139"/>
      <c r="L79" s="139"/>
      <c r="M79" s="139"/>
      <c r="N79" s="139"/>
      <c r="O79" s="139"/>
      <c r="P79" s="139"/>
      <c r="Q79" s="139"/>
      <c r="R79" s="139"/>
      <c r="S79" s="139"/>
    </row>
    <row r="80" spans="1:19" x14ac:dyDescent="0.2">
      <c r="A80" s="139"/>
      <c r="B80" s="139"/>
      <c r="C80" s="139"/>
      <c r="D80" s="139"/>
      <c r="E80" s="139"/>
      <c r="F80" s="139"/>
      <c r="G80" s="139"/>
      <c r="H80" s="139"/>
      <c r="I80" s="139"/>
      <c r="J80" s="139"/>
      <c r="K80" s="139"/>
      <c r="L80" s="139"/>
      <c r="M80" s="139"/>
      <c r="N80" s="139"/>
      <c r="O80" s="139"/>
      <c r="P80" s="139"/>
      <c r="Q80" s="139"/>
      <c r="R80" s="139"/>
      <c r="S80" s="139"/>
    </row>
    <row r="81" spans="1:19" x14ac:dyDescent="0.2">
      <c r="A81" s="139"/>
      <c r="B81" s="139"/>
      <c r="C81" s="139"/>
      <c r="D81" s="139"/>
      <c r="E81" s="139"/>
      <c r="F81" s="139"/>
      <c r="G81" s="139"/>
      <c r="H81" s="139"/>
      <c r="I81" s="139"/>
      <c r="J81" s="139"/>
      <c r="K81" s="139"/>
      <c r="L81" s="139"/>
      <c r="M81" s="139"/>
      <c r="N81" s="139"/>
      <c r="O81" s="139"/>
      <c r="P81" s="139"/>
      <c r="Q81" s="139"/>
      <c r="R81" s="139"/>
      <c r="S81" s="139"/>
    </row>
    <row r="82" spans="1:19" x14ac:dyDescent="0.2">
      <c r="A82" s="139"/>
      <c r="B82" s="139"/>
      <c r="C82" s="139"/>
      <c r="D82" s="139"/>
      <c r="E82" s="139"/>
      <c r="F82" s="139"/>
      <c r="G82" s="139"/>
      <c r="H82" s="139"/>
      <c r="I82" s="139"/>
      <c r="J82" s="139"/>
      <c r="K82" s="139"/>
      <c r="L82" s="139"/>
      <c r="M82" s="139"/>
      <c r="N82" s="139"/>
      <c r="O82" s="139"/>
      <c r="P82" s="139"/>
      <c r="Q82" s="139"/>
      <c r="R82" s="139"/>
      <c r="S82" s="139"/>
    </row>
    <row r="83" spans="1:19" x14ac:dyDescent="0.2">
      <c r="A83" s="139"/>
      <c r="B83" s="139"/>
      <c r="C83" s="139"/>
      <c r="D83" s="139"/>
      <c r="E83" s="139"/>
      <c r="F83" s="139"/>
      <c r="G83" s="139"/>
      <c r="H83" s="139"/>
      <c r="I83" s="139"/>
      <c r="J83" s="139"/>
      <c r="K83" s="139"/>
      <c r="L83" s="139"/>
      <c r="M83" s="139"/>
      <c r="N83" s="139"/>
      <c r="O83" s="139"/>
      <c r="P83" s="139"/>
      <c r="Q83" s="139"/>
      <c r="R83" s="139"/>
      <c r="S83" s="139"/>
    </row>
    <row r="84" spans="1:19" x14ac:dyDescent="0.2">
      <c r="A84" s="139"/>
      <c r="B84" s="139"/>
      <c r="C84" s="139"/>
      <c r="D84" s="139"/>
      <c r="E84" s="139"/>
      <c r="F84" s="139"/>
      <c r="G84" s="139"/>
      <c r="H84" s="139"/>
      <c r="I84" s="139"/>
      <c r="J84" s="139"/>
      <c r="K84" s="139"/>
      <c r="L84" s="139"/>
      <c r="M84" s="139"/>
      <c r="N84" s="139"/>
      <c r="O84" s="139"/>
      <c r="P84" s="139"/>
      <c r="Q84" s="139"/>
      <c r="R84" s="139"/>
      <c r="S84" s="139"/>
    </row>
    <row r="85" spans="1:19" x14ac:dyDescent="0.2">
      <c r="A85" s="139"/>
      <c r="B85" s="139"/>
      <c r="C85" s="139"/>
      <c r="D85" s="139"/>
      <c r="E85" s="139"/>
      <c r="F85" s="139"/>
      <c r="G85" s="139"/>
      <c r="H85" s="139"/>
      <c r="I85" s="139"/>
      <c r="J85" s="139"/>
      <c r="K85" s="139"/>
      <c r="L85" s="139"/>
      <c r="M85" s="139"/>
      <c r="N85" s="139"/>
      <c r="O85" s="139"/>
      <c r="P85" s="139"/>
      <c r="Q85" s="139"/>
      <c r="R85" s="139"/>
      <c r="S85" s="139"/>
    </row>
    <row r="86" spans="1:19" x14ac:dyDescent="0.2">
      <c r="A86" s="139"/>
      <c r="B86" s="139"/>
      <c r="C86" s="139"/>
      <c r="D86" s="139"/>
      <c r="E86" s="139"/>
      <c r="F86" s="139"/>
      <c r="G86" s="139"/>
      <c r="H86" s="139"/>
      <c r="I86" s="139"/>
      <c r="J86" s="139"/>
      <c r="K86" s="139"/>
      <c r="L86" s="139"/>
      <c r="M86" s="139"/>
      <c r="N86" s="139"/>
      <c r="O86" s="139"/>
      <c r="P86" s="139"/>
      <c r="Q86" s="139"/>
      <c r="R86" s="139"/>
      <c r="S86" s="139"/>
    </row>
    <row r="87" spans="1:19" x14ac:dyDescent="0.2">
      <c r="A87" s="139"/>
      <c r="B87" s="139"/>
      <c r="C87" s="139"/>
      <c r="D87" s="139"/>
      <c r="E87" s="139"/>
      <c r="F87" s="139"/>
      <c r="G87" s="139"/>
      <c r="H87" s="139"/>
      <c r="I87" s="139"/>
      <c r="J87" s="139"/>
      <c r="K87" s="139"/>
      <c r="L87" s="139"/>
      <c r="M87" s="139"/>
      <c r="N87" s="139"/>
      <c r="O87" s="139"/>
      <c r="P87" s="139"/>
      <c r="Q87" s="139"/>
      <c r="R87" s="139"/>
      <c r="S87" s="139"/>
    </row>
    <row r="88" spans="1:19" x14ac:dyDescent="0.2">
      <c r="A88" s="139"/>
      <c r="B88" s="139"/>
      <c r="C88" s="139"/>
      <c r="D88" s="139"/>
      <c r="E88" s="139"/>
      <c r="F88" s="139"/>
      <c r="G88" s="139"/>
      <c r="H88" s="139"/>
      <c r="I88" s="139"/>
      <c r="J88" s="139"/>
      <c r="K88" s="139"/>
      <c r="L88" s="139"/>
      <c r="M88" s="139"/>
      <c r="N88" s="139"/>
      <c r="O88" s="139"/>
      <c r="P88" s="139"/>
      <c r="Q88" s="139"/>
      <c r="R88" s="139"/>
      <c r="S88" s="139"/>
    </row>
    <row r="89" spans="1:19" x14ac:dyDescent="0.2">
      <c r="A89" s="139"/>
      <c r="B89" s="139"/>
      <c r="C89" s="139"/>
      <c r="D89" s="139"/>
      <c r="E89" s="139"/>
      <c r="F89" s="139"/>
      <c r="G89" s="139"/>
      <c r="H89" s="139"/>
      <c r="I89" s="139"/>
      <c r="J89" s="139"/>
      <c r="K89" s="139"/>
      <c r="L89" s="139"/>
      <c r="M89" s="139"/>
      <c r="N89" s="139"/>
      <c r="O89" s="139"/>
      <c r="P89" s="139"/>
      <c r="Q89" s="139"/>
      <c r="R89" s="139"/>
      <c r="S89" s="139"/>
    </row>
    <row r="90" spans="1:19" x14ac:dyDescent="0.2">
      <c r="A90" s="139"/>
      <c r="B90" s="139"/>
      <c r="C90" s="139"/>
      <c r="D90" s="139"/>
      <c r="E90" s="139"/>
      <c r="F90" s="139"/>
      <c r="G90" s="139"/>
      <c r="H90" s="139"/>
      <c r="I90" s="139"/>
      <c r="J90" s="139"/>
      <c r="K90" s="139"/>
      <c r="L90" s="139"/>
      <c r="M90" s="139"/>
      <c r="N90" s="139"/>
      <c r="O90" s="139"/>
      <c r="P90" s="139"/>
      <c r="Q90" s="139"/>
      <c r="R90" s="139"/>
      <c r="S90" s="139"/>
    </row>
    <row r="91" spans="1:19" x14ac:dyDescent="0.2">
      <c r="A91" s="139"/>
      <c r="B91" s="139"/>
      <c r="C91" s="139"/>
      <c r="D91" s="139"/>
      <c r="E91" s="139"/>
      <c r="F91" s="139"/>
      <c r="G91" s="139"/>
      <c r="H91" s="139"/>
      <c r="I91" s="139"/>
      <c r="J91" s="139"/>
      <c r="K91" s="139"/>
      <c r="L91" s="139"/>
      <c r="M91" s="139"/>
      <c r="N91" s="139"/>
      <c r="O91" s="139"/>
      <c r="P91" s="139"/>
      <c r="Q91" s="139"/>
      <c r="R91" s="139"/>
      <c r="S91" s="139"/>
    </row>
    <row r="92" spans="1:19" x14ac:dyDescent="0.2">
      <c r="A92" s="139"/>
      <c r="B92" s="139"/>
      <c r="C92" s="139"/>
      <c r="D92" s="139"/>
      <c r="E92" s="139"/>
      <c r="F92" s="139"/>
      <c r="G92" s="139"/>
      <c r="H92" s="139"/>
      <c r="I92" s="139"/>
      <c r="J92" s="139"/>
      <c r="K92" s="139"/>
      <c r="L92" s="139"/>
      <c r="M92" s="139"/>
      <c r="N92" s="139"/>
      <c r="O92" s="139"/>
      <c r="P92" s="139"/>
      <c r="Q92" s="139"/>
      <c r="R92" s="139"/>
      <c r="S92" s="139"/>
    </row>
    <row r="93" spans="1:19" x14ac:dyDescent="0.2">
      <c r="A93" s="139"/>
      <c r="B93" s="139"/>
      <c r="C93" s="139"/>
      <c r="D93" s="139"/>
      <c r="E93" s="139"/>
      <c r="F93" s="139"/>
      <c r="G93" s="139"/>
      <c r="H93" s="139"/>
      <c r="I93" s="139"/>
      <c r="J93" s="139"/>
      <c r="K93" s="139"/>
      <c r="L93" s="139"/>
      <c r="M93" s="139"/>
      <c r="N93" s="139"/>
      <c r="O93" s="139"/>
      <c r="P93" s="139"/>
      <c r="Q93" s="139"/>
      <c r="R93" s="139"/>
      <c r="S93" s="139"/>
    </row>
    <row r="94" spans="1:19" x14ac:dyDescent="0.2">
      <c r="A94" s="139"/>
      <c r="B94" s="139"/>
      <c r="C94" s="139"/>
      <c r="D94" s="139"/>
      <c r="E94" s="139"/>
      <c r="F94" s="139"/>
      <c r="G94" s="139"/>
      <c r="H94" s="139"/>
      <c r="I94" s="139"/>
      <c r="J94" s="139"/>
      <c r="K94" s="139"/>
      <c r="L94" s="139"/>
      <c r="M94" s="139"/>
      <c r="N94" s="139"/>
      <c r="O94" s="139"/>
      <c r="P94" s="139"/>
      <c r="Q94" s="139"/>
      <c r="R94" s="139"/>
      <c r="S94" s="139"/>
    </row>
    <row r="95" spans="1:19" x14ac:dyDescent="0.2">
      <c r="A95" s="139"/>
      <c r="B95" s="139"/>
      <c r="C95" s="139"/>
      <c r="D95" s="139"/>
      <c r="E95" s="139"/>
      <c r="F95" s="139"/>
      <c r="G95" s="139"/>
      <c r="H95" s="139"/>
      <c r="I95" s="139"/>
      <c r="J95" s="139"/>
      <c r="K95" s="139"/>
      <c r="L95" s="139"/>
      <c r="M95" s="139"/>
      <c r="N95" s="139"/>
      <c r="O95" s="139"/>
      <c r="P95" s="139"/>
      <c r="Q95" s="139"/>
      <c r="R95" s="139"/>
      <c r="S95" s="139"/>
    </row>
    <row r="96" spans="1:19" x14ac:dyDescent="0.2">
      <c r="A96" s="139"/>
      <c r="B96" s="139"/>
      <c r="C96" s="139"/>
      <c r="D96" s="139"/>
      <c r="E96" s="139"/>
      <c r="F96" s="139"/>
      <c r="G96" s="139"/>
      <c r="H96" s="139"/>
      <c r="I96" s="139"/>
      <c r="J96" s="139"/>
      <c r="K96" s="139"/>
      <c r="L96" s="139"/>
      <c r="M96" s="139"/>
      <c r="N96" s="139"/>
      <c r="O96" s="139"/>
      <c r="P96" s="139"/>
      <c r="Q96" s="139"/>
      <c r="R96" s="139"/>
      <c r="S96" s="139"/>
    </row>
    <row r="97" spans="1:19" x14ac:dyDescent="0.2">
      <c r="A97" s="139"/>
      <c r="B97" s="139"/>
      <c r="C97" s="139"/>
      <c r="D97" s="139"/>
      <c r="E97" s="139"/>
      <c r="F97" s="139"/>
      <c r="G97" s="139"/>
      <c r="H97" s="139"/>
      <c r="I97" s="139"/>
      <c r="J97" s="139"/>
      <c r="K97" s="139"/>
      <c r="L97" s="139"/>
      <c r="M97" s="139"/>
      <c r="N97" s="139"/>
      <c r="O97" s="139"/>
      <c r="P97" s="139"/>
      <c r="Q97" s="139"/>
      <c r="R97" s="139"/>
      <c r="S97" s="139"/>
    </row>
    <row r="98" spans="1:19" x14ac:dyDescent="0.2">
      <c r="A98" s="139"/>
      <c r="B98" s="139"/>
      <c r="C98" s="139"/>
      <c r="D98" s="139"/>
      <c r="E98" s="139"/>
      <c r="F98" s="139"/>
      <c r="G98" s="139"/>
      <c r="H98" s="139"/>
      <c r="I98" s="139"/>
      <c r="J98" s="139"/>
      <c r="K98" s="139"/>
      <c r="L98" s="139"/>
      <c r="M98" s="139"/>
      <c r="N98" s="139"/>
      <c r="O98" s="139"/>
      <c r="P98" s="139"/>
      <c r="Q98" s="139"/>
      <c r="R98" s="139"/>
      <c r="S98" s="139"/>
    </row>
    <row r="99" spans="1:19" x14ac:dyDescent="0.2">
      <c r="A99" s="139"/>
      <c r="B99" s="139"/>
      <c r="C99" s="139"/>
      <c r="D99" s="139"/>
      <c r="E99" s="139"/>
      <c r="F99" s="139"/>
      <c r="G99" s="139"/>
      <c r="H99" s="139"/>
      <c r="I99" s="139"/>
      <c r="J99" s="139"/>
      <c r="K99" s="139"/>
      <c r="L99" s="139"/>
      <c r="M99" s="139"/>
      <c r="N99" s="139"/>
      <c r="O99" s="139"/>
      <c r="P99" s="139"/>
      <c r="Q99" s="139"/>
      <c r="R99" s="139"/>
      <c r="S99" s="139"/>
    </row>
    <row r="100" spans="1:19" x14ac:dyDescent="0.2">
      <c r="A100" s="139"/>
      <c r="B100" s="139"/>
      <c r="C100" s="139"/>
      <c r="D100" s="139"/>
      <c r="E100" s="139"/>
      <c r="F100" s="139"/>
      <c r="G100" s="139"/>
      <c r="H100" s="139"/>
      <c r="I100" s="139"/>
      <c r="J100" s="139"/>
      <c r="K100" s="139"/>
      <c r="L100" s="139"/>
      <c r="M100" s="139"/>
      <c r="N100" s="139"/>
      <c r="O100" s="139"/>
      <c r="P100" s="139"/>
      <c r="Q100" s="139"/>
      <c r="R100" s="139"/>
      <c r="S100" s="139"/>
    </row>
  </sheetData>
  <sheetProtection formatCells="0" formatColumns="0" formatRows="0" insertColumns="0" insertRows="0" insertHyperlinks="0" deleteColumns="0" deleteRows="0" sort="0" autoFilter="0" pivotTables="0"/>
  <autoFilter ref="A16:S5040" xr:uid="{F1B10727-D1A5-449E-A390-D87BEE2D0E91}"/>
  <dataConsolidate/>
  <mergeCells count="13">
    <mergeCell ref="A9:B9"/>
    <mergeCell ref="B3:D3"/>
    <mergeCell ref="A6:B6"/>
    <mergeCell ref="A7:B7"/>
    <mergeCell ref="A8:B8"/>
    <mergeCell ref="A14:J14"/>
    <mergeCell ref="A11:J11"/>
    <mergeCell ref="F12:G12"/>
    <mergeCell ref="F13:G13"/>
    <mergeCell ref="A12:B12"/>
    <mergeCell ref="A13:B13"/>
    <mergeCell ref="D12:E12"/>
    <mergeCell ref="D13:E13"/>
  </mergeCells>
  <phoneticPr fontId="0" type="noConversion"/>
  <conditionalFormatting sqref="A13:C13">
    <cfRule type="cellIs" priority="16" operator="equal">
      <formula>0</formula>
    </cfRule>
    <cfRule type="cellIs" dxfId="23" priority="17" operator="equal">
      <formula>0</formula>
    </cfRule>
    <cfRule type="cellIs" dxfId="22" priority="18" operator="equal">
      <formula>0</formula>
    </cfRule>
  </conditionalFormatting>
  <conditionalFormatting sqref="A17:S5040">
    <cfRule type="expression" dxfId="21" priority="7">
      <formula>$O17="Low"</formula>
    </cfRule>
    <cfRule type="expression" dxfId="20" priority="8">
      <formula>$O17="Moderate"</formula>
    </cfRule>
    <cfRule type="expression" dxfId="19" priority="9">
      <formula>$O17="High"</formula>
    </cfRule>
    <cfRule type="expression" dxfId="18" priority="11">
      <formula>$O17="Critical"</formula>
    </cfRule>
  </conditionalFormatting>
  <conditionalFormatting sqref="P16">
    <cfRule type="expression" dxfId="17" priority="2">
      <formula>$O16="Low"</formula>
    </cfRule>
    <cfRule type="expression" dxfId="16" priority="3">
      <formula>$O16="Moderate"</formula>
    </cfRule>
    <cfRule type="expression" dxfId="15" priority="4">
      <formula>$O16="High"</formula>
    </cfRule>
    <cfRule type="expression" dxfId="14" priority="5">
      <formula>$O16="Critical"</formula>
    </cfRule>
  </conditionalFormatting>
  <conditionalFormatting sqref="P17:P499">
    <cfRule type="expression" dxfId="13" priority="1">
      <formula>$N17="Risk Accepted"</formula>
    </cfRule>
  </conditionalFormatting>
  <dataValidations count="2">
    <dataValidation type="custom" showInputMessage="1" showErrorMessage="1" errorTitle="Enter Column P" error="If Finding Status = Risk Accepted, please enter the Risk Acceptance Form title in Column P." sqref="P1:P19 P21:P1048576" xr:uid="{FCBB581F-08C5-45AE-9322-5913EAD86D75}">
      <formula1>OR($N1&lt;&gt;"Risk Accepted", AND($N1="Risk Accepted", $P1&lt;&gt;""))</formula1>
    </dataValidation>
    <dataValidation type="custom" showInputMessage="1" showErrorMessage="1" errorTitle="Enter Column P" error="If Finding Status = Risk Accepted, please enter the Risk Acceptance Form title in Column P." promptTitle="Enter RA Form title" sqref="P20" xr:uid="{37E4051A-E92E-4612-81B6-E68A58E6BAFD}">
      <formula1>OR($N20&lt;&gt;"Risk Accepted", AND($N20="Risk Accepted", $P20&lt;&gt;""))</formula1>
    </dataValidation>
  </dataValidations>
  <pageMargins left="0.75" right="0.75" top="1" bottom="1" header="0.5" footer="0.5"/>
  <pageSetup paperSize="17" scale="45" fitToHeight="0" orientation="landscape" r:id="rId1"/>
  <headerFooter alignWithMargins="0"/>
  <drawing r:id="rId2"/>
  <legacyDrawing r:id="rId3"/>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100-000000000000}">
          <x14:formula1>
            <xm:f>'Data Sheet'!$C$2:$C$8</xm:f>
          </x14:formula1>
          <xm:sqref>J13</xm:sqref>
        </x14:dataValidation>
        <x14:dataValidation type="list" allowBlank="1" showInputMessage="1" showErrorMessage="1" xr:uid="{00000000-0002-0000-0100-000003000000}">
          <x14:formula1>
            <xm:f>'Data Sheet'!$B$2:$B$6</xm:f>
          </x14:formula1>
          <xm:sqref>O17:O5040</xm:sqref>
        </x14:dataValidation>
        <x14:dataValidation type="list" allowBlank="1" showInputMessage="1" showErrorMessage="1" xr:uid="{A67E0876-C294-4E2E-88E3-CAF3075AD57A}">
          <x14:formula1>
            <xm:f>'Data Sheet'!$A$3:$A$6</xm:f>
          </x14:formula1>
          <xm:sqref>N101:N5040</xm:sqref>
        </x14:dataValidation>
        <x14:dataValidation type="list" allowBlank="1" showInputMessage="1" showErrorMessage="1" xr:uid="{00000000-0002-0000-0100-000001000000}">
          <x14:formula1>
            <xm:f>'Data Sheet'!$D$2:$D$13</xm:f>
          </x14:formula1>
          <xm:sqref>C9:D9</xm:sqref>
        </x14:dataValidation>
        <x14:dataValidation type="list" allowBlank="1" showInputMessage="1" showErrorMessage="1" xr:uid="{00000000-0002-0000-0100-000004000000}">
          <x14:formula1>
            <xm:f>'Data Sheet'!$E$2:$E$30</xm:f>
          </x14:formula1>
          <xm:sqref>B17:B5040</xm:sqref>
        </x14:dataValidation>
        <x14:dataValidation type="list" allowBlank="1" showInputMessage="1" showErrorMessage="1" xr:uid="{DE461E02-0A54-4873-B727-701CE32DEF6C}">
          <x14:formula1>
            <xm:f>'Data Sheet'!$F$2:$F$3</xm:f>
          </x14:formula1>
          <xm:sqref>Q17:Q5040</xm:sqref>
        </x14:dataValidation>
        <x14:dataValidation type="list" allowBlank="1" showInputMessage="1" showErrorMessage="1" xr:uid="{436C0C75-BFA6-49C0-8B7D-E754BC68DC95}">
          <x14:formula1>
            <xm:f>'Data Sheet'!$A$2:$A$6</xm:f>
          </x14:formula1>
          <xm:sqref>N17:N100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3C7E1-EF06-4132-B6C9-A1892426DC12}">
  <sheetPr codeName="Sheet7"/>
  <dimension ref="A2:P12"/>
  <sheetViews>
    <sheetView zoomScale="115" zoomScaleNormal="115" workbookViewId="0">
      <pane ySplit="12" topLeftCell="A13" activePane="bottomLeft" state="frozen"/>
      <selection pane="bottomLeft" activeCell="I18" sqref="I18"/>
    </sheetView>
  </sheetViews>
  <sheetFormatPr defaultRowHeight="12.75" x14ac:dyDescent="0.2"/>
  <cols>
    <col min="1" max="2" width="15.28515625" customWidth="1"/>
    <col min="3" max="4" width="13" customWidth="1"/>
    <col min="5" max="5" width="13.7109375" customWidth="1"/>
    <col min="6" max="6" width="14.140625" customWidth="1"/>
    <col min="7" max="7" width="11.42578125" customWidth="1"/>
    <col min="8" max="8" width="23.5703125" customWidth="1"/>
    <col min="9" max="9" width="19.85546875" customWidth="1"/>
    <col min="10" max="11" width="15.7109375" customWidth="1"/>
    <col min="12" max="12" width="21.85546875" customWidth="1"/>
    <col min="13" max="13" width="20.7109375" customWidth="1"/>
    <col min="14" max="15" width="15.7109375" customWidth="1"/>
  </cols>
  <sheetData>
    <row r="2" spans="1:16" x14ac:dyDescent="0.2">
      <c r="M2" s="214" t="s">
        <v>248</v>
      </c>
      <c r="N2" s="214"/>
      <c r="O2" s="214"/>
    </row>
    <row r="3" spans="1:16" ht="20.25" customHeight="1" x14ac:dyDescent="0.2">
      <c r="H3" s="141" t="s">
        <v>40</v>
      </c>
      <c r="I3" s="73"/>
      <c r="J3" s="73"/>
      <c r="M3" s="214"/>
      <c r="N3" s="214"/>
      <c r="O3" s="214"/>
    </row>
    <row r="4" spans="1:16" ht="15.75" x14ac:dyDescent="0.2">
      <c r="H4" s="142" t="str">
        <f>'POA&amp;M Metrics'!B4</f>
        <v>Version 6.1.4, Dated March 11, 2026</v>
      </c>
      <c r="I4" s="142"/>
      <c r="J4" s="74"/>
      <c r="M4" s="215" t="s">
        <v>225</v>
      </c>
      <c r="N4" s="215"/>
      <c r="O4" s="215"/>
    </row>
    <row r="5" spans="1:16" x14ac:dyDescent="0.2">
      <c r="M5" s="215" t="s">
        <v>226</v>
      </c>
      <c r="N5" s="215"/>
      <c r="O5" s="215"/>
    </row>
    <row r="6" spans="1:16" ht="12.75" customHeight="1" x14ac:dyDescent="0.2">
      <c r="G6" s="144" t="s">
        <v>223</v>
      </c>
      <c r="H6" s="189" t="s">
        <v>272</v>
      </c>
      <c r="M6" s="215" t="s">
        <v>227</v>
      </c>
      <c r="N6" s="215"/>
      <c r="O6" s="215"/>
    </row>
    <row r="7" spans="1:16" ht="12.75" customHeight="1" x14ac:dyDescent="0.2">
      <c r="H7" s="213" t="s">
        <v>224</v>
      </c>
      <c r="I7" s="213"/>
      <c r="J7" s="213"/>
      <c r="K7" s="213"/>
      <c r="L7" s="213"/>
      <c r="M7" s="215" t="s">
        <v>228</v>
      </c>
      <c r="N7" s="215"/>
      <c r="O7" s="215"/>
      <c r="P7" s="61"/>
    </row>
    <row r="8" spans="1:16" ht="12.75" customHeight="1" x14ac:dyDescent="0.2">
      <c r="H8" s="213" t="s">
        <v>249</v>
      </c>
      <c r="I8" s="213"/>
      <c r="J8" s="213"/>
      <c r="K8" s="213"/>
      <c r="L8" s="213"/>
      <c r="N8" s="157"/>
      <c r="O8" s="157"/>
      <c r="P8" s="157"/>
    </row>
    <row r="9" spans="1:16" ht="12.75" customHeight="1" x14ac:dyDescent="0.2">
      <c r="H9" s="213" t="s">
        <v>246</v>
      </c>
      <c r="I9" s="213"/>
      <c r="J9" s="213"/>
      <c r="K9" s="213"/>
      <c r="L9" s="213"/>
      <c r="M9" s="213"/>
      <c r="N9" s="157"/>
      <c r="O9" s="157"/>
      <c r="P9" s="157"/>
    </row>
    <row r="10" spans="1:16" ht="12.75" customHeight="1" thickBot="1" x14ac:dyDescent="0.25">
      <c r="H10" s="177"/>
      <c r="I10" s="177"/>
      <c r="J10" s="177"/>
      <c r="K10" s="177"/>
      <c r="L10" s="177"/>
      <c r="M10" s="177"/>
      <c r="N10" s="157"/>
      <c r="O10" s="157"/>
      <c r="P10" s="157"/>
    </row>
    <row r="11" spans="1:16" ht="13.5" thickBot="1" x14ac:dyDescent="0.25">
      <c r="A11" s="182"/>
      <c r="B11" s="188" t="s">
        <v>270</v>
      </c>
      <c r="C11" s="183"/>
      <c r="D11" s="187" t="s">
        <v>271</v>
      </c>
      <c r="E11" s="184"/>
      <c r="F11" s="184"/>
      <c r="G11" s="184"/>
      <c r="H11" s="185"/>
      <c r="I11" s="185"/>
      <c r="J11" s="185"/>
      <c r="K11" s="185"/>
      <c r="L11" s="185"/>
      <c r="M11" s="185"/>
      <c r="N11" s="185"/>
      <c r="O11" s="186"/>
      <c r="P11" s="157"/>
    </row>
    <row r="12" spans="1:16" ht="13.5" thickBot="1" x14ac:dyDescent="0.25">
      <c r="A12" s="178" t="s">
        <v>222</v>
      </c>
      <c r="B12" s="179" t="s">
        <v>244</v>
      </c>
      <c r="C12" s="179" t="s">
        <v>221</v>
      </c>
      <c r="D12" s="180" t="s">
        <v>234</v>
      </c>
      <c r="E12" s="180" t="s">
        <v>212</v>
      </c>
      <c r="F12" s="180" t="s">
        <v>213</v>
      </c>
      <c r="G12" s="180" t="s">
        <v>214</v>
      </c>
      <c r="H12" s="180" t="s">
        <v>267</v>
      </c>
      <c r="I12" s="180" t="s">
        <v>215</v>
      </c>
      <c r="J12" s="180" t="s">
        <v>216</v>
      </c>
      <c r="K12" s="180" t="s">
        <v>217</v>
      </c>
      <c r="L12" s="180" t="s">
        <v>75</v>
      </c>
      <c r="M12" s="180" t="s">
        <v>218</v>
      </c>
      <c r="N12" s="180" t="s">
        <v>219</v>
      </c>
      <c r="O12" s="181" t="s">
        <v>220</v>
      </c>
    </row>
  </sheetData>
  <mergeCells count="8">
    <mergeCell ref="H9:M9"/>
    <mergeCell ref="M2:O3"/>
    <mergeCell ref="H8:L8"/>
    <mergeCell ref="M4:O4"/>
    <mergeCell ref="M5:O5"/>
    <mergeCell ref="M6:O6"/>
    <mergeCell ref="M7:O7"/>
    <mergeCell ref="H7:L7"/>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8C562C7-6597-4AC6-B578-4AE56196DD8F}">
          <x14:formula1>
            <xm:f>'Data Sheet'!$G$2:$G$7</xm:f>
          </x14:formula1>
          <xm:sqref>D13:D612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E825A-41F6-42AD-9C2F-FA8E2EFBA837}">
  <sheetPr codeName="Sheet8"/>
  <dimension ref="A5:FF1487"/>
  <sheetViews>
    <sheetView showGridLines="0" zoomScale="80" zoomScaleNormal="80" workbookViewId="0">
      <selection activeCell="E16" sqref="E16"/>
    </sheetView>
  </sheetViews>
  <sheetFormatPr defaultRowHeight="12.75" x14ac:dyDescent="0.2"/>
  <cols>
    <col min="1" max="1" width="25.5703125" customWidth="1"/>
    <col min="2" max="2" width="20.28515625" customWidth="1"/>
    <col min="3" max="3" width="35.7109375" customWidth="1"/>
    <col min="4" max="4" width="22.42578125" customWidth="1"/>
    <col min="5" max="5" width="28.140625" customWidth="1"/>
    <col min="6" max="6" width="21.5703125" customWidth="1"/>
    <col min="7" max="7" width="28.7109375" customWidth="1"/>
    <col min="8" max="8" width="35" customWidth="1"/>
    <col min="9" max="9" width="22.7109375" customWidth="1"/>
    <col min="10" max="10" width="39.5703125" customWidth="1"/>
    <col min="11" max="11" width="17.7109375" customWidth="1"/>
    <col min="12" max="12" width="21.28515625" customWidth="1"/>
    <col min="13" max="13" width="22.28515625" customWidth="1"/>
    <col min="14" max="14" width="18.7109375" customWidth="1"/>
    <col min="15" max="16" width="23.7109375" customWidth="1"/>
    <col min="17" max="17" width="19.28515625" customWidth="1"/>
    <col min="18" max="18" width="21.7109375" customWidth="1"/>
  </cols>
  <sheetData>
    <row r="5" spans="1:18" ht="30.75" customHeight="1" x14ac:dyDescent="0.2"/>
    <row r="6" spans="1:18" ht="20.25" customHeight="1" x14ac:dyDescent="0.25">
      <c r="A6" s="211" t="s">
        <v>1</v>
      </c>
      <c r="B6" s="211"/>
      <c r="C6" s="130"/>
      <c r="D6" s="16"/>
      <c r="E6" s="16"/>
      <c r="F6" s="16"/>
      <c r="G6" s="16"/>
      <c r="H6" s="16"/>
      <c r="I6" s="16"/>
    </row>
    <row r="7" spans="1:18" ht="20.25" customHeight="1" x14ac:dyDescent="0.25">
      <c r="A7" s="211" t="s">
        <v>2</v>
      </c>
      <c r="B7" s="211"/>
      <c r="C7" s="130"/>
      <c r="D7" s="16"/>
      <c r="E7" s="16"/>
      <c r="F7" s="16"/>
      <c r="G7" s="16"/>
      <c r="H7" s="16"/>
      <c r="I7" s="16"/>
    </row>
    <row r="8" spans="1:18" ht="20.25" customHeight="1" x14ac:dyDescent="0.25">
      <c r="A8" s="211" t="s">
        <v>3</v>
      </c>
      <c r="B8" s="211"/>
      <c r="C8" s="130"/>
      <c r="D8" s="16"/>
      <c r="E8" s="16"/>
      <c r="F8" s="16"/>
      <c r="G8" s="16"/>
      <c r="H8" s="16"/>
      <c r="I8" s="16"/>
    </row>
    <row r="9" spans="1:18" ht="18.75" customHeight="1" x14ac:dyDescent="0.25">
      <c r="A9" s="211" t="s">
        <v>4</v>
      </c>
      <c r="B9" s="211"/>
      <c r="C9" s="130"/>
      <c r="D9" s="16"/>
      <c r="E9" s="16"/>
      <c r="F9" s="16"/>
      <c r="G9" s="16"/>
      <c r="H9" s="16"/>
      <c r="I9" s="16"/>
    </row>
    <row r="10" spans="1:18" ht="15.75" customHeight="1" x14ac:dyDescent="0.25">
      <c r="A10" s="1"/>
      <c r="B10" s="1"/>
      <c r="C10" s="1"/>
      <c r="D10" s="1"/>
      <c r="E10" s="1"/>
      <c r="F10" s="1"/>
      <c r="G10" s="1"/>
      <c r="H10" s="1"/>
      <c r="I10" s="1"/>
      <c r="J10" s="1"/>
    </row>
    <row r="11" spans="1:18" ht="12.75" customHeight="1" x14ac:dyDescent="0.2">
      <c r="A11" s="228"/>
      <c r="B11" s="228"/>
      <c r="C11" s="228"/>
      <c r="D11" s="229"/>
      <c r="E11" s="229"/>
      <c r="F11" s="228"/>
      <c r="G11" s="228"/>
      <c r="H11" s="228"/>
      <c r="I11" s="228"/>
    </row>
    <row r="12" spans="1:18" s="61" customFormat="1" ht="42.4" customHeight="1" x14ac:dyDescent="0.2">
      <c r="A12" s="221" t="s">
        <v>41</v>
      </c>
      <c r="B12" s="222"/>
      <c r="C12" s="129" t="s">
        <v>42</v>
      </c>
      <c r="D12" s="230" t="s">
        <v>43</v>
      </c>
      <c r="E12" s="230"/>
      <c r="F12" s="224" t="s">
        <v>44</v>
      </c>
      <c r="G12" s="225"/>
      <c r="H12" s="128" t="s">
        <v>45</v>
      </c>
      <c r="I12" s="127" t="s">
        <v>46</v>
      </c>
      <c r="J12" s="127" t="s">
        <v>47</v>
      </c>
    </row>
    <row r="13" spans="1:18" s="61" customFormat="1" ht="18.75" customHeight="1" x14ac:dyDescent="0.2">
      <c r="A13" s="206" t="e">
        <f>#REF!</f>
        <v>#REF!</v>
      </c>
      <c r="B13" s="207"/>
      <c r="C13" s="126"/>
      <c r="D13" s="223" t="s">
        <v>49</v>
      </c>
      <c r="E13" s="223"/>
      <c r="F13" s="226" t="s">
        <v>49</v>
      </c>
      <c r="G13" s="227"/>
      <c r="H13" s="125" t="s">
        <v>49</v>
      </c>
      <c r="I13" s="124" t="s">
        <v>49</v>
      </c>
      <c r="J13" s="123"/>
    </row>
    <row r="14" spans="1:18" x14ac:dyDescent="0.2">
      <c r="A14" s="229"/>
      <c r="B14" s="229"/>
      <c r="C14" s="229"/>
      <c r="D14" s="229"/>
      <c r="E14" s="229"/>
      <c r="F14" s="229"/>
      <c r="G14" s="229"/>
      <c r="H14" s="229"/>
      <c r="I14" s="229"/>
    </row>
    <row r="16" spans="1:18" s="61" customFormat="1" ht="32.65" customHeight="1" x14ac:dyDescent="0.2">
      <c r="A16" s="122" t="s">
        <v>66</v>
      </c>
      <c r="B16" s="121" t="s">
        <v>67</v>
      </c>
      <c r="C16" s="121" t="s">
        <v>68</v>
      </c>
      <c r="D16" s="121" t="s">
        <v>52</v>
      </c>
      <c r="E16" s="121" t="s">
        <v>188</v>
      </c>
      <c r="F16" s="121" t="s">
        <v>54</v>
      </c>
      <c r="G16" s="121" t="s">
        <v>55</v>
      </c>
      <c r="H16" s="121" t="s">
        <v>56</v>
      </c>
      <c r="I16" s="121" t="s">
        <v>183</v>
      </c>
      <c r="J16" s="121" t="s">
        <v>57</v>
      </c>
      <c r="K16" s="121" t="s">
        <v>69</v>
      </c>
      <c r="L16" s="121" t="s">
        <v>187</v>
      </c>
      <c r="M16" s="121" t="s">
        <v>60</v>
      </c>
      <c r="N16" s="121" t="s">
        <v>61</v>
      </c>
      <c r="O16" s="121" t="s">
        <v>62</v>
      </c>
      <c r="P16" s="121" t="s">
        <v>189</v>
      </c>
      <c r="Q16" s="121" t="s">
        <v>63</v>
      </c>
      <c r="R16" s="121" t="s">
        <v>64</v>
      </c>
    </row>
    <row r="17" spans="1:162" s="61" customFormat="1" ht="15" customHeight="1" x14ac:dyDescent="0.2">
      <c r="A17" s="120"/>
      <c r="B17" s="119"/>
      <c r="C17" s="119"/>
      <c r="D17" s="118"/>
      <c r="E17" s="118"/>
      <c r="F17" s="113"/>
      <c r="G17" s="113"/>
      <c r="H17" s="113"/>
      <c r="I17" s="112"/>
      <c r="J17" s="113"/>
      <c r="K17" s="113"/>
      <c r="L17" s="113"/>
      <c r="M17" s="117"/>
      <c r="N17" s="113"/>
      <c r="O17" s="116"/>
      <c r="P17" s="113"/>
      <c r="Q17" s="113"/>
      <c r="R17" s="113"/>
      <c r="S17" s="108"/>
      <c r="T17" s="108"/>
    </row>
    <row r="18" spans="1:162" s="61" customFormat="1" ht="15" customHeight="1" thickBot="1" x14ac:dyDescent="0.25">
      <c r="A18" s="67"/>
      <c r="B18" s="67"/>
      <c r="C18" s="67"/>
      <c r="D18" s="115"/>
      <c r="E18" s="115"/>
      <c r="F18" s="115"/>
      <c r="G18" s="113"/>
      <c r="H18" s="114"/>
      <c r="I18" s="112"/>
      <c r="J18" s="113"/>
      <c r="K18" s="113"/>
      <c r="L18" s="113"/>
      <c r="M18" s="112"/>
      <c r="N18" s="111"/>
      <c r="O18" s="109"/>
      <c r="P18" s="110"/>
      <c r="Q18" s="109"/>
      <c r="R18" s="109"/>
      <c r="S18" s="108"/>
      <c r="T18" s="108"/>
    </row>
    <row r="19" spans="1:162" x14ac:dyDescent="0.2">
      <c r="A19" s="107"/>
      <c r="B19" s="96"/>
      <c r="C19" s="96"/>
      <c r="D19" s="96"/>
      <c r="E19" s="96"/>
      <c r="F19" s="96"/>
      <c r="G19" s="96"/>
      <c r="H19" s="96"/>
      <c r="I19" s="96"/>
      <c r="J19" s="96"/>
      <c r="K19" s="96"/>
      <c r="L19" s="96"/>
      <c r="M19" s="96"/>
      <c r="N19" s="96"/>
      <c r="P19" s="106"/>
      <c r="Q19" s="106"/>
      <c r="R19" s="106"/>
      <c r="S19" s="106"/>
      <c r="T19" s="106"/>
      <c r="U19" s="106"/>
      <c r="V19" s="106"/>
      <c r="W19" s="106"/>
      <c r="X19" s="106"/>
      <c r="Y19" s="106"/>
      <c r="Z19" s="106"/>
      <c r="AA19" s="106"/>
      <c r="AB19" s="106"/>
      <c r="AC19" s="106"/>
      <c r="AD19" s="106"/>
      <c r="AE19" s="106"/>
      <c r="AF19" s="106"/>
      <c r="AG19" s="106"/>
      <c r="AH19" s="106"/>
      <c r="AI19" s="106"/>
      <c r="AJ19" s="97"/>
      <c r="AK19" s="97"/>
      <c r="AL19" s="97"/>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7"/>
      <c r="BQ19" s="97"/>
      <c r="BR19" s="97"/>
      <c r="BS19" s="97"/>
      <c r="BT19" s="97"/>
      <c r="BU19" s="97"/>
      <c r="BV19" s="97"/>
      <c r="BW19" s="97"/>
      <c r="BX19" s="97"/>
      <c r="BY19" s="97"/>
      <c r="BZ19" s="97"/>
      <c r="CA19" s="97"/>
      <c r="CB19" s="97"/>
      <c r="CC19" s="97"/>
      <c r="CD19" s="97"/>
      <c r="CE19" s="97"/>
      <c r="CF19" s="97"/>
      <c r="CG19" s="97"/>
      <c r="CH19" s="97"/>
      <c r="CI19" s="97"/>
      <c r="CJ19" s="97"/>
      <c r="CK19" s="97"/>
      <c r="CL19" s="97"/>
      <c r="CM19" s="97"/>
      <c r="CN19" s="97"/>
      <c r="CO19" s="97"/>
      <c r="CP19" s="97"/>
      <c r="CQ19" s="97"/>
      <c r="CR19" s="97"/>
      <c r="CS19" s="97"/>
      <c r="CT19" s="97"/>
      <c r="CU19" s="97"/>
      <c r="CV19" s="97"/>
      <c r="CW19" s="97"/>
      <c r="CX19" s="97"/>
      <c r="CY19" s="97"/>
      <c r="CZ19" s="97"/>
      <c r="DA19" s="97"/>
      <c r="DB19" s="97"/>
      <c r="DC19" s="97"/>
      <c r="DD19" s="97"/>
      <c r="DE19" s="97"/>
      <c r="DF19" s="97"/>
      <c r="DG19" s="97"/>
      <c r="DH19" s="97"/>
      <c r="DI19" s="97"/>
      <c r="DJ19" s="97"/>
      <c r="DK19" s="97"/>
      <c r="DL19" s="97"/>
      <c r="DM19" s="97"/>
      <c r="DN19" s="97"/>
      <c r="DO19" s="97"/>
      <c r="DP19" s="97"/>
      <c r="DQ19" s="97"/>
      <c r="DR19" s="97"/>
      <c r="DS19" s="97"/>
      <c r="DT19" s="97"/>
      <c r="DU19" s="97"/>
      <c r="DV19" s="97"/>
      <c r="DW19" s="97"/>
      <c r="DX19" s="97"/>
      <c r="DY19" s="97"/>
      <c r="DZ19" s="97"/>
      <c r="EA19" s="97"/>
      <c r="EB19" s="97"/>
      <c r="EC19" s="97"/>
      <c r="ED19" s="97"/>
      <c r="EE19" s="97"/>
      <c r="EF19" s="97"/>
      <c r="EG19" s="97"/>
      <c r="EH19" s="97"/>
      <c r="EI19" s="97"/>
      <c r="EJ19" s="97"/>
      <c r="EK19" s="97"/>
      <c r="EL19" s="97"/>
      <c r="EM19" s="97"/>
      <c r="EN19" s="97"/>
      <c r="EO19" s="97"/>
      <c r="EP19" s="97"/>
      <c r="EQ19" s="97"/>
      <c r="ER19" s="97"/>
      <c r="ES19" s="97"/>
      <c r="ET19" s="97"/>
      <c r="EU19" s="97"/>
      <c r="EV19" s="97"/>
      <c r="EW19" s="97"/>
      <c r="EX19" s="97"/>
      <c r="EY19" s="97"/>
      <c r="EZ19" s="97"/>
      <c r="FA19" s="97"/>
      <c r="FB19" s="97"/>
      <c r="FC19" s="97"/>
      <c r="FD19" s="97"/>
      <c r="FE19" s="97"/>
      <c r="FF19" s="97"/>
    </row>
    <row r="20" spans="1:162" s="97" customFormat="1" x14ac:dyDescent="0.2"/>
    <row r="21" spans="1:162" s="97" customFormat="1" x14ac:dyDescent="0.2"/>
    <row r="22" spans="1:162" s="97" customFormat="1" x14ac:dyDescent="0.2"/>
    <row r="23" spans="1:162" s="97" customFormat="1" x14ac:dyDescent="0.2"/>
    <row r="24" spans="1:162" s="97" customFormat="1" x14ac:dyDescent="0.2"/>
    <row r="25" spans="1:162" s="97" customFormat="1" x14ac:dyDescent="0.2"/>
    <row r="26" spans="1:162" s="97" customFormat="1" x14ac:dyDescent="0.2"/>
    <row r="27" spans="1:162" s="97" customFormat="1" x14ac:dyDescent="0.2"/>
    <row r="28" spans="1:162" s="97" customFormat="1" x14ac:dyDescent="0.2"/>
    <row r="29" spans="1:162" s="97" customFormat="1" x14ac:dyDescent="0.2"/>
    <row r="30" spans="1:162" s="97" customFormat="1" x14ac:dyDescent="0.2"/>
    <row r="31" spans="1:162" s="97" customFormat="1" x14ac:dyDescent="0.2"/>
    <row r="32" spans="1:162" s="97" customFormat="1" x14ac:dyDescent="0.2"/>
    <row r="33" spans="1:1" s="97" customFormat="1" x14ac:dyDescent="0.2"/>
    <row r="34" spans="1:1" s="97" customFormat="1" x14ac:dyDescent="0.2"/>
    <row r="35" spans="1:1" s="97" customFormat="1" x14ac:dyDescent="0.2"/>
    <row r="36" spans="1:1" s="97" customFormat="1" x14ac:dyDescent="0.2"/>
    <row r="37" spans="1:1" s="97" customFormat="1" x14ac:dyDescent="0.2"/>
    <row r="38" spans="1:1" s="97" customFormat="1" x14ac:dyDescent="0.2"/>
    <row r="39" spans="1:1" s="97" customFormat="1" x14ac:dyDescent="0.2">
      <c r="A39" s="105"/>
    </row>
    <row r="40" spans="1:1" s="97" customFormat="1" x14ac:dyDescent="0.2">
      <c r="A40" s="105"/>
    </row>
    <row r="41" spans="1:1" s="97" customFormat="1" x14ac:dyDescent="0.2">
      <c r="A41" s="105"/>
    </row>
    <row r="42" spans="1:1" s="97" customFormat="1" x14ac:dyDescent="0.2">
      <c r="A42" s="105"/>
    </row>
    <row r="43" spans="1:1" s="97" customFormat="1" x14ac:dyDescent="0.2">
      <c r="A43" s="105"/>
    </row>
    <row r="44" spans="1:1" s="97" customFormat="1" x14ac:dyDescent="0.2">
      <c r="A44" s="105"/>
    </row>
    <row r="45" spans="1:1" s="97" customFormat="1" x14ac:dyDescent="0.2">
      <c r="A45" s="105"/>
    </row>
    <row r="46" spans="1:1" s="97" customFormat="1" x14ac:dyDescent="0.2">
      <c r="A46" s="105"/>
    </row>
    <row r="47" spans="1:1" s="97" customFormat="1" x14ac:dyDescent="0.2">
      <c r="A47" s="105"/>
    </row>
    <row r="48" spans="1:1" s="97" customFormat="1" x14ac:dyDescent="0.2">
      <c r="A48" s="105"/>
    </row>
    <row r="49" spans="1:1" s="97" customFormat="1" x14ac:dyDescent="0.2">
      <c r="A49" s="105"/>
    </row>
    <row r="50" spans="1:1" s="97" customFormat="1" x14ac:dyDescent="0.2">
      <c r="A50" s="105"/>
    </row>
    <row r="51" spans="1:1" s="97" customFormat="1" x14ac:dyDescent="0.2">
      <c r="A51" s="105"/>
    </row>
    <row r="52" spans="1:1" s="97" customFormat="1" x14ac:dyDescent="0.2">
      <c r="A52" s="105"/>
    </row>
    <row r="53" spans="1:1" s="97" customFormat="1" x14ac:dyDescent="0.2">
      <c r="A53" s="105"/>
    </row>
    <row r="54" spans="1:1" s="97" customFormat="1" x14ac:dyDescent="0.2">
      <c r="A54" s="105"/>
    </row>
    <row r="55" spans="1:1" s="97" customFormat="1" x14ac:dyDescent="0.2">
      <c r="A55" s="105"/>
    </row>
    <row r="56" spans="1:1" s="97" customFormat="1" x14ac:dyDescent="0.2">
      <c r="A56" s="105"/>
    </row>
    <row r="57" spans="1:1" s="97" customFormat="1" ht="14.25" customHeight="1" x14ac:dyDescent="0.2">
      <c r="A57" s="102"/>
    </row>
    <row r="58" spans="1:1" s="97" customFormat="1" x14ac:dyDescent="0.2"/>
    <row r="59" spans="1:1" s="97" customFormat="1" x14ac:dyDescent="0.2">
      <c r="A59" s="105"/>
    </row>
    <row r="60" spans="1:1" s="97" customFormat="1" x14ac:dyDescent="0.2">
      <c r="A60" s="102"/>
    </row>
    <row r="61" spans="1:1" s="97" customFormat="1" x14ac:dyDescent="0.2">
      <c r="A61" s="102"/>
    </row>
    <row r="62" spans="1:1" s="97" customFormat="1" x14ac:dyDescent="0.2">
      <c r="A62" s="102"/>
    </row>
    <row r="63" spans="1:1" s="97" customFormat="1" x14ac:dyDescent="0.2">
      <c r="A63" s="102"/>
    </row>
    <row r="64" spans="1:1" s="97" customFormat="1" x14ac:dyDescent="0.2">
      <c r="A64" s="102"/>
    </row>
    <row r="65" spans="1:7" s="97" customFormat="1" x14ac:dyDescent="0.2">
      <c r="A65" s="102"/>
    </row>
    <row r="66" spans="1:7" s="97" customFormat="1" x14ac:dyDescent="0.2">
      <c r="A66" s="217"/>
      <c r="B66" s="217"/>
      <c r="C66" s="217"/>
      <c r="D66" s="217"/>
      <c r="E66" s="217"/>
      <c r="F66" s="217"/>
    </row>
    <row r="67" spans="1:7" s="97" customFormat="1" x14ac:dyDescent="0.2">
      <c r="A67" s="217"/>
      <c r="B67" s="217"/>
      <c r="C67" s="217"/>
      <c r="D67" s="217"/>
      <c r="E67" s="217"/>
      <c r="F67" s="217"/>
    </row>
    <row r="68" spans="1:7" s="97" customFormat="1" x14ac:dyDescent="0.2">
      <c r="A68" s="217"/>
      <c r="B68" s="217"/>
      <c r="C68" s="217"/>
      <c r="D68" s="217"/>
      <c r="E68" s="217"/>
      <c r="F68" s="217"/>
    </row>
    <row r="69" spans="1:7" s="97" customFormat="1" x14ac:dyDescent="0.2">
      <c r="A69" s="217"/>
      <c r="B69" s="217"/>
      <c r="C69" s="217"/>
      <c r="D69" s="217"/>
      <c r="E69" s="217"/>
      <c r="F69" s="217"/>
    </row>
    <row r="70" spans="1:7" s="97" customFormat="1" x14ac:dyDescent="0.2">
      <c r="A70" s="104"/>
      <c r="B70" s="104"/>
      <c r="C70" s="104"/>
      <c r="D70" s="104"/>
      <c r="E70" s="104"/>
      <c r="F70" s="104"/>
    </row>
    <row r="71" spans="1:7" s="97" customFormat="1" x14ac:dyDescent="0.2">
      <c r="A71" s="216"/>
      <c r="B71" s="216"/>
      <c r="C71" s="216"/>
      <c r="D71" s="216"/>
      <c r="E71" s="216"/>
      <c r="F71" s="216"/>
    </row>
    <row r="72" spans="1:7" s="97" customFormat="1" x14ac:dyDescent="0.2">
      <c r="A72" s="216"/>
      <c r="B72" s="216"/>
      <c r="C72" s="216"/>
      <c r="D72" s="216"/>
      <c r="E72" s="216"/>
      <c r="F72" s="216"/>
    </row>
    <row r="73" spans="1:7" s="97" customFormat="1" x14ac:dyDescent="0.2">
      <c r="A73" s="216"/>
      <c r="B73" s="216"/>
      <c r="C73" s="216"/>
      <c r="D73" s="216"/>
      <c r="E73" s="216"/>
      <c r="F73" s="216"/>
    </row>
    <row r="74" spans="1:7" s="97" customFormat="1" x14ac:dyDescent="0.2">
      <c r="A74" s="216"/>
      <c r="B74" s="216"/>
      <c r="C74" s="216"/>
      <c r="D74" s="216"/>
      <c r="E74" s="216"/>
      <c r="F74" s="216"/>
    </row>
    <row r="75" spans="1:7" s="97" customFormat="1" x14ac:dyDescent="0.2">
      <c r="A75" s="216"/>
      <c r="B75" s="216"/>
      <c r="C75" s="216"/>
      <c r="D75" s="216"/>
      <c r="E75" s="216"/>
      <c r="F75" s="216"/>
      <c r="G75" s="101"/>
    </row>
    <row r="76" spans="1:7" s="97" customFormat="1" x14ac:dyDescent="0.2">
      <c r="A76" s="101"/>
      <c r="B76" s="101"/>
      <c r="C76" s="101"/>
      <c r="D76" s="101"/>
      <c r="E76" s="101"/>
      <c r="F76" s="101"/>
      <c r="G76" s="101"/>
    </row>
    <row r="77" spans="1:7" s="97" customFormat="1" x14ac:dyDescent="0.2">
      <c r="A77" s="101"/>
      <c r="B77" s="104"/>
      <c r="C77" s="104"/>
      <c r="D77" s="104"/>
      <c r="E77" s="104"/>
      <c r="F77" s="104"/>
    </row>
    <row r="78" spans="1:7" s="97" customFormat="1" ht="26.25" customHeight="1" x14ac:dyDescent="0.2">
      <c r="A78" s="216"/>
      <c r="B78" s="216"/>
      <c r="C78" s="216"/>
      <c r="D78" s="216"/>
      <c r="E78" s="216"/>
      <c r="F78" s="216"/>
      <c r="G78" s="216"/>
    </row>
    <row r="79" spans="1:7" s="97" customFormat="1" ht="66.75" customHeight="1" x14ac:dyDescent="0.2">
      <c r="A79" s="216"/>
      <c r="B79" s="216"/>
      <c r="C79" s="216"/>
      <c r="D79" s="216"/>
      <c r="E79" s="216"/>
      <c r="F79" s="216"/>
      <c r="G79" s="216"/>
    </row>
    <row r="80" spans="1:7" s="97" customFormat="1" x14ac:dyDescent="0.2">
      <c r="A80" s="101"/>
      <c r="B80" s="101"/>
      <c r="C80" s="101"/>
      <c r="D80" s="101"/>
      <c r="E80" s="101"/>
      <c r="F80" s="101"/>
      <c r="G80" s="101"/>
    </row>
    <row r="81" spans="1:7" s="97" customFormat="1" ht="36" customHeight="1" x14ac:dyDescent="0.2">
      <c r="A81" s="216"/>
      <c r="B81" s="216"/>
      <c r="C81" s="216"/>
      <c r="D81" s="101"/>
      <c r="E81" s="101"/>
      <c r="F81" s="101"/>
      <c r="G81" s="101"/>
    </row>
    <row r="82" spans="1:7" s="97" customFormat="1" x14ac:dyDescent="0.2">
      <c r="A82" s="216"/>
      <c r="B82" s="216"/>
      <c r="C82" s="216"/>
      <c r="D82" s="216"/>
      <c r="E82" s="216"/>
      <c r="F82" s="216"/>
      <c r="G82" s="216"/>
    </row>
    <row r="83" spans="1:7" s="97" customFormat="1" x14ac:dyDescent="0.2">
      <c r="A83" s="216"/>
      <c r="B83" s="216"/>
      <c r="C83" s="216"/>
      <c r="D83" s="216"/>
      <c r="E83" s="216"/>
      <c r="F83" s="216"/>
      <c r="G83" s="216"/>
    </row>
    <row r="84" spans="1:7" s="97" customFormat="1" x14ac:dyDescent="0.2">
      <c r="A84" s="216"/>
      <c r="B84" s="216"/>
      <c r="C84" s="216"/>
      <c r="D84" s="216"/>
      <c r="E84" s="216"/>
      <c r="F84" s="216"/>
      <c r="G84" s="216"/>
    </row>
    <row r="85" spans="1:7" s="97" customFormat="1" x14ac:dyDescent="0.2">
      <c r="A85" s="216"/>
      <c r="B85" s="216"/>
      <c r="C85" s="216"/>
      <c r="D85" s="216"/>
      <c r="E85" s="216"/>
      <c r="F85" s="216"/>
      <c r="G85" s="216"/>
    </row>
    <row r="86" spans="1:7" s="97" customFormat="1" x14ac:dyDescent="0.2">
      <c r="A86" s="216"/>
      <c r="B86" s="216"/>
      <c r="C86" s="216"/>
      <c r="D86" s="216"/>
      <c r="E86" s="216"/>
      <c r="F86" s="216"/>
      <c r="G86" s="216"/>
    </row>
    <row r="87" spans="1:7" s="97" customFormat="1" x14ac:dyDescent="0.2">
      <c r="A87" s="216"/>
      <c r="B87" s="216"/>
      <c r="C87" s="216"/>
      <c r="D87" s="216"/>
      <c r="E87" s="216"/>
      <c r="F87" s="216"/>
      <c r="G87" s="216"/>
    </row>
    <row r="88" spans="1:7" s="97" customFormat="1" x14ac:dyDescent="0.2">
      <c r="A88" s="216"/>
      <c r="B88" s="216"/>
      <c r="C88" s="216"/>
      <c r="D88" s="216"/>
      <c r="E88" s="216"/>
      <c r="F88" s="216"/>
      <c r="G88" s="216"/>
    </row>
    <row r="89" spans="1:7" s="97" customFormat="1" x14ac:dyDescent="0.2">
      <c r="A89" s="216"/>
      <c r="B89" s="216"/>
      <c r="C89" s="216"/>
      <c r="D89" s="216"/>
      <c r="E89" s="216"/>
      <c r="F89" s="216"/>
      <c r="G89" s="216"/>
    </row>
    <row r="90" spans="1:7" s="97" customFormat="1" ht="35.25" customHeight="1" x14ac:dyDescent="0.2">
      <c r="A90" s="216"/>
      <c r="B90" s="216"/>
      <c r="C90" s="216"/>
      <c r="D90" s="216"/>
      <c r="E90" s="216"/>
      <c r="F90" s="216"/>
      <c r="G90" s="216"/>
    </row>
    <row r="91" spans="1:7" s="97" customFormat="1" ht="25.5" customHeight="1" x14ac:dyDescent="0.2">
      <c r="A91" s="216"/>
      <c r="B91" s="216"/>
      <c r="C91" s="216"/>
      <c r="D91" s="216"/>
      <c r="E91" s="216"/>
      <c r="F91" s="216"/>
      <c r="G91" s="216"/>
    </row>
    <row r="92" spans="1:7" s="97" customFormat="1" ht="24.75" customHeight="1" x14ac:dyDescent="0.2">
      <c r="A92" s="102"/>
    </row>
    <row r="93" spans="1:7" s="97" customFormat="1" x14ac:dyDescent="0.2">
      <c r="A93" s="102"/>
    </row>
    <row r="94" spans="1:7" s="97" customFormat="1" x14ac:dyDescent="0.2">
      <c r="A94" s="103"/>
    </row>
    <row r="95" spans="1:7" s="97" customFormat="1" x14ac:dyDescent="0.2">
      <c r="A95" s="102"/>
    </row>
    <row r="96" spans="1:7" s="97" customFormat="1" x14ac:dyDescent="0.2">
      <c r="A96" s="216"/>
      <c r="B96" s="216"/>
      <c r="C96" s="216"/>
      <c r="D96" s="216"/>
      <c r="E96" s="216"/>
      <c r="F96" s="216"/>
      <c r="G96" s="216"/>
    </row>
    <row r="97" spans="1:7" s="97" customFormat="1" x14ac:dyDescent="0.2">
      <c r="A97" s="216"/>
      <c r="B97" s="216"/>
      <c r="C97" s="216"/>
      <c r="D97" s="216"/>
      <c r="E97" s="216"/>
      <c r="F97" s="216"/>
      <c r="G97" s="216"/>
    </row>
    <row r="98" spans="1:7" s="97" customFormat="1" x14ac:dyDescent="0.2">
      <c r="A98" s="216"/>
      <c r="B98" s="216"/>
      <c r="C98" s="216"/>
      <c r="D98" s="216"/>
      <c r="E98" s="216"/>
      <c r="F98" s="216"/>
      <c r="G98" s="216"/>
    </row>
    <row r="99" spans="1:7" s="97" customFormat="1" x14ac:dyDescent="0.2">
      <c r="A99" s="216"/>
      <c r="B99" s="216"/>
      <c r="C99" s="216"/>
      <c r="D99" s="216"/>
      <c r="E99" s="216"/>
      <c r="F99" s="216"/>
      <c r="G99" s="216"/>
    </row>
    <row r="100" spans="1:7" s="97" customFormat="1" x14ac:dyDescent="0.2">
      <c r="A100" s="216"/>
      <c r="B100" s="216"/>
      <c r="C100" s="216"/>
      <c r="D100" s="216"/>
      <c r="E100" s="216"/>
      <c r="F100" s="216"/>
      <c r="G100" s="216"/>
    </row>
    <row r="101" spans="1:7" s="97" customFormat="1" x14ac:dyDescent="0.2">
      <c r="A101" s="216"/>
      <c r="B101" s="216"/>
      <c r="C101" s="216"/>
      <c r="D101" s="216"/>
      <c r="E101" s="216"/>
      <c r="F101" s="216"/>
      <c r="G101" s="216"/>
    </row>
    <row r="102" spans="1:7" s="97" customFormat="1" x14ac:dyDescent="0.2">
      <c r="A102" s="216"/>
      <c r="B102" s="216"/>
      <c r="C102" s="216"/>
      <c r="D102" s="216"/>
      <c r="E102" s="216"/>
      <c r="F102" s="216"/>
      <c r="G102" s="216"/>
    </row>
    <row r="103" spans="1:7" s="97" customFormat="1" x14ac:dyDescent="0.2">
      <c r="A103" s="100"/>
      <c r="B103" s="100"/>
      <c r="C103" s="99"/>
      <c r="D103" s="99"/>
      <c r="E103" s="99"/>
      <c r="F103" s="99"/>
      <c r="G103" s="99"/>
    </row>
    <row r="104" spans="1:7" s="97" customFormat="1" x14ac:dyDescent="0.2">
      <c r="A104" s="219"/>
      <c r="B104" s="220"/>
      <c r="C104" s="220"/>
      <c r="D104" s="220"/>
      <c r="E104" s="220"/>
      <c r="F104" s="220"/>
      <c r="G104" s="220"/>
    </row>
    <row r="105" spans="1:7" s="97" customFormat="1" x14ac:dyDescent="0.2">
      <c r="A105" s="220"/>
      <c r="B105" s="220"/>
      <c r="C105" s="220"/>
      <c r="D105" s="220"/>
      <c r="E105" s="220"/>
      <c r="F105" s="220"/>
      <c r="G105" s="220"/>
    </row>
    <row r="106" spans="1:7" s="97" customFormat="1" x14ac:dyDescent="0.2">
      <c r="A106" s="220"/>
      <c r="B106" s="220"/>
      <c r="C106" s="220"/>
      <c r="D106" s="220"/>
      <c r="E106" s="220"/>
      <c r="F106" s="220"/>
      <c r="G106" s="220"/>
    </row>
    <row r="107" spans="1:7" s="97" customFormat="1" x14ac:dyDescent="0.2">
      <c r="A107" s="98"/>
      <c r="B107" s="98"/>
      <c r="C107" s="98"/>
      <c r="D107" s="98"/>
      <c r="E107" s="98"/>
      <c r="F107" s="98"/>
      <c r="G107" s="98"/>
    </row>
    <row r="108" spans="1:7" s="97" customFormat="1" x14ac:dyDescent="0.2">
      <c r="A108" s="218"/>
      <c r="B108" s="218"/>
      <c r="C108" s="218"/>
      <c r="D108" s="218"/>
      <c r="E108" s="218"/>
      <c r="F108" s="218"/>
      <c r="G108" s="218"/>
    </row>
    <row r="109" spans="1:7" s="97" customFormat="1" x14ac:dyDescent="0.2">
      <c r="A109" s="218"/>
      <c r="B109" s="218"/>
      <c r="C109" s="218"/>
      <c r="D109" s="218"/>
      <c r="E109" s="218"/>
      <c r="F109" s="218"/>
      <c r="G109" s="218"/>
    </row>
    <row r="110" spans="1:7" s="97" customFormat="1" x14ac:dyDescent="0.2"/>
    <row r="111" spans="1:7" s="97" customFormat="1" x14ac:dyDescent="0.2"/>
    <row r="112" spans="1:7" s="97" customFormat="1" x14ac:dyDescent="0.2"/>
    <row r="113" s="97" customFormat="1" x14ac:dyDescent="0.2"/>
    <row r="114" s="97" customFormat="1" x14ac:dyDescent="0.2"/>
    <row r="115" s="97" customFormat="1" x14ac:dyDescent="0.2"/>
    <row r="116" s="97" customFormat="1" x14ac:dyDescent="0.2"/>
    <row r="117" s="97" customFormat="1" x14ac:dyDescent="0.2"/>
    <row r="118" s="97" customFormat="1" x14ac:dyDescent="0.2"/>
    <row r="119" s="97" customFormat="1" x14ac:dyDescent="0.2"/>
    <row r="120" s="97" customFormat="1" x14ac:dyDescent="0.2"/>
    <row r="121" s="97" customFormat="1" x14ac:dyDescent="0.2"/>
    <row r="122" s="97" customFormat="1" x14ac:dyDescent="0.2"/>
    <row r="123" s="97" customFormat="1" x14ac:dyDescent="0.2"/>
    <row r="124" s="97" customFormat="1" x14ac:dyDescent="0.2"/>
    <row r="125" s="97" customFormat="1" x14ac:dyDescent="0.2"/>
    <row r="126" s="97" customFormat="1" x14ac:dyDescent="0.2"/>
    <row r="127" s="97" customFormat="1" x14ac:dyDescent="0.2"/>
    <row r="128" s="97" customFormat="1" x14ac:dyDescent="0.2"/>
    <row r="129" s="97" customFormat="1" x14ac:dyDescent="0.2"/>
    <row r="130" s="97" customFormat="1" x14ac:dyDescent="0.2"/>
    <row r="131" s="97" customFormat="1" x14ac:dyDescent="0.2"/>
    <row r="132" s="97" customFormat="1" x14ac:dyDescent="0.2"/>
    <row r="133" s="97" customFormat="1" x14ac:dyDescent="0.2"/>
    <row r="134" s="97" customFormat="1" x14ac:dyDescent="0.2"/>
    <row r="135" s="97" customFormat="1" x14ac:dyDescent="0.2"/>
    <row r="136" s="97" customFormat="1" x14ac:dyDescent="0.2"/>
    <row r="137" s="97" customFormat="1" x14ac:dyDescent="0.2"/>
    <row r="138" s="97" customFormat="1" x14ac:dyDescent="0.2"/>
    <row r="139" s="97" customFormat="1" x14ac:dyDescent="0.2"/>
    <row r="140" s="97" customFormat="1" x14ac:dyDescent="0.2"/>
    <row r="141" s="97" customFormat="1" x14ac:dyDescent="0.2"/>
    <row r="142" s="97" customFormat="1" x14ac:dyDescent="0.2"/>
    <row r="143" s="97" customFormat="1" x14ac:dyDescent="0.2"/>
    <row r="144" s="97" customFormat="1" x14ac:dyDescent="0.2"/>
    <row r="145" s="97" customFormat="1" x14ac:dyDescent="0.2"/>
    <row r="146" s="97" customFormat="1" x14ac:dyDescent="0.2"/>
    <row r="147" s="97" customFormat="1" x14ac:dyDescent="0.2"/>
    <row r="148" s="97" customFormat="1" x14ac:dyDescent="0.2"/>
    <row r="149" s="97" customFormat="1" x14ac:dyDescent="0.2"/>
    <row r="150" s="97" customFormat="1" x14ac:dyDescent="0.2"/>
    <row r="151" s="97" customFormat="1" x14ac:dyDescent="0.2"/>
    <row r="152" s="97" customFormat="1" x14ac:dyDescent="0.2"/>
    <row r="153" s="97" customFormat="1" x14ac:dyDescent="0.2"/>
    <row r="154" s="97" customFormat="1" x14ac:dyDescent="0.2"/>
    <row r="155" s="97" customFormat="1" x14ac:dyDescent="0.2"/>
    <row r="156" s="97" customFormat="1" x14ac:dyDescent="0.2"/>
    <row r="157" s="97" customFormat="1" x14ac:dyDescent="0.2"/>
    <row r="158" s="97" customFormat="1" x14ac:dyDescent="0.2"/>
    <row r="159" s="97" customFormat="1" x14ac:dyDescent="0.2"/>
    <row r="160" s="97" customFormat="1" x14ac:dyDescent="0.2"/>
    <row r="161" s="97" customFormat="1" x14ac:dyDescent="0.2"/>
    <row r="162" s="97" customFormat="1" x14ac:dyDescent="0.2"/>
    <row r="163" s="97" customFormat="1" x14ac:dyDescent="0.2"/>
    <row r="164" s="97" customFormat="1" x14ac:dyDescent="0.2"/>
    <row r="165" s="97" customFormat="1" x14ac:dyDescent="0.2"/>
    <row r="166" s="97" customFormat="1" x14ac:dyDescent="0.2"/>
    <row r="167" s="97" customFormat="1" x14ac:dyDescent="0.2"/>
    <row r="168" s="97" customFormat="1" x14ac:dyDescent="0.2"/>
    <row r="169" s="97" customFormat="1" x14ac:dyDescent="0.2"/>
    <row r="170" s="97" customFormat="1" x14ac:dyDescent="0.2"/>
    <row r="171" s="97" customFormat="1" x14ac:dyDescent="0.2"/>
    <row r="172" s="97" customFormat="1" x14ac:dyDescent="0.2"/>
    <row r="173" s="97" customFormat="1" x14ac:dyDescent="0.2"/>
    <row r="174" s="97" customFormat="1" x14ac:dyDescent="0.2"/>
    <row r="175" s="97" customFormat="1" x14ac:dyDescent="0.2"/>
    <row r="176" s="97" customFormat="1" x14ac:dyDescent="0.2"/>
    <row r="177" s="97" customFormat="1" x14ac:dyDescent="0.2"/>
    <row r="178" s="97" customFormat="1" x14ac:dyDescent="0.2"/>
    <row r="179" s="97" customFormat="1" x14ac:dyDescent="0.2"/>
    <row r="180" s="97" customFormat="1" x14ac:dyDescent="0.2"/>
    <row r="181" s="97" customFormat="1" x14ac:dyDescent="0.2"/>
    <row r="182" s="97" customFormat="1" x14ac:dyDescent="0.2"/>
    <row r="183" s="97" customFormat="1" x14ac:dyDescent="0.2"/>
    <row r="184" s="97" customFormat="1" x14ac:dyDescent="0.2"/>
    <row r="185" s="97" customFormat="1" x14ac:dyDescent="0.2"/>
    <row r="186" s="97" customFormat="1" x14ac:dyDescent="0.2"/>
    <row r="187" s="97" customFormat="1" x14ac:dyDescent="0.2"/>
    <row r="188" s="97" customFormat="1" x14ac:dyDescent="0.2"/>
    <row r="189" s="97" customFormat="1" x14ac:dyDescent="0.2"/>
    <row r="190" s="97" customFormat="1" x14ac:dyDescent="0.2"/>
    <row r="191" s="97" customFormat="1" x14ac:dyDescent="0.2"/>
    <row r="192" s="97" customFormat="1" x14ac:dyDescent="0.2"/>
    <row r="193" s="97" customFormat="1" x14ac:dyDescent="0.2"/>
    <row r="194" s="97" customFormat="1" x14ac:dyDescent="0.2"/>
    <row r="195" s="97" customFormat="1" x14ac:dyDescent="0.2"/>
    <row r="196" s="97" customFormat="1" x14ac:dyDescent="0.2"/>
    <row r="197" s="97" customFormat="1" x14ac:dyDescent="0.2"/>
    <row r="198" s="97" customFormat="1" x14ac:dyDescent="0.2"/>
    <row r="199" s="97" customFormat="1" x14ac:dyDescent="0.2"/>
    <row r="200" s="97" customFormat="1" x14ac:dyDescent="0.2"/>
    <row r="201" s="97" customFormat="1" x14ac:dyDescent="0.2"/>
    <row r="202" s="97" customFormat="1" x14ac:dyDescent="0.2"/>
    <row r="203" s="97" customFormat="1" x14ac:dyDescent="0.2"/>
    <row r="204" s="97" customFormat="1" x14ac:dyDescent="0.2"/>
    <row r="205" s="97" customFormat="1" x14ac:dyDescent="0.2"/>
    <row r="206" s="97" customFormat="1" x14ac:dyDescent="0.2"/>
    <row r="207" s="97" customFormat="1" x14ac:dyDescent="0.2"/>
    <row r="208" s="97" customFormat="1" x14ac:dyDescent="0.2"/>
    <row r="209" s="97" customFormat="1" x14ac:dyDescent="0.2"/>
    <row r="210" s="97" customFormat="1" x14ac:dyDescent="0.2"/>
    <row r="211" s="97" customFormat="1" x14ac:dyDescent="0.2"/>
    <row r="212" s="97" customFormat="1" x14ac:dyDescent="0.2"/>
    <row r="213" s="97" customFormat="1" x14ac:dyDescent="0.2"/>
    <row r="214" s="97" customFormat="1" x14ac:dyDescent="0.2"/>
    <row r="215" s="97" customFormat="1" x14ac:dyDescent="0.2"/>
    <row r="216" s="97" customFormat="1" x14ac:dyDescent="0.2"/>
    <row r="217" s="97" customFormat="1" x14ac:dyDescent="0.2"/>
    <row r="218" s="97" customFormat="1" x14ac:dyDescent="0.2"/>
    <row r="219" s="97" customFormat="1" x14ac:dyDescent="0.2"/>
    <row r="220" s="97" customFormat="1" x14ac:dyDescent="0.2"/>
    <row r="221" s="97" customFormat="1" x14ac:dyDescent="0.2"/>
    <row r="222" s="97" customFormat="1" x14ac:dyDescent="0.2"/>
    <row r="223" s="97" customFormat="1" x14ac:dyDescent="0.2"/>
    <row r="224" s="97" customFormat="1" x14ac:dyDescent="0.2"/>
    <row r="225" s="97" customFormat="1" x14ac:dyDescent="0.2"/>
    <row r="226" s="97" customFormat="1" x14ac:dyDescent="0.2"/>
    <row r="227" s="97" customFormat="1" x14ac:dyDescent="0.2"/>
    <row r="228" s="97" customFormat="1" x14ac:dyDescent="0.2"/>
    <row r="229" s="97" customFormat="1" x14ac:dyDescent="0.2"/>
    <row r="230" s="97" customFormat="1" x14ac:dyDescent="0.2"/>
    <row r="231" s="97" customFormat="1" x14ac:dyDescent="0.2"/>
    <row r="232" s="97" customFormat="1" x14ac:dyDescent="0.2"/>
    <row r="233" s="97" customFormat="1" x14ac:dyDescent="0.2"/>
    <row r="234" s="97" customFormat="1" x14ac:dyDescent="0.2"/>
    <row r="235" s="97" customFormat="1" x14ac:dyDescent="0.2"/>
    <row r="236" s="97" customFormat="1" x14ac:dyDescent="0.2"/>
    <row r="237" s="97" customFormat="1" x14ac:dyDescent="0.2"/>
    <row r="238" s="97" customFormat="1" x14ac:dyDescent="0.2"/>
    <row r="239" s="97" customFormat="1" x14ac:dyDescent="0.2"/>
    <row r="240" s="97" customFormat="1" x14ac:dyDescent="0.2"/>
    <row r="241" s="97" customFormat="1" x14ac:dyDescent="0.2"/>
    <row r="242" s="97" customFormat="1" x14ac:dyDescent="0.2"/>
    <row r="243" s="97" customFormat="1" x14ac:dyDescent="0.2"/>
    <row r="244" s="97" customFormat="1" x14ac:dyDescent="0.2"/>
    <row r="245" s="97" customFormat="1" x14ac:dyDescent="0.2"/>
    <row r="246" s="97" customFormat="1" x14ac:dyDescent="0.2"/>
    <row r="247" s="97" customFormat="1" x14ac:dyDescent="0.2"/>
    <row r="248" s="97" customFormat="1" x14ac:dyDescent="0.2"/>
    <row r="249" s="97" customFormat="1" x14ac:dyDescent="0.2"/>
    <row r="250" s="97" customFormat="1" x14ac:dyDescent="0.2"/>
    <row r="251" s="97" customFormat="1" x14ac:dyDescent="0.2"/>
    <row r="252" s="97" customFormat="1" x14ac:dyDescent="0.2"/>
    <row r="253" s="97" customFormat="1" x14ac:dyDescent="0.2"/>
    <row r="254" s="97" customFormat="1" x14ac:dyDescent="0.2"/>
    <row r="255" s="97" customFormat="1" x14ac:dyDescent="0.2"/>
    <row r="256" s="97" customFormat="1" x14ac:dyDescent="0.2"/>
    <row r="257" s="97" customFormat="1" x14ac:dyDescent="0.2"/>
    <row r="258" s="97" customFormat="1" x14ac:dyDescent="0.2"/>
    <row r="259" s="97" customFormat="1" x14ac:dyDescent="0.2"/>
    <row r="260" s="97" customFormat="1" x14ac:dyDescent="0.2"/>
    <row r="261" s="97" customFormat="1" x14ac:dyDescent="0.2"/>
    <row r="262" s="97" customFormat="1" x14ac:dyDescent="0.2"/>
    <row r="263" s="97" customFormat="1" x14ac:dyDescent="0.2"/>
    <row r="264" s="97" customFormat="1" x14ac:dyDescent="0.2"/>
    <row r="265" s="97" customFormat="1" x14ac:dyDescent="0.2"/>
    <row r="266" s="97" customFormat="1" x14ac:dyDescent="0.2"/>
    <row r="267" s="97" customFormat="1" x14ac:dyDescent="0.2"/>
    <row r="268" s="97" customFormat="1" x14ac:dyDescent="0.2"/>
    <row r="269" s="97" customFormat="1" x14ac:dyDescent="0.2"/>
    <row r="270" s="97" customFormat="1" x14ac:dyDescent="0.2"/>
    <row r="271" s="97" customFormat="1" x14ac:dyDescent="0.2"/>
    <row r="272" s="97" customFormat="1" x14ac:dyDescent="0.2"/>
    <row r="273" s="97" customFormat="1" x14ac:dyDescent="0.2"/>
    <row r="274" s="97" customFormat="1" x14ac:dyDescent="0.2"/>
    <row r="275" s="97" customFormat="1" x14ac:dyDescent="0.2"/>
    <row r="276" s="97" customFormat="1" x14ac:dyDescent="0.2"/>
    <row r="277" s="97" customFormat="1" x14ac:dyDescent="0.2"/>
    <row r="278" s="97" customFormat="1" x14ac:dyDescent="0.2"/>
    <row r="279" s="97" customFormat="1" x14ac:dyDescent="0.2"/>
    <row r="280" s="97" customFormat="1" x14ac:dyDescent="0.2"/>
    <row r="281" s="97" customFormat="1" x14ac:dyDescent="0.2"/>
    <row r="282" s="97" customFormat="1" x14ac:dyDescent="0.2"/>
    <row r="283" s="97" customFormat="1" x14ac:dyDescent="0.2"/>
    <row r="284" s="97" customFormat="1" x14ac:dyDescent="0.2"/>
    <row r="285" s="97" customFormat="1" x14ac:dyDescent="0.2"/>
    <row r="286" s="97" customFormat="1" x14ac:dyDescent="0.2"/>
    <row r="287" s="97" customFormat="1" x14ac:dyDescent="0.2"/>
    <row r="288" s="97" customFormat="1" x14ac:dyDescent="0.2"/>
    <row r="289" s="97" customFormat="1" x14ac:dyDescent="0.2"/>
    <row r="290" s="97" customFormat="1" x14ac:dyDescent="0.2"/>
    <row r="291" s="97" customFormat="1" x14ac:dyDescent="0.2"/>
    <row r="292" s="97" customFormat="1" x14ac:dyDescent="0.2"/>
    <row r="293" s="97" customFormat="1" x14ac:dyDescent="0.2"/>
    <row r="294" s="97" customFormat="1" x14ac:dyDescent="0.2"/>
    <row r="295" s="97" customFormat="1" x14ac:dyDescent="0.2"/>
    <row r="296" s="97" customFormat="1" x14ac:dyDescent="0.2"/>
    <row r="297" s="97" customFormat="1" x14ac:dyDescent="0.2"/>
    <row r="298" s="97" customFormat="1" x14ac:dyDescent="0.2"/>
    <row r="299" s="97" customFormat="1" x14ac:dyDescent="0.2"/>
    <row r="300" s="97" customFormat="1" x14ac:dyDescent="0.2"/>
    <row r="301" s="97" customFormat="1" x14ac:dyDescent="0.2"/>
    <row r="302" s="97" customFormat="1" x14ac:dyDescent="0.2"/>
    <row r="303" s="97" customFormat="1" x14ac:dyDescent="0.2"/>
    <row r="304" s="97" customFormat="1" x14ac:dyDescent="0.2"/>
    <row r="305" s="97" customFormat="1" x14ac:dyDescent="0.2"/>
    <row r="306" s="97" customFormat="1" x14ac:dyDescent="0.2"/>
    <row r="307" s="97" customFormat="1" x14ac:dyDescent="0.2"/>
    <row r="308" s="97" customFormat="1" x14ac:dyDescent="0.2"/>
    <row r="309" s="97" customFormat="1" x14ac:dyDescent="0.2"/>
    <row r="310" s="97" customFormat="1" x14ac:dyDescent="0.2"/>
    <row r="311" s="97" customFormat="1" x14ac:dyDescent="0.2"/>
    <row r="312" s="97" customFormat="1" x14ac:dyDescent="0.2"/>
    <row r="313" s="97" customFormat="1" x14ac:dyDescent="0.2"/>
    <row r="314" s="97" customFormat="1" x14ac:dyDescent="0.2"/>
    <row r="315" s="97" customFormat="1" x14ac:dyDescent="0.2"/>
    <row r="316" s="97" customFormat="1" x14ac:dyDescent="0.2"/>
    <row r="317" s="97" customFormat="1" x14ac:dyDescent="0.2"/>
    <row r="318" s="97" customFormat="1" x14ac:dyDescent="0.2"/>
    <row r="319" s="97" customFormat="1" x14ac:dyDescent="0.2"/>
    <row r="320" s="97" customFormat="1" x14ac:dyDescent="0.2"/>
    <row r="321" s="97" customFormat="1" x14ac:dyDescent="0.2"/>
    <row r="322" s="97" customFormat="1" x14ac:dyDescent="0.2"/>
    <row r="323" s="97" customFormat="1" x14ac:dyDescent="0.2"/>
    <row r="324" s="97" customFormat="1" x14ac:dyDescent="0.2"/>
    <row r="325" s="97" customFormat="1" x14ac:dyDescent="0.2"/>
    <row r="326" s="97" customFormat="1" x14ac:dyDescent="0.2"/>
    <row r="327" s="97" customFormat="1" x14ac:dyDescent="0.2"/>
    <row r="328" s="97" customFormat="1" x14ac:dyDescent="0.2"/>
    <row r="329" s="97" customFormat="1" x14ac:dyDescent="0.2"/>
    <row r="330" s="97" customFormat="1" x14ac:dyDescent="0.2"/>
    <row r="331" s="97" customFormat="1" x14ac:dyDescent="0.2"/>
    <row r="332" s="97" customFormat="1" x14ac:dyDescent="0.2"/>
    <row r="333" s="97" customFormat="1" x14ac:dyDescent="0.2"/>
    <row r="334" s="97" customFormat="1" x14ac:dyDescent="0.2"/>
    <row r="335" s="97" customFormat="1" x14ac:dyDescent="0.2"/>
    <row r="336" s="97" customFormat="1" x14ac:dyDescent="0.2"/>
    <row r="337" s="97" customFormat="1" x14ac:dyDescent="0.2"/>
    <row r="338" s="97" customFormat="1" x14ac:dyDescent="0.2"/>
    <row r="339" s="97" customFormat="1" x14ac:dyDescent="0.2"/>
    <row r="340" s="97" customFormat="1" x14ac:dyDescent="0.2"/>
    <row r="341" s="97" customFormat="1" x14ac:dyDescent="0.2"/>
    <row r="342" s="97" customFormat="1" x14ac:dyDescent="0.2"/>
    <row r="343" s="97" customFormat="1" x14ac:dyDescent="0.2"/>
    <row r="344" s="97" customFormat="1" x14ac:dyDescent="0.2"/>
    <row r="345" s="97" customFormat="1" x14ac:dyDescent="0.2"/>
    <row r="346" s="97" customFormat="1" x14ac:dyDescent="0.2"/>
    <row r="347" s="97" customFormat="1" x14ac:dyDescent="0.2"/>
    <row r="348" s="97" customFormat="1" x14ac:dyDescent="0.2"/>
    <row r="349" s="97" customFormat="1" x14ac:dyDescent="0.2"/>
    <row r="350" s="97" customFormat="1" x14ac:dyDescent="0.2"/>
    <row r="351" s="97" customFormat="1" x14ac:dyDescent="0.2"/>
    <row r="352" s="97" customFormat="1" x14ac:dyDescent="0.2"/>
    <row r="353" s="97" customFormat="1" x14ac:dyDescent="0.2"/>
    <row r="354" s="97" customFormat="1" x14ac:dyDescent="0.2"/>
    <row r="355" s="97" customFormat="1" x14ac:dyDescent="0.2"/>
    <row r="356" s="97" customFormat="1" x14ac:dyDescent="0.2"/>
    <row r="357" s="97" customFormat="1" x14ac:dyDescent="0.2"/>
    <row r="358" s="97" customFormat="1" x14ac:dyDescent="0.2"/>
    <row r="359" s="97" customFormat="1" x14ac:dyDescent="0.2"/>
    <row r="360" s="97" customFormat="1" x14ac:dyDescent="0.2"/>
    <row r="361" s="97" customFormat="1" x14ac:dyDescent="0.2"/>
    <row r="362" s="97" customFormat="1" x14ac:dyDescent="0.2"/>
    <row r="363" s="97" customFormat="1" x14ac:dyDescent="0.2"/>
    <row r="364" s="97" customFormat="1" x14ac:dyDescent="0.2"/>
    <row r="365" s="97" customFormat="1" x14ac:dyDescent="0.2"/>
    <row r="366" s="97" customFormat="1" x14ac:dyDescent="0.2"/>
    <row r="367" s="97" customFormat="1" x14ac:dyDescent="0.2"/>
    <row r="368" s="97" customFormat="1" x14ac:dyDescent="0.2"/>
    <row r="369" s="97" customFormat="1" x14ac:dyDescent="0.2"/>
    <row r="370" s="97" customFormat="1" x14ac:dyDescent="0.2"/>
    <row r="371" s="97" customFormat="1" x14ac:dyDescent="0.2"/>
    <row r="372" s="97" customFormat="1" x14ac:dyDescent="0.2"/>
    <row r="373" s="97" customFormat="1" x14ac:dyDescent="0.2"/>
    <row r="374" s="97" customFormat="1" x14ac:dyDescent="0.2"/>
    <row r="375" s="97" customFormat="1" x14ac:dyDescent="0.2"/>
    <row r="376" s="97" customFormat="1" x14ac:dyDescent="0.2"/>
    <row r="377" s="97" customFormat="1" x14ac:dyDescent="0.2"/>
    <row r="378" s="97" customFormat="1" x14ac:dyDescent="0.2"/>
    <row r="379" s="97" customFormat="1" x14ac:dyDescent="0.2"/>
    <row r="380" s="97" customFormat="1" x14ac:dyDescent="0.2"/>
    <row r="381" s="97" customFormat="1" x14ac:dyDescent="0.2"/>
    <row r="382" s="97" customFormat="1" x14ac:dyDescent="0.2"/>
    <row r="383" s="97" customFormat="1" x14ac:dyDescent="0.2"/>
    <row r="384" s="97" customFormat="1" x14ac:dyDescent="0.2"/>
    <row r="385" s="97" customFormat="1" x14ac:dyDescent="0.2"/>
    <row r="386" s="97" customFormat="1" x14ac:dyDescent="0.2"/>
    <row r="387" s="97" customFormat="1" x14ac:dyDescent="0.2"/>
    <row r="388" s="97" customFormat="1" x14ac:dyDescent="0.2"/>
    <row r="389" s="97" customFormat="1" x14ac:dyDescent="0.2"/>
    <row r="390" s="97" customFormat="1" x14ac:dyDescent="0.2"/>
    <row r="391" s="97" customFormat="1" x14ac:dyDescent="0.2"/>
    <row r="392" s="97" customFormat="1" x14ac:dyDescent="0.2"/>
    <row r="393" s="97" customFormat="1" x14ac:dyDescent="0.2"/>
    <row r="394" s="97" customFormat="1" x14ac:dyDescent="0.2"/>
    <row r="395" s="97" customFormat="1" x14ac:dyDescent="0.2"/>
    <row r="396" s="97" customFormat="1" x14ac:dyDescent="0.2"/>
    <row r="397" s="97" customFormat="1" x14ac:dyDescent="0.2"/>
    <row r="398" s="97" customFormat="1" x14ac:dyDescent="0.2"/>
    <row r="399" s="97" customFormat="1" x14ac:dyDescent="0.2"/>
    <row r="400" s="97" customFormat="1" x14ac:dyDescent="0.2"/>
    <row r="401" s="97" customFormat="1" x14ac:dyDescent="0.2"/>
    <row r="402" s="97" customFormat="1" x14ac:dyDescent="0.2"/>
    <row r="403" s="97" customFormat="1" x14ac:dyDescent="0.2"/>
    <row r="404" s="97" customFormat="1" x14ac:dyDescent="0.2"/>
    <row r="405" s="97" customFormat="1" x14ac:dyDescent="0.2"/>
    <row r="406" s="97" customFormat="1" x14ac:dyDescent="0.2"/>
    <row r="407" s="97" customFormat="1" x14ac:dyDescent="0.2"/>
    <row r="408" s="97" customFormat="1" x14ac:dyDescent="0.2"/>
    <row r="409" s="97" customFormat="1" x14ac:dyDescent="0.2"/>
    <row r="410" s="97" customFormat="1" x14ac:dyDescent="0.2"/>
    <row r="411" s="97" customFormat="1" x14ac:dyDescent="0.2"/>
    <row r="412" s="97" customFormat="1" x14ac:dyDescent="0.2"/>
    <row r="413" s="97" customFormat="1" x14ac:dyDescent="0.2"/>
    <row r="414" s="97" customFormat="1" x14ac:dyDescent="0.2"/>
    <row r="415" s="97" customFormat="1" x14ac:dyDescent="0.2"/>
    <row r="416" s="97" customFormat="1" x14ac:dyDescent="0.2"/>
    <row r="417" s="97" customFormat="1" x14ac:dyDescent="0.2"/>
    <row r="418" s="97" customFormat="1" x14ac:dyDescent="0.2"/>
    <row r="419" s="97" customFormat="1" x14ac:dyDescent="0.2"/>
    <row r="420" s="97" customFormat="1" x14ac:dyDescent="0.2"/>
    <row r="421" s="97" customFormat="1" x14ac:dyDescent="0.2"/>
    <row r="422" s="97" customFormat="1" x14ac:dyDescent="0.2"/>
    <row r="423" s="97" customFormat="1" x14ac:dyDescent="0.2"/>
    <row r="424" s="97" customFormat="1" x14ac:dyDescent="0.2"/>
    <row r="425" s="97" customFormat="1" x14ac:dyDescent="0.2"/>
    <row r="426" s="97" customFormat="1" x14ac:dyDescent="0.2"/>
    <row r="427" s="97" customFormat="1" x14ac:dyDescent="0.2"/>
    <row r="428" s="97" customFormat="1" x14ac:dyDescent="0.2"/>
    <row r="429" s="97" customFormat="1" x14ac:dyDescent="0.2"/>
    <row r="430" s="97" customFormat="1" x14ac:dyDescent="0.2"/>
    <row r="431" s="97" customFormat="1" x14ac:dyDescent="0.2"/>
    <row r="432" s="97" customFormat="1" x14ac:dyDescent="0.2"/>
    <row r="433" s="97" customFormat="1" x14ac:dyDescent="0.2"/>
    <row r="434" s="97" customFormat="1" x14ac:dyDescent="0.2"/>
    <row r="435" s="97" customFormat="1" x14ac:dyDescent="0.2"/>
    <row r="436" s="97" customFormat="1" x14ac:dyDescent="0.2"/>
    <row r="437" s="97" customFormat="1" x14ac:dyDescent="0.2"/>
    <row r="438" s="97" customFormat="1" x14ac:dyDescent="0.2"/>
    <row r="439" s="97" customFormat="1" x14ac:dyDescent="0.2"/>
    <row r="440" s="97" customFormat="1" x14ac:dyDescent="0.2"/>
    <row r="441" s="97" customFormat="1" x14ac:dyDescent="0.2"/>
    <row r="442" s="97" customFormat="1" x14ac:dyDescent="0.2"/>
    <row r="443" s="97" customFormat="1" x14ac:dyDescent="0.2"/>
    <row r="444" s="97" customFormat="1" x14ac:dyDescent="0.2"/>
    <row r="445" s="97" customFormat="1" x14ac:dyDescent="0.2"/>
    <row r="446" s="97" customFormat="1" x14ac:dyDescent="0.2"/>
    <row r="447" s="97" customFormat="1" x14ac:dyDescent="0.2"/>
    <row r="448" s="97" customFormat="1" x14ac:dyDescent="0.2"/>
    <row r="449" s="97" customFormat="1" x14ac:dyDescent="0.2"/>
    <row r="450" s="97" customFormat="1" x14ac:dyDescent="0.2"/>
    <row r="451" s="97" customFormat="1" x14ac:dyDescent="0.2"/>
    <row r="452" s="97" customFormat="1" x14ac:dyDescent="0.2"/>
    <row r="453" s="97" customFormat="1" x14ac:dyDescent="0.2"/>
    <row r="454" s="97" customFormat="1" x14ac:dyDescent="0.2"/>
    <row r="455" s="97" customFormat="1" x14ac:dyDescent="0.2"/>
    <row r="456" s="97" customFormat="1" x14ac:dyDescent="0.2"/>
    <row r="457" s="97" customFormat="1" x14ac:dyDescent="0.2"/>
    <row r="458" s="97" customFormat="1" x14ac:dyDescent="0.2"/>
    <row r="459" s="97" customFormat="1" x14ac:dyDescent="0.2"/>
    <row r="460" s="97" customFormat="1" x14ac:dyDescent="0.2"/>
    <row r="461" s="97" customFormat="1" x14ac:dyDescent="0.2"/>
    <row r="462" s="97" customFormat="1" x14ac:dyDescent="0.2"/>
    <row r="463" s="97" customFormat="1" x14ac:dyDescent="0.2"/>
    <row r="464" s="97" customFormat="1" x14ac:dyDescent="0.2"/>
    <row r="465" s="97" customFormat="1" x14ac:dyDescent="0.2"/>
    <row r="466" s="97" customFormat="1" x14ac:dyDescent="0.2"/>
    <row r="467" s="97" customFormat="1" x14ac:dyDescent="0.2"/>
    <row r="468" s="97" customFormat="1" x14ac:dyDescent="0.2"/>
    <row r="469" s="97" customFormat="1" x14ac:dyDescent="0.2"/>
    <row r="470" s="97" customFormat="1" x14ac:dyDescent="0.2"/>
    <row r="471" s="97" customFormat="1" x14ac:dyDescent="0.2"/>
    <row r="472" s="97" customFormat="1" x14ac:dyDescent="0.2"/>
    <row r="473" s="97" customFormat="1" x14ac:dyDescent="0.2"/>
    <row r="474" s="97" customFormat="1" x14ac:dyDescent="0.2"/>
    <row r="475" s="97" customFormat="1" x14ac:dyDescent="0.2"/>
    <row r="476" s="97" customFormat="1" x14ac:dyDescent="0.2"/>
    <row r="477" s="97" customFormat="1" x14ac:dyDescent="0.2"/>
    <row r="478" s="97" customFormat="1" x14ac:dyDescent="0.2"/>
    <row r="479" s="97" customFormat="1" x14ac:dyDescent="0.2"/>
    <row r="480" s="97" customFormat="1" x14ac:dyDescent="0.2"/>
    <row r="481" s="97" customFormat="1" x14ac:dyDescent="0.2"/>
    <row r="482" s="97" customFormat="1" x14ac:dyDescent="0.2"/>
    <row r="483" s="97" customFormat="1" x14ac:dyDescent="0.2"/>
    <row r="484" s="97" customFormat="1" x14ac:dyDescent="0.2"/>
    <row r="485" s="97" customFormat="1" x14ac:dyDescent="0.2"/>
    <row r="486" s="97" customFormat="1" x14ac:dyDescent="0.2"/>
    <row r="487" s="97" customFormat="1" x14ac:dyDescent="0.2"/>
    <row r="488" s="97" customFormat="1" x14ac:dyDescent="0.2"/>
    <row r="489" s="97" customFormat="1" x14ac:dyDescent="0.2"/>
    <row r="490" s="97" customFormat="1" x14ac:dyDescent="0.2"/>
    <row r="491" s="97" customFormat="1" x14ac:dyDescent="0.2"/>
    <row r="492" s="97" customFormat="1" x14ac:dyDescent="0.2"/>
    <row r="493" s="97" customFormat="1" x14ac:dyDescent="0.2"/>
    <row r="494" s="97" customFormat="1" x14ac:dyDescent="0.2"/>
    <row r="495" s="97" customFormat="1" x14ac:dyDescent="0.2"/>
    <row r="496" s="97" customFormat="1" x14ac:dyDescent="0.2"/>
    <row r="497" s="97" customFormat="1" x14ac:dyDescent="0.2"/>
    <row r="498" s="97" customFormat="1" x14ac:dyDescent="0.2"/>
    <row r="499" s="97" customFormat="1" x14ac:dyDescent="0.2"/>
    <row r="500" s="97" customFormat="1" x14ac:dyDescent="0.2"/>
    <row r="501" s="97" customFormat="1" x14ac:dyDescent="0.2"/>
    <row r="502" s="97" customFormat="1" x14ac:dyDescent="0.2"/>
    <row r="503" s="97" customFormat="1" x14ac:dyDescent="0.2"/>
    <row r="504" s="97" customFormat="1" x14ac:dyDescent="0.2"/>
    <row r="505" s="97" customFormat="1" x14ac:dyDescent="0.2"/>
    <row r="506" s="97" customFormat="1" x14ac:dyDescent="0.2"/>
    <row r="507" s="97" customFormat="1" x14ac:dyDescent="0.2"/>
    <row r="508" s="97" customFormat="1" x14ac:dyDescent="0.2"/>
    <row r="509" s="97" customFormat="1" x14ac:dyDescent="0.2"/>
    <row r="510" s="97" customFormat="1" x14ac:dyDescent="0.2"/>
    <row r="511" s="97" customFormat="1" x14ac:dyDescent="0.2"/>
    <row r="512" s="97" customFormat="1" x14ac:dyDescent="0.2"/>
    <row r="513" s="97" customFormat="1" x14ac:dyDescent="0.2"/>
    <row r="514" s="97" customFormat="1" x14ac:dyDescent="0.2"/>
    <row r="515" s="97" customFormat="1" x14ac:dyDescent="0.2"/>
    <row r="516" s="97" customFormat="1" x14ac:dyDescent="0.2"/>
    <row r="517" s="97" customFormat="1" x14ac:dyDescent="0.2"/>
    <row r="518" s="97" customFormat="1" x14ac:dyDescent="0.2"/>
    <row r="519" s="97" customFormat="1" x14ac:dyDescent="0.2"/>
    <row r="520" s="97" customFormat="1" x14ac:dyDescent="0.2"/>
    <row r="521" s="97" customFormat="1" x14ac:dyDescent="0.2"/>
    <row r="522" s="97" customFormat="1" x14ac:dyDescent="0.2"/>
    <row r="523" s="97" customFormat="1" x14ac:dyDescent="0.2"/>
    <row r="524" s="97" customFormat="1" x14ac:dyDescent="0.2"/>
    <row r="525" s="97" customFormat="1" x14ac:dyDescent="0.2"/>
    <row r="526" s="97" customFormat="1" x14ac:dyDescent="0.2"/>
    <row r="527" s="97" customFormat="1" x14ac:dyDescent="0.2"/>
    <row r="528" s="97" customFormat="1" x14ac:dyDescent="0.2"/>
    <row r="529" s="97" customFormat="1" x14ac:dyDescent="0.2"/>
    <row r="530" s="97" customFormat="1" x14ac:dyDescent="0.2"/>
    <row r="531" s="97" customFormat="1" x14ac:dyDescent="0.2"/>
    <row r="532" s="97" customFormat="1" x14ac:dyDescent="0.2"/>
    <row r="533" s="97" customFormat="1" x14ac:dyDescent="0.2"/>
    <row r="534" s="97" customFormat="1" x14ac:dyDescent="0.2"/>
    <row r="535" s="97" customFormat="1" x14ac:dyDescent="0.2"/>
    <row r="536" s="97" customFormat="1" x14ac:dyDescent="0.2"/>
    <row r="537" s="97" customFormat="1" x14ac:dyDescent="0.2"/>
    <row r="538" s="97" customFormat="1" x14ac:dyDescent="0.2"/>
    <row r="539" s="97" customFormat="1" x14ac:dyDescent="0.2"/>
    <row r="540" s="97" customFormat="1" x14ac:dyDescent="0.2"/>
    <row r="541" s="97" customFormat="1" x14ac:dyDescent="0.2"/>
    <row r="542" s="97" customFormat="1" x14ac:dyDescent="0.2"/>
    <row r="543" s="97" customFormat="1" x14ac:dyDescent="0.2"/>
    <row r="544" s="97" customFormat="1" x14ac:dyDescent="0.2"/>
    <row r="545" s="97" customFormat="1" x14ac:dyDescent="0.2"/>
    <row r="546" s="97" customFormat="1" x14ac:dyDescent="0.2"/>
    <row r="547" s="97" customFormat="1" x14ac:dyDescent="0.2"/>
    <row r="548" s="97" customFormat="1" x14ac:dyDescent="0.2"/>
    <row r="549" s="97" customFormat="1" x14ac:dyDescent="0.2"/>
    <row r="550" s="97" customFormat="1" x14ac:dyDescent="0.2"/>
    <row r="551" s="97" customFormat="1" x14ac:dyDescent="0.2"/>
    <row r="552" s="97" customFormat="1" x14ac:dyDescent="0.2"/>
    <row r="553" s="97" customFormat="1" x14ac:dyDescent="0.2"/>
    <row r="554" s="97" customFormat="1" x14ac:dyDescent="0.2"/>
    <row r="555" s="97" customFormat="1" x14ac:dyDescent="0.2"/>
    <row r="556" s="97" customFormat="1" x14ac:dyDescent="0.2"/>
    <row r="557" s="97" customFormat="1" x14ac:dyDescent="0.2"/>
    <row r="558" s="97" customFormat="1" x14ac:dyDescent="0.2"/>
    <row r="559" s="97" customFormat="1" x14ac:dyDescent="0.2"/>
    <row r="560" s="97" customFormat="1" x14ac:dyDescent="0.2"/>
    <row r="561" s="97" customFormat="1" x14ac:dyDescent="0.2"/>
    <row r="562" s="97" customFormat="1" x14ac:dyDescent="0.2"/>
    <row r="563" s="97" customFormat="1" x14ac:dyDescent="0.2"/>
    <row r="564" s="97" customFormat="1" x14ac:dyDescent="0.2"/>
    <row r="565" s="97" customFormat="1" x14ac:dyDescent="0.2"/>
    <row r="566" s="97" customFormat="1" x14ac:dyDescent="0.2"/>
    <row r="567" s="97" customFormat="1" x14ac:dyDescent="0.2"/>
    <row r="568" s="97" customFormat="1" x14ac:dyDescent="0.2"/>
    <row r="569" s="97" customFormat="1" x14ac:dyDescent="0.2"/>
    <row r="570" s="97" customFormat="1" x14ac:dyDescent="0.2"/>
    <row r="571" s="97" customFormat="1" x14ac:dyDescent="0.2"/>
    <row r="572" s="97" customFormat="1" x14ac:dyDescent="0.2"/>
    <row r="573" s="97" customFormat="1" x14ac:dyDescent="0.2"/>
    <row r="574" s="97" customFormat="1" x14ac:dyDescent="0.2"/>
    <row r="575" s="97" customFormat="1" x14ac:dyDescent="0.2"/>
    <row r="576" s="97" customFormat="1" x14ac:dyDescent="0.2"/>
    <row r="577" s="97" customFormat="1" x14ac:dyDescent="0.2"/>
    <row r="578" s="97" customFormat="1" x14ac:dyDescent="0.2"/>
    <row r="579" s="97" customFormat="1" x14ac:dyDescent="0.2"/>
    <row r="580" s="97" customFormat="1" x14ac:dyDescent="0.2"/>
    <row r="581" s="97" customFormat="1" x14ac:dyDescent="0.2"/>
    <row r="582" s="97" customFormat="1" x14ac:dyDescent="0.2"/>
    <row r="583" s="97" customFormat="1" x14ac:dyDescent="0.2"/>
    <row r="584" s="97" customFormat="1" x14ac:dyDescent="0.2"/>
    <row r="585" s="97" customFormat="1" x14ac:dyDescent="0.2"/>
    <row r="586" s="97" customFormat="1" x14ac:dyDescent="0.2"/>
    <row r="587" s="97" customFormat="1" x14ac:dyDescent="0.2"/>
    <row r="588" s="97" customFormat="1" x14ac:dyDescent="0.2"/>
    <row r="589" s="97" customFormat="1" x14ac:dyDescent="0.2"/>
    <row r="590" s="97" customFormat="1" x14ac:dyDescent="0.2"/>
    <row r="591" s="97" customFormat="1" x14ac:dyDescent="0.2"/>
    <row r="592" s="97" customFormat="1" x14ac:dyDescent="0.2"/>
    <row r="593" s="97" customFormat="1" x14ac:dyDescent="0.2"/>
    <row r="594" s="97" customFormat="1" x14ac:dyDescent="0.2"/>
    <row r="595" s="97" customFormat="1" x14ac:dyDescent="0.2"/>
    <row r="596" s="97" customFormat="1" x14ac:dyDescent="0.2"/>
    <row r="597" s="97" customFormat="1" x14ac:dyDescent="0.2"/>
    <row r="598" s="97" customFormat="1" x14ac:dyDescent="0.2"/>
    <row r="599" s="97" customFormat="1" x14ac:dyDescent="0.2"/>
    <row r="600" s="97" customFormat="1" x14ac:dyDescent="0.2"/>
    <row r="601" s="97" customFormat="1" x14ac:dyDescent="0.2"/>
    <row r="602" s="97" customFormat="1" x14ac:dyDescent="0.2"/>
    <row r="603" s="97" customFormat="1" x14ac:dyDescent="0.2"/>
    <row r="604" s="97" customFormat="1" x14ac:dyDescent="0.2"/>
    <row r="605" s="97" customFormat="1" x14ac:dyDescent="0.2"/>
    <row r="606" s="97" customFormat="1" x14ac:dyDescent="0.2"/>
    <row r="607" s="97" customFormat="1" x14ac:dyDescent="0.2"/>
    <row r="608" s="97" customFormat="1" x14ac:dyDescent="0.2"/>
    <row r="609" s="97" customFormat="1" x14ac:dyDescent="0.2"/>
    <row r="610" s="97" customFormat="1" x14ac:dyDescent="0.2"/>
    <row r="611" s="97" customFormat="1" x14ac:dyDescent="0.2"/>
    <row r="612" s="97" customFormat="1" x14ac:dyDescent="0.2"/>
    <row r="613" s="97" customFormat="1" x14ac:dyDescent="0.2"/>
    <row r="614" s="97" customFormat="1" x14ac:dyDescent="0.2"/>
    <row r="615" s="97" customFormat="1" x14ac:dyDescent="0.2"/>
    <row r="616" s="97" customFormat="1" x14ac:dyDescent="0.2"/>
    <row r="617" s="97" customFormat="1" x14ac:dyDescent="0.2"/>
    <row r="618" s="97" customFormat="1" x14ac:dyDescent="0.2"/>
    <row r="619" s="97" customFormat="1" x14ac:dyDescent="0.2"/>
    <row r="620" s="97" customFormat="1" x14ac:dyDescent="0.2"/>
    <row r="621" s="97" customFormat="1" x14ac:dyDescent="0.2"/>
    <row r="622" s="97" customFormat="1" x14ac:dyDescent="0.2"/>
    <row r="623" s="97" customFormat="1" x14ac:dyDescent="0.2"/>
    <row r="624" s="97" customFormat="1" x14ac:dyDescent="0.2"/>
    <row r="625" s="97" customFormat="1" x14ac:dyDescent="0.2"/>
    <row r="626" s="97" customFormat="1" x14ac:dyDescent="0.2"/>
    <row r="627" s="97" customFormat="1" x14ac:dyDescent="0.2"/>
    <row r="628" s="97" customFormat="1" x14ac:dyDescent="0.2"/>
    <row r="629" s="97" customFormat="1" x14ac:dyDescent="0.2"/>
    <row r="630" s="97" customFormat="1" x14ac:dyDescent="0.2"/>
    <row r="631" s="97" customFormat="1" x14ac:dyDescent="0.2"/>
    <row r="632" s="97" customFormat="1" x14ac:dyDescent="0.2"/>
    <row r="633" s="97" customFormat="1" x14ac:dyDescent="0.2"/>
    <row r="634" s="97" customFormat="1" x14ac:dyDescent="0.2"/>
    <row r="635" s="97" customFormat="1" x14ac:dyDescent="0.2"/>
    <row r="636" s="97" customFormat="1" x14ac:dyDescent="0.2"/>
    <row r="637" s="97" customFormat="1" x14ac:dyDescent="0.2"/>
    <row r="638" s="97" customFormat="1" x14ac:dyDescent="0.2"/>
    <row r="639" s="97" customFormat="1" x14ac:dyDescent="0.2"/>
    <row r="640" s="97" customFormat="1" x14ac:dyDescent="0.2"/>
    <row r="641" s="97" customFormat="1" x14ac:dyDescent="0.2"/>
    <row r="642" s="97" customFormat="1" x14ac:dyDescent="0.2"/>
    <row r="643" s="97" customFormat="1" x14ac:dyDescent="0.2"/>
    <row r="644" s="97" customFormat="1" x14ac:dyDescent="0.2"/>
    <row r="645" s="97" customFormat="1" x14ac:dyDescent="0.2"/>
    <row r="646" s="97" customFormat="1" x14ac:dyDescent="0.2"/>
    <row r="647" s="97" customFormat="1" x14ac:dyDescent="0.2"/>
    <row r="648" s="97" customFormat="1" x14ac:dyDescent="0.2"/>
    <row r="649" s="97" customFormat="1" x14ac:dyDescent="0.2"/>
    <row r="650" s="97" customFormat="1" x14ac:dyDescent="0.2"/>
    <row r="651" s="97" customFormat="1" x14ac:dyDescent="0.2"/>
    <row r="652" s="97" customFormat="1" x14ac:dyDescent="0.2"/>
    <row r="653" s="97" customFormat="1" x14ac:dyDescent="0.2"/>
    <row r="654" s="97" customFormat="1" x14ac:dyDescent="0.2"/>
    <row r="655" s="97" customFormat="1" x14ac:dyDescent="0.2"/>
    <row r="656" s="97" customFormat="1" x14ac:dyDescent="0.2"/>
    <row r="657" s="97" customFormat="1" x14ac:dyDescent="0.2"/>
    <row r="658" s="97" customFormat="1" x14ac:dyDescent="0.2"/>
    <row r="659" s="97" customFormat="1" x14ac:dyDescent="0.2"/>
    <row r="660" s="97" customFormat="1" x14ac:dyDescent="0.2"/>
    <row r="661" s="97" customFormat="1" x14ac:dyDescent="0.2"/>
    <row r="662" s="97" customFormat="1" x14ac:dyDescent="0.2"/>
    <row r="663" s="97" customFormat="1" x14ac:dyDescent="0.2"/>
    <row r="664" s="97" customFormat="1" x14ac:dyDescent="0.2"/>
    <row r="665" s="97" customFormat="1" x14ac:dyDescent="0.2"/>
    <row r="666" s="97" customFormat="1" x14ac:dyDescent="0.2"/>
    <row r="667" s="97" customFormat="1" x14ac:dyDescent="0.2"/>
    <row r="668" s="97" customFormat="1" x14ac:dyDescent="0.2"/>
    <row r="669" s="97" customFormat="1" x14ac:dyDescent="0.2"/>
    <row r="670" s="97" customFormat="1" x14ac:dyDescent="0.2"/>
    <row r="671" s="97" customFormat="1" x14ac:dyDescent="0.2"/>
    <row r="672" s="97" customFormat="1" x14ac:dyDescent="0.2"/>
    <row r="673" s="97" customFormat="1" x14ac:dyDescent="0.2"/>
    <row r="674" s="97" customFormat="1" x14ac:dyDescent="0.2"/>
    <row r="675" s="97" customFormat="1" x14ac:dyDescent="0.2"/>
    <row r="676" s="97" customFormat="1" x14ac:dyDescent="0.2"/>
    <row r="677" s="97" customFormat="1" x14ac:dyDescent="0.2"/>
    <row r="678" s="97" customFormat="1" x14ac:dyDescent="0.2"/>
    <row r="679" s="97" customFormat="1" x14ac:dyDescent="0.2"/>
    <row r="680" s="97" customFormat="1" x14ac:dyDescent="0.2"/>
    <row r="681" s="97" customFormat="1" x14ac:dyDescent="0.2"/>
    <row r="682" s="97" customFormat="1" x14ac:dyDescent="0.2"/>
    <row r="683" s="97" customFormat="1" x14ac:dyDescent="0.2"/>
    <row r="684" s="97" customFormat="1" x14ac:dyDescent="0.2"/>
    <row r="685" s="97" customFormat="1" x14ac:dyDescent="0.2"/>
    <row r="686" s="97" customFormat="1" x14ac:dyDescent="0.2"/>
    <row r="687" s="97" customFormat="1" x14ac:dyDescent="0.2"/>
    <row r="688" s="97" customFormat="1" x14ac:dyDescent="0.2"/>
    <row r="689" s="97" customFormat="1" x14ac:dyDescent="0.2"/>
    <row r="690" s="97" customFormat="1" x14ac:dyDescent="0.2"/>
    <row r="691" s="97" customFormat="1" x14ac:dyDescent="0.2"/>
    <row r="692" s="97" customFormat="1" x14ac:dyDescent="0.2"/>
    <row r="693" s="97" customFormat="1" x14ac:dyDescent="0.2"/>
    <row r="694" s="97" customFormat="1" x14ac:dyDescent="0.2"/>
    <row r="695" s="97" customFormat="1" x14ac:dyDescent="0.2"/>
    <row r="696" s="97" customFormat="1" x14ac:dyDescent="0.2"/>
    <row r="697" s="97" customFormat="1" x14ac:dyDescent="0.2"/>
    <row r="698" s="97" customFormat="1" x14ac:dyDescent="0.2"/>
    <row r="699" s="97" customFormat="1" x14ac:dyDescent="0.2"/>
    <row r="700" s="97" customFormat="1" x14ac:dyDescent="0.2"/>
    <row r="701" s="97" customFormat="1" x14ac:dyDescent="0.2"/>
    <row r="702" s="97" customFormat="1" x14ac:dyDescent="0.2"/>
    <row r="703" s="97" customFormat="1" x14ac:dyDescent="0.2"/>
    <row r="704" s="97" customFormat="1" x14ac:dyDescent="0.2"/>
    <row r="705" s="97" customFormat="1" x14ac:dyDescent="0.2"/>
    <row r="706" s="97" customFormat="1" x14ac:dyDescent="0.2"/>
    <row r="707" s="97" customFormat="1" x14ac:dyDescent="0.2"/>
    <row r="708" s="97" customFormat="1" x14ac:dyDescent="0.2"/>
    <row r="709" s="97" customFormat="1" x14ac:dyDescent="0.2"/>
    <row r="710" s="97" customFormat="1" x14ac:dyDescent="0.2"/>
    <row r="711" s="97" customFormat="1" x14ac:dyDescent="0.2"/>
    <row r="712" s="97" customFormat="1" x14ac:dyDescent="0.2"/>
    <row r="713" s="97" customFormat="1" x14ac:dyDescent="0.2"/>
    <row r="714" s="97" customFormat="1" x14ac:dyDescent="0.2"/>
    <row r="715" s="97" customFormat="1" x14ac:dyDescent="0.2"/>
    <row r="716" s="97" customFormat="1" x14ac:dyDescent="0.2"/>
    <row r="717" s="97" customFormat="1" x14ac:dyDescent="0.2"/>
    <row r="718" s="97" customFormat="1" x14ac:dyDescent="0.2"/>
    <row r="719" s="97" customFormat="1" x14ac:dyDescent="0.2"/>
    <row r="720" s="97" customFormat="1" x14ac:dyDescent="0.2"/>
    <row r="721" s="97" customFormat="1" x14ac:dyDescent="0.2"/>
    <row r="722" s="97" customFormat="1" x14ac:dyDescent="0.2"/>
    <row r="723" s="97" customFormat="1" x14ac:dyDescent="0.2"/>
    <row r="724" s="97" customFormat="1" x14ac:dyDescent="0.2"/>
    <row r="725" s="97" customFormat="1" x14ac:dyDescent="0.2"/>
    <row r="726" s="97" customFormat="1" x14ac:dyDescent="0.2"/>
    <row r="727" s="97" customFormat="1" x14ac:dyDescent="0.2"/>
    <row r="728" s="97" customFormat="1" x14ac:dyDescent="0.2"/>
    <row r="729" s="97" customFormat="1" x14ac:dyDescent="0.2"/>
    <row r="730" s="97" customFormat="1" x14ac:dyDescent="0.2"/>
    <row r="731" s="97" customFormat="1" x14ac:dyDescent="0.2"/>
    <row r="732" s="97" customFormat="1" x14ac:dyDescent="0.2"/>
    <row r="733" s="97" customFormat="1" x14ac:dyDescent="0.2"/>
    <row r="734" s="97" customFormat="1" x14ac:dyDescent="0.2"/>
    <row r="735" s="97" customFormat="1" x14ac:dyDescent="0.2"/>
    <row r="736" s="97" customFormat="1" x14ac:dyDescent="0.2"/>
    <row r="737" s="97" customFormat="1" x14ac:dyDescent="0.2"/>
    <row r="738" s="97" customFormat="1" x14ac:dyDescent="0.2"/>
    <row r="739" s="97" customFormat="1" x14ac:dyDescent="0.2"/>
    <row r="740" s="97" customFormat="1" x14ac:dyDescent="0.2"/>
    <row r="741" s="97" customFormat="1" x14ac:dyDescent="0.2"/>
    <row r="742" s="97" customFormat="1" x14ac:dyDescent="0.2"/>
    <row r="743" s="97" customFormat="1" x14ac:dyDescent="0.2"/>
    <row r="744" s="97" customFormat="1" x14ac:dyDescent="0.2"/>
    <row r="745" s="97" customFormat="1" x14ac:dyDescent="0.2"/>
    <row r="746" s="97" customFormat="1" x14ac:dyDescent="0.2"/>
    <row r="747" s="97" customFormat="1" x14ac:dyDescent="0.2"/>
    <row r="748" s="97" customFormat="1" x14ac:dyDescent="0.2"/>
    <row r="749" s="97" customFormat="1" x14ac:dyDescent="0.2"/>
    <row r="750" s="97" customFormat="1" x14ac:dyDescent="0.2"/>
    <row r="751" s="97" customFormat="1" x14ac:dyDescent="0.2"/>
    <row r="752" s="97" customFormat="1" x14ac:dyDescent="0.2"/>
    <row r="753" s="97" customFormat="1" x14ac:dyDescent="0.2"/>
    <row r="754" s="97" customFormat="1" x14ac:dyDescent="0.2"/>
    <row r="755" s="97" customFormat="1" x14ac:dyDescent="0.2"/>
    <row r="756" s="97" customFormat="1" x14ac:dyDescent="0.2"/>
    <row r="757" s="97" customFormat="1" x14ac:dyDescent="0.2"/>
    <row r="758" s="97" customFormat="1" x14ac:dyDescent="0.2"/>
    <row r="759" s="97" customFormat="1" x14ac:dyDescent="0.2"/>
    <row r="760" s="97" customFormat="1" x14ac:dyDescent="0.2"/>
    <row r="761" s="97" customFormat="1" x14ac:dyDescent="0.2"/>
    <row r="762" s="97" customFormat="1" x14ac:dyDescent="0.2"/>
    <row r="763" s="97" customFormat="1" x14ac:dyDescent="0.2"/>
    <row r="764" s="97" customFormat="1" x14ac:dyDescent="0.2"/>
    <row r="765" s="97" customFormat="1" x14ac:dyDescent="0.2"/>
    <row r="766" s="97" customFormat="1" x14ac:dyDescent="0.2"/>
    <row r="767" s="97" customFormat="1" x14ac:dyDescent="0.2"/>
    <row r="768" s="97" customFormat="1" x14ac:dyDescent="0.2"/>
    <row r="769" s="97" customFormat="1" x14ac:dyDescent="0.2"/>
    <row r="770" s="97" customFormat="1" x14ac:dyDescent="0.2"/>
    <row r="771" s="97" customFormat="1" x14ac:dyDescent="0.2"/>
    <row r="772" s="97" customFormat="1" x14ac:dyDescent="0.2"/>
    <row r="773" s="97" customFormat="1" x14ac:dyDescent="0.2"/>
    <row r="774" s="97" customFormat="1" x14ac:dyDescent="0.2"/>
    <row r="775" s="97" customFormat="1" x14ac:dyDescent="0.2"/>
    <row r="776" s="97" customFormat="1" x14ac:dyDescent="0.2"/>
    <row r="777" s="97" customFormat="1" x14ac:dyDescent="0.2"/>
    <row r="778" s="97" customFormat="1" x14ac:dyDescent="0.2"/>
    <row r="779" s="97" customFormat="1" x14ac:dyDescent="0.2"/>
    <row r="780" s="97" customFormat="1" x14ac:dyDescent="0.2"/>
    <row r="781" s="97" customFormat="1" x14ac:dyDescent="0.2"/>
    <row r="782" s="97" customFormat="1" x14ac:dyDescent="0.2"/>
    <row r="783" s="97" customFormat="1" x14ac:dyDescent="0.2"/>
    <row r="784" s="97" customFormat="1" x14ac:dyDescent="0.2"/>
    <row r="785" s="97" customFormat="1" x14ac:dyDescent="0.2"/>
    <row r="786" s="97" customFormat="1" x14ac:dyDescent="0.2"/>
    <row r="787" s="97" customFormat="1" x14ac:dyDescent="0.2"/>
    <row r="788" s="97" customFormat="1" x14ac:dyDescent="0.2"/>
    <row r="789" s="97" customFormat="1" x14ac:dyDescent="0.2"/>
    <row r="790" s="97" customFormat="1" x14ac:dyDescent="0.2"/>
    <row r="791" s="97" customFormat="1" x14ac:dyDescent="0.2"/>
    <row r="792" s="97" customFormat="1" x14ac:dyDescent="0.2"/>
    <row r="793" s="97" customFormat="1" x14ac:dyDescent="0.2"/>
    <row r="794" s="97" customFormat="1" x14ac:dyDescent="0.2"/>
    <row r="795" s="97" customFormat="1" x14ac:dyDescent="0.2"/>
    <row r="796" s="97" customFormat="1" x14ac:dyDescent="0.2"/>
    <row r="797" s="97" customFormat="1" x14ac:dyDescent="0.2"/>
    <row r="798" s="97" customFormat="1" x14ac:dyDescent="0.2"/>
    <row r="799" s="97" customFormat="1" x14ac:dyDescent="0.2"/>
    <row r="800" s="97" customFormat="1" x14ac:dyDescent="0.2"/>
    <row r="801" s="97" customFormat="1" x14ac:dyDescent="0.2"/>
    <row r="802" s="97" customFormat="1" x14ac:dyDescent="0.2"/>
    <row r="803" s="97" customFormat="1" x14ac:dyDescent="0.2"/>
    <row r="804" s="97" customFormat="1" x14ac:dyDescent="0.2"/>
    <row r="805" s="97" customFormat="1" x14ac:dyDescent="0.2"/>
    <row r="806" s="97" customFormat="1" x14ac:dyDescent="0.2"/>
    <row r="807" s="97" customFormat="1" x14ac:dyDescent="0.2"/>
    <row r="808" s="97" customFormat="1" x14ac:dyDescent="0.2"/>
    <row r="809" s="97" customFormat="1" x14ac:dyDescent="0.2"/>
    <row r="810" s="97" customFormat="1" x14ac:dyDescent="0.2"/>
    <row r="811" s="97" customFormat="1" x14ac:dyDescent="0.2"/>
    <row r="812" s="97" customFormat="1" x14ac:dyDescent="0.2"/>
    <row r="813" s="97" customFormat="1" x14ac:dyDescent="0.2"/>
    <row r="814" s="97" customFormat="1" x14ac:dyDescent="0.2"/>
    <row r="815" s="97" customFormat="1" x14ac:dyDescent="0.2"/>
    <row r="816" s="97" customFormat="1" x14ac:dyDescent="0.2"/>
    <row r="817" s="97" customFormat="1" x14ac:dyDescent="0.2"/>
    <row r="818" s="97" customFormat="1" x14ac:dyDescent="0.2"/>
    <row r="819" s="97" customFormat="1" x14ac:dyDescent="0.2"/>
    <row r="820" s="97" customFormat="1" x14ac:dyDescent="0.2"/>
    <row r="821" s="97" customFormat="1" x14ac:dyDescent="0.2"/>
    <row r="822" s="97" customFormat="1" x14ac:dyDescent="0.2"/>
    <row r="823" s="97" customFormat="1" x14ac:dyDescent="0.2"/>
    <row r="824" s="97" customFormat="1" x14ac:dyDescent="0.2"/>
    <row r="825" s="97" customFormat="1" x14ac:dyDescent="0.2"/>
    <row r="826" s="97" customFormat="1" x14ac:dyDescent="0.2"/>
    <row r="827" s="97" customFormat="1" x14ac:dyDescent="0.2"/>
    <row r="828" s="97" customFormat="1" x14ac:dyDescent="0.2"/>
    <row r="829" s="97" customFormat="1" x14ac:dyDescent="0.2"/>
    <row r="830" s="97" customFormat="1" x14ac:dyDescent="0.2"/>
    <row r="831" s="97" customFormat="1" x14ac:dyDescent="0.2"/>
    <row r="832" s="97" customFormat="1" x14ac:dyDescent="0.2"/>
    <row r="833" s="97" customFormat="1" x14ac:dyDescent="0.2"/>
    <row r="834" s="97" customFormat="1" x14ac:dyDescent="0.2"/>
    <row r="835" s="97" customFormat="1" x14ac:dyDescent="0.2"/>
    <row r="836" s="97" customFormat="1" x14ac:dyDescent="0.2"/>
    <row r="837" s="97" customFormat="1" x14ac:dyDescent="0.2"/>
    <row r="838" s="97" customFormat="1" x14ac:dyDescent="0.2"/>
    <row r="839" s="97" customFormat="1" x14ac:dyDescent="0.2"/>
    <row r="840" s="97" customFormat="1" x14ac:dyDescent="0.2"/>
    <row r="841" s="97" customFormat="1" x14ac:dyDescent="0.2"/>
    <row r="842" s="97" customFormat="1" x14ac:dyDescent="0.2"/>
    <row r="843" s="97" customFormat="1" x14ac:dyDescent="0.2"/>
    <row r="844" s="97" customFormat="1" x14ac:dyDescent="0.2"/>
    <row r="845" s="97" customFormat="1" x14ac:dyDescent="0.2"/>
    <row r="846" s="97" customFormat="1" x14ac:dyDescent="0.2"/>
    <row r="847" s="97" customFormat="1" x14ac:dyDescent="0.2"/>
    <row r="848" s="97" customFormat="1" x14ac:dyDescent="0.2"/>
    <row r="849" s="97" customFormat="1" x14ac:dyDescent="0.2"/>
    <row r="850" s="97" customFormat="1" x14ac:dyDescent="0.2"/>
    <row r="851" s="97" customFormat="1" x14ac:dyDescent="0.2"/>
    <row r="852" s="97" customFormat="1" x14ac:dyDescent="0.2"/>
    <row r="853" s="97" customFormat="1" x14ac:dyDescent="0.2"/>
    <row r="854" s="97" customFormat="1" x14ac:dyDescent="0.2"/>
    <row r="855" s="97" customFormat="1" x14ac:dyDescent="0.2"/>
    <row r="856" s="97" customFormat="1" x14ac:dyDescent="0.2"/>
    <row r="857" s="97" customFormat="1" x14ac:dyDescent="0.2"/>
    <row r="858" s="97" customFormat="1" x14ac:dyDescent="0.2"/>
    <row r="859" s="97" customFormat="1" x14ac:dyDescent="0.2"/>
    <row r="860" s="97" customFormat="1" x14ac:dyDescent="0.2"/>
    <row r="861" s="97" customFormat="1" x14ac:dyDescent="0.2"/>
    <row r="862" s="97" customFormat="1" x14ac:dyDescent="0.2"/>
    <row r="863" s="97" customFormat="1" x14ac:dyDescent="0.2"/>
    <row r="864" s="97" customFormat="1" x14ac:dyDescent="0.2"/>
    <row r="865" s="97" customFormat="1" x14ac:dyDescent="0.2"/>
    <row r="866" s="97" customFormat="1" x14ac:dyDescent="0.2"/>
    <row r="867" s="97" customFormat="1" x14ac:dyDescent="0.2"/>
    <row r="868" s="97" customFormat="1" x14ac:dyDescent="0.2"/>
    <row r="869" s="97" customFormat="1" x14ac:dyDescent="0.2"/>
    <row r="870" s="97" customFormat="1" x14ac:dyDescent="0.2"/>
    <row r="871" s="97" customFormat="1" x14ac:dyDescent="0.2"/>
    <row r="872" s="97" customFormat="1" x14ac:dyDescent="0.2"/>
    <row r="873" s="97" customFormat="1" x14ac:dyDescent="0.2"/>
    <row r="874" s="97" customFormat="1" x14ac:dyDescent="0.2"/>
    <row r="875" s="97" customFormat="1" x14ac:dyDescent="0.2"/>
    <row r="876" s="97" customFormat="1" x14ac:dyDescent="0.2"/>
    <row r="877" s="97" customFormat="1" x14ac:dyDescent="0.2"/>
    <row r="878" s="97" customFormat="1" x14ac:dyDescent="0.2"/>
    <row r="879" s="97" customFormat="1" x14ac:dyDescent="0.2"/>
    <row r="880" s="97" customFormat="1" x14ac:dyDescent="0.2"/>
    <row r="881" s="97" customFormat="1" x14ac:dyDescent="0.2"/>
    <row r="882" s="97" customFormat="1" x14ac:dyDescent="0.2"/>
    <row r="883" s="97" customFormat="1" x14ac:dyDescent="0.2"/>
    <row r="884" s="97" customFormat="1" x14ac:dyDescent="0.2"/>
    <row r="885" s="97" customFormat="1" x14ac:dyDescent="0.2"/>
    <row r="886" s="97" customFormat="1" x14ac:dyDescent="0.2"/>
    <row r="887" s="97" customFormat="1" x14ac:dyDescent="0.2"/>
    <row r="888" s="97" customFormat="1" x14ac:dyDescent="0.2"/>
    <row r="889" s="97" customFormat="1" x14ac:dyDescent="0.2"/>
    <row r="890" s="97" customFormat="1" x14ac:dyDescent="0.2"/>
    <row r="891" s="97" customFormat="1" x14ac:dyDescent="0.2"/>
    <row r="892" s="97" customFormat="1" x14ac:dyDescent="0.2"/>
    <row r="893" s="97" customFormat="1" x14ac:dyDescent="0.2"/>
    <row r="894" s="97" customFormat="1" x14ac:dyDescent="0.2"/>
    <row r="895" s="97" customFormat="1" x14ac:dyDescent="0.2"/>
    <row r="896" s="97" customFormat="1" x14ac:dyDescent="0.2"/>
    <row r="897" s="97" customFormat="1" x14ac:dyDescent="0.2"/>
    <row r="898" s="97" customFormat="1" x14ac:dyDescent="0.2"/>
    <row r="899" s="97" customFormat="1" x14ac:dyDescent="0.2"/>
    <row r="900" s="97" customFormat="1" x14ac:dyDescent="0.2"/>
    <row r="901" s="97" customFormat="1" x14ac:dyDescent="0.2"/>
    <row r="902" s="97" customFormat="1" x14ac:dyDescent="0.2"/>
    <row r="903" s="97" customFormat="1" x14ac:dyDescent="0.2"/>
    <row r="904" s="97" customFormat="1" x14ac:dyDescent="0.2"/>
    <row r="905" s="97" customFormat="1" x14ac:dyDescent="0.2"/>
    <row r="906" s="97" customFormat="1" x14ac:dyDescent="0.2"/>
    <row r="907" s="97" customFormat="1" x14ac:dyDescent="0.2"/>
    <row r="908" s="97" customFormat="1" x14ac:dyDescent="0.2"/>
    <row r="909" s="97" customFormat="1" x14ac:dyDescent="0.2"/>
    <row r="910" s="97" customFormat="1" x14ac:dyDescent="0.2"/>
    <row r="911" s="97" customFormat="1" x14ac:dyDescent="0.2"/>
    <row r="912" s="97" customFormat="1" x14ac:dyDescent="0.2"/>
    <row r="913" s="97" customFormat="1" x14ac:dyDescent="0.2"/>
    <row r="914" s="97" customFormat="1" x14ac:dyDescent="0.2"/>
    <row r="915" s="97" customFormat="1" x14ac:dyDescent="0.2"/>
    <row r="916" s="97" customFormat="1" x14ac:dyDescent="0.2"/>
    <row r="917" s="97" customFormat="1" x14ac:dyDescent="0.2"/>
    <row r="918" s="97" customFormat="1" x14ac:dyDescent="0.2"/>
    <row r="919" s="97" customFormat="1" x14ac:dyDescent="0.2"/>
    <row r="920" s="97" customFormat="1" x14ac:dyDescent="0.2"/>
    <row r="921" s="97" customFormat="1" x14ac:dyDescent="0.2"/>
    <row r="922" s="97" customFormat="1" x14ac:dyDescent="0.2"/>
    <row r="923" s="97" customFormat="1" x14ac:dyDescent="0.2"/>
    <row r="924" s="97" customFormat="1" x14ac:dyDescent="0.2"/>
    <row r="925" s="97" customFormat="1" x14ac:dyDescent="0.2"/>
    <row r="926" s="97" customFormat="1" x14ac:dyDescent="0.2"/>
    <row r="927" s="97" customFormat="1" x14ac:dyDescent="0.2"/>
    <row r="928" s="97" customFormat="1" x14ac:dyDescent="0.2"/>
    <row r="929" s="97" customFormat="1" x14ac:dyDescent="0.2"/>
    <row r="930" s="97" customFormat="1" x14ac:dyDescent="0.2"/>
    <row r="931" s="97" customFormat="1" x14ac:dyDescent="0.2"/>
    <row r="932" s="97" customFormat="1" x14ac:dyDescent="0.2"/>
    <row r="933" s="97" customFormat="1" x14ac:dyDescent="0.2"/>
    <row r="934" s="97" customFormat="1" x14ac:dyDescent="0.2"/>
    <row r="935" s="97" customFormat="1" x14ac:dyDescent="0.2"/>
    <row r="936" s="97" customFormat="1" x14ac:dyDescent="0.2"/>
    <row r="937" s="97" customFormat="1" x14ac:dyDescent="0.2"/>
    <row r="938" s="97" customFormat="1" x14ac:dyDescent="0.2"/>
    <row r="939" s="97" customFormat="1" x14ac:dyDescent="0.2"/>
    <row r="940" s="97" customFormat="1" x14ac:dyDescent="0.2"/>
    <row r="941" s="97" customFormat="1" x14ac:dyDescent="0.2"/>
    <row r="942" s="97" customFormat="1" x14ac:dyDescent="0.2"/>
    <row r="943" s="97" customFormat="1" x14ac:dyDescent="0.2"/>
    <row r="944" s="97" customFormat="1" x14ac:dyDescent="0.2"/>
    <row r="945" s="97" customFormat="1" x14ac:dyDescent="0.2"/>
    <row r="946" s="97" customFormat="1" x14ac:dyDescent="0.2"/>
    <row r="947" s="97" customFormat="1" x14ac:dyDescent="0.2"/>
    <row r="948" s="97" customFormat="1" x14ac:dyDescent="0.2"/>
    <row r="949" s="97" customFormat="1" x14ac:dyDescent="0.2"/>
    <row r="950" s="97" customFormat="1" x14ac:dyDescent="0.2"/>
    <row r="951" s="97" customFormat="1" x14ac:dyDescent="0.2"/>
    <row r="952" s="97" customFormat="1" x14ac:dyDescent="0.2"/>
    <row r="953" s="97" customFormat="1" x14ac:dyDescent="0.2"/>
    <row r="954" s="97" customFormat="1" x14ac:dyDescent="0.2"/>
    <row r="955" s="97" customFormat="1" x14ac:dyDescent="0.2"/>
    <row r="956" s="97" customFormat="1" x14ac:dyDescent="0.2"/>
    <row r="957" s="97" customFormat="1" x14ac:dyDescent="0.2"/>
    <row r="958" s="97" customFormat="1" x14ac:dyDescent="0.2"/>
    <row r="959" s="97" customFormat="1" x14ac:dyDescent="0.2"/>
    <row r="960" s="97" customFormat="1" x14ac:dyDescent="0.2"/>
    <row r="961" s="97" customFormat="1" x14ac:dyDescent="0.2"/>
    <row r="962" s="97" customFormat="1" x14ac:dyDescent="0.2"/>
    <row r="963" s="97" customFormat="1" x14ac:dyDescent="0.2"/>
    <row r="964" s="97" customFormat="1" x14ac:dyDescent="0.2"/>
    <row r="965" s="97" customFormat="1" x14ac:dyDescent="0.2"/>
    <row r="966" s="97" customFormat="1" x14ac:dyDescent="0.2"/>
    <row r="967" s="97" customFormat="1" x14ac:dyDescent="0.2"/>
    <row r="968" s="97" customFormat="1" x14ac:dyDescent="0.2"/>
    <row r="969" s="97" customFormat="1" x14ac:dyDescent="0.2"/>
    <row r="970" s="97" customFormat="1" x14ac:dyDescent="0.2"/>
    <row r="971" s="97" customFormat="1" x14ac:dyDescent="0.2"/>
    <row r="972" s="97" customFormat="1" x14ac:dyDescent="0.2"/>
    <row r="973" s="97" customFormat="1" x14ac:dyDescent="0.2"/>
    <row r="974" s="97" customFormat="1" x14ac:dyDescent="0.2"/>
    <row r="975" s="97" customFormat="1" x14ac:dyDescent="0.2"/>
    <row r="976" s="97" customFormat="1" x14ac:dyDescent="0.2"/>
    <row r="977" s="97" customFormat="1" x14ac:dyDescent="0.2"/>
    <row r="978" s="97" customFormat="1" x14ac:dyDescent="0.2"/>
    <row r="979" s="97" customFormat="1" x14ac:dyDescent="0.2"/>
    <row r="980" s="97" customFormat="1" x14ac:dyDescent="0.2"/>
    <row r="981" s="97" customFormat="1" x14ac:dyDescent="0.2"/>
    <row r="982" s="97" customFormat="1" x14ac:dyDescent="0.2"/>
    <row r="983" s="97" customFormat="1" x14ac:dyDescent="0.2"/>
    <row r="984" s="97" customFormat="1" x14ac:dyDescent="0.2"/>
    <row r="985" s="97" customFormat="1" x14ac:dyDescent="0.2"/>
    <row r="986" s="97" customFormat="1" x14ac:dyDescent="0.2"/>
    <row r="987" s="97" customFormat="1" x14ac:dyDescent="0.2"/>
    <row r="988" s="97" customFormat="1" x14ac:dyDescent="0.2"/>
    <row r="989" s="97" customFormat="1" x14ac:dyDescent="0.2"/>
    <row r="990" s="97" customFormat="1" x14ac:dyDescent="0.2"/>
    <row r="991" s="97" customFormat="1" x14ac:dyDescent="0.2"/>
    <row r="992" s="97" customFormat="1" x14ac:dyDescent="0.2"/>
    <row r="993" s="97" customFormat="1" x14ac:dyDescent="0.2"/>
    <row r="994" s="97" customFormat="1" x14ac:dyDescent="0.2"/>
    <row r="995" s="97" customFormat="1" x14ac:dyDescent="0.2"/>
    <row r="996" s="97" customFormat="1" x14ac:dyDescent="0.2"/>
    <row r="997" s="97" customFormat="1" x14ac:dyDescent="0.2"/>
    <row r="998" s="97" customFormat="1" x14ac:dyDescent="0.2"/>
    <row r="999" s="97" customFormat="1" x14ac:dyDescent="0.2"/>
    <row r="1000" s="97" customFormat="1" x14ac:dyDescent="0.2"/>
    <row r="1001" s="97" customFormat="1" x14ac:dyDescent="0.2"/>
    <row r="1002" s="97" customFormat="1" x14ac:dyDescent="0.2"/>
    <row r="1003" s="97" customFormat="1" x14ac:dyDescent="0.2"/>
    <row r="1004" s="97" customFormat="1" x14ac:dyDescent="0.2"/>
    <row r="1005" s="97" customFormat="1" x14ac:dyDescent="0.2"/>
    <row r="1006" s="97" customFormat="1" x14ac:dyDescent="0.2"/>
    <row r="1007" s="97" customFormat="1" x14ac:dyDescent="0.2"/>
    <row r="1008" s="97" customFormat="1" x14ac:dyDescent="0.2"/>
    <row r="1009" s="97" customFormat="1" x14ac:dyDescent="0.2"/>
    <row r="1010" s="97" customFormat="1" x14ac:dyDescent="0.2"/>
    <row r="1011" s="97" customFormat="1" x14ac:dyDescent="0.2"/>
    <row r="1012" s="97" customFormat="1" x14ac:dyDescent="0.2"/>
    <row r="1013" s="97" customFormat="1" x14ac:dyDescent="0.2"/>
    <row r="1014" s="97" customFormat="1" x14ac:dyDescent="0.2"/>
    <row r="1015" s="97" customFormat="1" x14ac:dyDescent="0.2"/>
    <row r="1016" s="97" customFormat="1" x14ac:dyDescent="0.2"/>
    <row r="1017" s="97" customFormat="1" x14ac:dyDescent="0.2"/>
    <row r="1018" s="97" customFormat="1" x14ac:dyDescent="0.2"/>
    <row r="1019" s="97" customFormat="1" x14ac:dyDescent="0.2"/>
    <row r="1020" s="97" customFormat="1" x14ac:dyDescent="0.2"/>
    <row r="1021" s="97" customFormat="1" x14ac:dyDescent="0.2"/>
    <row r="1022" s="97" customFormat="1" x14ac:dyDescent="0.2"/>
    <row r="1023" s="97" customFormat="1" x14ac:dyDescent="0.2"/>
    <row r="1024" s="97" customFormat="1" x14ac:dyDescent="0.2"/>
    <row r="1025" s="97" customFormat="1" x14ac:dyDescent="0.2"/>
    <row r="1026" s="97" customFormat="1" x14ac:dyDescent="0.2"/>
    <row r="1027" s="97" customFormat="1" x14ac:dyDescent="0.2"/>
    <row r="1028" s="97" customFormat="1" x14ac:dyDescent="0.2"/>
    <row r="1029" s="97" customFormat="1" x14ac:dyDescent="0.2"/>
    <row r="1030" s="97" customFormat="1" x14ac:dyDescent="0.2"/>
    <row r="1031" s="97" customFormat="1" x14ac:dyDescent="0.2"/>
    <row r="1032" s="97" customFormat="1" x14ac:dyDescent="0.2"/>
    <row r="1033" s="97" customFormat="1" x14ac:dyDescent="0.2"/>
    <row r="1034" s="97" customFormat="1" x14ac:dyDescent="0.2"/>
    <row r="1035" s="97" customFormat="1" x14ac:dyDescent="0.2"/>
    <row r="1036" s="97" customFormat="1" x14ac:dyDescent="0.2"/>
    <row r="1037" s="97" customFormat="1" x14ac:dyDescent="0.2"/>
    <row r="1038" s="97" customFormat="1" x14ac:dyDescent="0.2"/>
    <row r="1039" s="97" customFormat="1" x14ac:dyDescent="0.2"/>
    <row r="1040" s="97" customFormat="1" x14ac:dyDescent="0.2"/>
    <row r="1041" s="97" customFormat="1" x14ac:dyDescent="0.2"/>
    <row r="1042" s="97" customFormat="1" x14ac:dyDescent="0.2"/>
    <row r="1043" s="97" customFormat="1" x14ac:dyDescent="0.2"/>
    <row r="1044" s="97" customFormat="1" x14ac:dyDescent="0.2"/>
    <row r="1045" s="97" customFormat="1" x14ac:dyDescent="0.2"/>
    <row r="1046" s="97" customFormat="1" x14ac:dyDescent="0.2"/>
    <row r="1047" s="97" customFormat="1" x14ac:dyDescent="0.2"/>
    <row r="1048" s="97" customFormat="1" x14ac:dyDescent="0.2"/>
    <row r="1049" s="97" customFormat="1" x14ac:dyDescent="0.2"/>
    <row r="1050" s="97" customFormat="1" x14ac:dyDescent="0.2"/>
    <row r="1051" s="97" customFormat="1" x14ac:dyDescent="0.2"/>
    <row r="1052" s="97" customFormat="1" x14ac:dyDescent="0.2"/>
    <row r="1053" s="97" customFormat="1" x14ac:dyDescent="0.2"/>
    <row r="1054" s="97" customFormat="1" x14ac:dyDescent="0.2"/>
    <row r="1055" s="97" customFormat="1" x14ac:dyDescent="0.2"/>
    <row r="1056" s="97" customFormat="1" x14ac:dyDescent="0.2"/>
    <row r="1057" s="97" customFormat="1" x14ac:dyDescent="0.2"/>
    <row r="1058" s="97" customFormat="1" x14ac:dyDescent="0.2"/>
    <row r="1059" s="97" customFormat="1" x14ac:dyDescent="0.2"/>
    <row r="1060" s="97" customFormat="1" x14ac:dyDescent="0.2"/>
    <row r="1061" s="97" customFormat="1" x14ac:dyDescent="0.2"/>
    <row r="1062" s="97" customFormat="1" x14ac:dyDescent="0.2"/>
    <row r="1063" s="97" customFormat="1" x14ac:dyDescent="0.2"/>
    <row r="1064" s="97" customFormat="1" x14ac:dyDescent="0.2"/>
    <row r="1065" s="97" customFormat="1" x14ac:dyDescent="0.2"/>
    <row r="1066" s="97" customFormat="1" x14ac:dyDescent="0.2"/>
    <row r="1067" s="97" customFormat="1" x14ac:dyDescent="0.2"/>
    <row r="1068" s="97" customFormat="1" x14ac:dyDescent="0.2"/>
    <row r="1069" s="97" customFormat="1" x14ac:dyDescent="0.2"/>
    <row r="1070" s="97" customFormat="1" x14ac:dyDescent="0.2"/>
    <row r="1071" s="97" customFormat="1" x14ac:dyDescent="0.2"/>
    <row r="1072" s="97" customFormat="1" x14ac:dyDescent="0.2"/>
    <row r="1073" s="97" customFormat="1" x14ac:dyDescent="0.2"/>
    <row r="1074" s="97" customFormat="1" x14ac:dyDescent="0.2"/>
    <row r="1075" s="97" customFormat="1" x14ac:dyDescent="0.2"/>
    <row r="1076" s="97" customFormat="1" x14ac:dyDescent="0.2"/>
    <row r="1077" s="97" customFormat="1" x14ac:dyDescent="0.2"/>
    <row r="1078" s="97" customFormat="1" x14ac:dyDescent="0.2"/>
    <row r="1079" s="97" customFormat="1" x14ac:dyDescent="0.2"/>
    <row r="1080" s="97" customFormat="1" x14ac:dyDescent="0.2"/>
    <row r="1081" s="97" customFormat="1" x14ac:dyDescent="0.2"/>
    <row r="1082" s="97" customFormat="1" x14ac:dyDescent="0.2"/>
    <row r="1083" s="97" customFormat="1" x14ac:dyDescent="0.2"/>
    <row r="1084" s="97" customFormat="1" x14ac:dyDescent="0.2"/>
    <row r="1085" s="97" customFormat="1" x14ac:dyDescent="0.2"/>
    <row r="1086" s="97" customFormat="1" x14ac:dyDescent="0.2"/>
    <row r="1087" s="97" customFormat="1" x14ac:dyDescent="0.2"/>
    <row r="1088" s="97" customFormat="1" x14ac:dyDescent="0.2"/>
    <row r="1089" s="97" customFormat="1" x14ac:dyDescent="0.2"/>
    <row r="1090" s="97" customFormat="1" x14ac:dyDescent="0.2"/>
    <row r="1091" s="97" customFormat="1" x14ac:dyDescent="0.2"/>
    <row r="1092" s="97" customFormat="1" x14ac:dyDescent="0.2"/>
    <row r="1093" s="97" customFormat="1" x14ac:dyDescent="0.2"/>
    <row r="1094" s="97" customFormat="1" x14ac:dyDescent="0.2"/>
    <row r="1095" s="97" customFormat="1" x14ac:dyDescent="0.2"/>
    <row r="1096" s="97" customFormat="1" x14ac:dyDescent="0.2"/>
    <row r="1097" s="97" customFormat="1" x14ac:dyDescent="0.2"/>
    <row r="1098" s="97" customFormat="1" x14ac:dyDescent="0.2"/>
    <row r="1099" s="97" customFormat="1" x14ac:dyDescent="0.2"/>
    <row r="1100" s="97" customFormat="1" x14ac:dyDescent="0.2"/>
    <row r="1101" s="97" customFormat="1" x14ac:dyDescent="0.2"/>
    <row r="1102" s="97" customFormat="1" x14ac:dyDescent="0.2"/>
    <row r="1103" s="97" customFormat="1" x14ac:dyDescent="0.2"/>
    <row r="1104" s="97" customFormat="1" x14ac:dyDescent="0.2"/>
    <row r="1105" s="97" customFormat="1" x14ac:dyDescent="0.2"/>
    <row r="1106" s="97" customFormat="1" x14ac:dyDescent="0.2"/>
    <row r="1107" s="97" customFormat="1" x14ac:dyDescent="0.2"/>
    <row r="1108" s="97" customFormat="1" x14ac:dyDescent="0.2"/>
    <row r="1109" s="97" customFormat="1" x14ac:dyDescent="0.2"/>
    <row r="1110" s="97" customFormat="1" x14ac:dyDescent="0.2"/>
    <row r="1111" s="97" customFormat="1" x14ac:dyDescent="0.2"/>
    <row r="1112" s="97" customFormat="1" x14ac:dyDescent="0.2"/>
    <row r="1113" s="97" customFormat="1" x14ac:dyDescent="0.2"/>
    <row r="1114" s="97" customFormat="1" x14ac:dyDescent="0.2"/>
    <row r="1115" s="97" customFormat="1" x14ac:dyDescent="0.2"/>
    <row r="1116" s="97" customFormat="1" x14ac:dyDescent="0.2"/>
    <row r="1117" s="97" customFormat="1" x14ac:dyDescent="0.2"/>
    <row r="1118" s="97" customFormat="1" x14ac:dyDescent="0.2"/>
    <row r="1119" s="97" customFormat="1" x14ac:dyDescent="0.2"/>
    <row r="1120" s="97" customFormat="1" x14ac:dyDescent="0.2"/>
    <row r="1121" s="97" customFormat="1" x14ac:dyDescent="0.2"/>
    <row r="1122" s="97" customFormat="1" x14ac:dyDescent="0.2"/>
    <row r="1123" s="97" customFormat="1" x14ac:dyDescent="0.2"/>
    <row r="1124" s="97" customFormat="1" x14ac:dyDescent="0.2"/>
    <row r="1125" s="97" customFormat="1" x14ac:dyDescent="0.2"/>
    <row r="1126" s="97" customFormat="1" x14ac:dyDescent="0.2"/>
    <row r="1127" s="97" customFormat="1" x14ac:dyDescent="0.2"/>
    <row r="1128" s="97" customFormat="1" x14ac:dyDescent="0.2"/>
    <row r="1129" s="97" customFormat="1" x14ac:dyDescent="0.2"/>
    <row r="1130" s="97" customFormat="1" x14ac:dyDescent="0.2"/>
    <row r="1131" s="97" customFormat="1" x14ac:dyDescent="0.2"/>
    <row r="1132" s="97" customFormat="1" x14ac:dyDescent="0.2"/>
    <row r="1133" s="97" customFormat="1" x14ac:dyDescent="0.2"/>
    <row r="1134" s="97" customFormat="1" x14ac:dyDescent="0.2"/>
    <row r="1135" s="97" customFormat="1" x14ac:dyDescent="0.2"/>
    <row r="1136" s="97" customFormat="1" x14ac:dyDescent="0.2"/>
    <row r="1137" s="97" customFormat="1" x14ac:dyDescent="0.2"/>
    <row r="1138" s="97" customFormat="1" x14ac:dyDescent="0.2"/>
    <row r="1139" s="97" customFormat="1" x14ac:dyDescent="0.2"/>
    <row r="1140" s="97" customFormat="1" x14ac:dyDescent="0.2"/>
    <row r="1141" s="97" customFormat="1" x14ac:dyDescent="0.2"/>
    <row r="1142" s="97" customFormat="1" x14ac:dyDescent="0.2"/>
    <row r="1143" s="97" customFormat="1" x14ac:dyDescent="0.2"/>
    <row r="1144" s="97" customFormat="1" x14ac:dyDescent="0.2"/>
    <row r="1145" s="97" customFormat="1" x14ac:dyDescent="0.2"/>
    <row r="1146" s="97" customFormat="1" x14ac:dyDescent="0.2"/>
    <row r="1147" s="97" customFormat="1" x14ac:dyDescent="0.2"/>
    <row r="1148" s="97" customFormat="1" x14ac:dyDescent="0.2"/>
    <row r="1149" s="97" customFormat="1" x14ac:dyDescent="0.2"/>
    <row r="1150" s="97" customFormat="1" x14ac:dyDescent="0.2"/>
    <row r="1151" s="97" customFormat="1" x14ac:dyDescent="0.2"/>
    <row r="1152" s="97" customFormat="1" x14ac:dyDescent="0.2"/>
    <row r="1153" s="97" customFormat="1" x14ac:dyDescent="0.2"/>
    <row r="1154" s="97" customFormat="1" x14ac:dyDescent="0.2"/>
    <row r="1155" s="97" customFormat="1" x14ac:dyDescent="0.2"/>
    <row r="1156" s="97" customFormat="1" x14ac:dyDescent="0.2"/>
    <row r="1157" s="97" customFormat="1" x14ac:dyDescent="0.2"/>
    <row r="1158" s="97" customFormat="1" x14ac:dyDescent="0.2"/>
    <row r="1159" s="97" customFormat="1" x14ac:dyDescent="0.2"/>
    <row r="1160" s="97" customFormat="1" x14ac:dyDescent="0.2"/>
    <row r="1161" s="97" customFormat="1" x14ac:dyDescent="0.2"/>
    <row r="1162" s="97" customFormat="1" x14ac:dyDescent="0.2"/>
    <row r="1163" s="97" customFormat="1" x14ac:dyDescent="0.2"/>
    <row r="1164" s="97" customFormat="1" x14ac:dyDescent="0.2"/>
    <row r="1165" s="97" customFormat="1" x14ac:dyDescent="0.2"/>
    <row r="1166" s="97" customFormat="1" x14ac:dyDescent="0.2"/>
    <row r="1167" s="97" customFormat="1" x14ac:dyDescent="0.2"/>
    <row r="1168" s="97" customFormat="1" x14ac:dyDescent="0.2"/>
    <row r="1169" s="97" customFormat="1" x14ac:dyDescent="0.2"/>
    <row r="1170" s="97" customFormat="1" x14ac:dyDescent="0.2"/>
    <row r="1171" s="97" customFormat="1" x14ac:dyDescent="0.2"/>
    <row r="1172" s="97" customFormat="1" x14ac:dyDescent="0.2"/>
    <row r="1173" s="97" customFormat="1" x14ac:dyDescent="0.2"/>
    <row r="1174" s="97" customFormat="1" x14ac:dyDescent="0.2"/>
    <row r="1175" s="97" customFormat="1" x14ac:dyDescent="0.2"/>
    <row r="1176" s="97" customFormat="1" x14ac:dyDescent="0.2"/>
    <row r="1177" s="97" customFormat="1" x14ac:dyDescent="0.2"/>
    <row r="1178" s="97" customFormat="1" x14ac:dyDescent="0.2"/>
    <row r="1179" s="97" customFormat="1" x14ac:dyDescent="0.2"/>
    <row r="1180" s="97" customFormat="1" x14ac:dyDescent="0.2"/>
    <row r="1181" s="97" customFormat="1" x14ac:dyDescent="0.2"/>
    <row r="1182" s="97" customFormat="1" x14ac:dyDescent="0.2"/>
    <row r="1183" s="97" customFormat="1" x14ac:dyDescent="0.2"/>
    <row r="1184" s="97" customFormat="1" x14ac:dyDescent="0.2"/>
    <row r="1185" s="97" customFormat="1" x14ac:dyDescent="0.2"/>
    <row r="1186" s="97" customFormat="1" x14ac:dyDescent="0.2"/>
    <row r="1187" s="97" customFormat="1" x14ac:dyDescent="0.2"/>
    <row r="1188" s="97" customFormat="1" x14ac:dyDescent="0.2"/>
    <row r="1189" s="97" customFormat="1" x14ac:dyDescent="0.2"/>
    <row r="1190" s="97" customFormat="1" x14ac:dyDescent="0.2"/>
    <row r="1191" s="97" customFormat="1" x14ac:dyDescent="0.2"/>
    <row r="1192" s="97" customFormat="1" x14ac:dyDescent="0.2"/>
    <row r="1193" s="97" customFormat="1" x14ac:dyDescent="0.2"/>
    <row r="1194" s="97" customFormat="1" x14ac:dyDescent="0.2"/>
    <row r="1195" s="97" customFormat="1" x14ac:dyDescent="0.2"/>
    <row r="1196" s="97" customFormat="1" x14ac:dyDescent="0.2"/>
    <row r="1197" s="97" customFormat="1" x14ac:dyDescent="0.2"/>
    <row r="1198" s="97" customFormat="1" x14ac:dyDescent="0.2"/>
    <row r="1199" s="97" customFormat="1" x14ac:dyDescent="0.2"/>
    <row r="1200" s="97" customFormat="1" x14ac:dyDescent="0.2"/>
    <row r="1201" s="97" customFormat="1" x14ac:dyDescent="0.2"/>
    <row r="1202" s="97" customFormat="1" x14ac:dyDescent="0.2"/>
    <row r="1203" s="97" customFormat="1" x14ac:dyDescent="0.2"/>
    <row r="1204" s="97" customFormat="1" x14ac:dyDescent="0.2"/>
    <row r="1205" s="97" customFormat="1" x14ac:dyDescent="0.2"/>
    <row r="1206" s="97" customFormat="1" x14ac:dyDescent="0.2"/>
    <row r="1207" s="97" customFormat="1" x14ac:dyDescent="0.2"/>
    <row r="1208" s="97" customFormat="1" x14ac:dyDescent="0.2"/>
    <row r="1209" s="97" customFormat="1" x14ac:dyDescent="0.2"/>
    <row r="1210" s="97" customFormat="1" x14ac:dyDescent="0.2"/>
    <row r="1211" s="97" customFormat="1" x14ac:dyDescent="0.2"/>
    <row r="1212" s="97" customFormat="1" x14ac:dyDescent="0.2"/>
    <row r="1213" s="97" customFormat="1" x14ac:dyDescent="0.2"/>
    <row r="1214" s="97" customFormat="1" x14ac:dyDescent="0.2"/>
    <row r="1215" s="97" customFormat="1" x14ac:dyDescent="0.2"/>
    <row r="1216" s="97" customFormat="1" x14ac:dyDescent="0.2"/>
    <row r="1217" s="97" customFormat="1" x14ac:dyDescent="0.2"/>
    <row r="1218" s="97" customFormat="1" x14ac:dyDescent="0.2"/>
    <row r="1219" s="97" customFormat="1" x14ac:dyDescent="0.2"/>
    <row r="1220" s="97" customFormat="1" x14ac:dyDescent="0.2"/>
    <row r="1221" s="97" customFormat="1" x14ac:dyDescent="0.2"/>
    <row r="1222" s="97" customFormat="1" x14ac:dyDescent="0.2"/>
    <row r="1223" s="97" customFormat="1" x14ac:dyDescent="0.2"/>
    <row r="1224" s="97" customFormat="1" x14ac:dyDescent="0.2"/>
    <row r="1225" s="97" customFormat="1" x14ac:dyDescent="0.2"/>
    <row r="1226" s="97" customFormat="1" x14ac:dyDescent="0.2"/>
    <row r="1227" s="97" customFormat="1" x14ac:dyDescent="0.2"/>
    <row r="1228" s="97" customFormat="1" x14ac:dyDescent="0.2"/>
    <row r="1229" s="97" customFormat="1" x14ac:dyDescent="0.2"/>
    <row r="1230" s="97" customFormat="1" x14ac:dyDescent="0.2"/>
    <row r="1231" s="97" customFormat="1" x14ac:dyDescent="0.2"/>
    <row r="1232" s="97" customFormat="1" x14ac:dyDescent="0.2"/>
    <row r="1233" s="97" customFormat="1" x14ac:dyDescent="0.2"/>
    <row r="1234" s="97" customFormat="1" x14ac:dyDescent="0.2"/>
    <row r="1235" s="97" customFormat="1" x14ac:dyDescent="0.2"/>
    <row r="1236" s="97" customFormat="1" x14ac:dyDescent="0.2"/>
    <row r="1237" s="97" customFormat="1" x14ac:dyDescent="0.2"/>
    <row r="1238" s="97" customFormat="1" x14ac:dyDescent="0.2"/>
    <row r="1239" s="97" customFormat="1" x14ac:dyDescent="0.2"/>
    <row r="1240" s="97" customFormat="1" x14ac:dyDescent="0.2"/>
    <row r="1241" s="97" customFormat="1" x14ac:dyDescent="0.2"/>
    <row r="1242" s="97" customFormat="1" x14ac:dyDescent="0.2"/>
    <row r="1243" s="97" customFormat="1" x14ac:dyDescent="0.2"/>
    <row r="1244" s="97" customFormat="1" x14ac:dyDescent="0.2"/>
    <row r="1245" s="97" customFormat="1" x14ac:dyDescent="0.2"/>
    <row r="1246" s="97" customFormat="1" x14ac:dyDescent="0.2"/>
    <row r="1247" s="97" customFormat="1" x14ac:dyDescent="0.2"/>
    <row r="1248" s="97" customFormat="1" x14ac:dyDescent="0.2"/>
    <row r="1249" s="97" customFormat="1" x14ac:dyDescent="0.2"/>
    <row r="1250" s="97" customFormat="1" x14ac:dyDescent="0.2"/>
    <row r="1251" s="97" customFormat="1" x14ac:dyDescent="0.2"/>
    <row r="1252" s="97" customFormat="1" x14ac:dyDescent="0.2"/>
    <row r="1253" s="97" customFormat="1" x14ac:dyDescent="0.2"/>
    <row r="1254" s="97" customFormat="1" x14ac:dyDescent="0.2"/>
    <row r="1255" s="97" customFormat="1" x14ac:dyDescent="0.2"/>
    <row r="1256" s="97" customFormat="1" x14ac:dyDescent="0.2"/>
    <row r="1257" s="97" customFormat="1" x14ac:dyDescent="0.2"/>
    <row r="1258" s="97" customFormat="1" x14ac:dyDescent="0.2"/>
    <row r="1259" s="97" customFormat="1" x14ac:dyDescent="0.2"/>
    <row r="1260" s="97" customFormat="1" x14ac:dyDescent="0.2"/>
    <row r="1261" s="97" customFormat="1" x14ac:dyDescent="0.2"/>
    <row r="1262" s="97" customFormat="1" x14ac:dyDescent="0.2"/>
    <row r="1263" s="97" customFormat="1" x14ac:dyDescent="0.2"/>
    <row r="1264" s="97" customFormat="1" x14ac:dyDescent="0.2"/>
    <row r="1265" s="97" customFormat="1" x14ac:dyDescent="0.2"/>
    <row r="1266" s="97" customFormat="1" x14ac:dyDescent="0.2"/>
    <row r="1267" s="97" customFormat="1" x14ac:dyDescent="0.2"/>
    <row r="1268" s="97" customFormat="1" x14ac:dyDescent="0.2"/>
    <row r="1269" s="97" customFormat="1" x14ac:dyDescent="0.2"/>
    <row r="1270" s="97" customFormat="1" x14ac:dyDescent="0.2"/>
    <row r="1271" s="97" customFormat="1" x14ac:dyDescent="0.2"/>
    <row r="1272" s="97" customFormat="1" x14ac:dyDescent="0.2"/>
    <row r="1273" s="97" customFormat="1" x14ac:dyDescent="0.2"/>
    <row r="1274" s="97" customFormat="1" x14ac:dyDescent="0.2"/>
    <row r="1275" s="97" customFormat="1" x14ac:dyDescent="0.2"/>
    <row r="1276" s="97" customFormat="1" x14ac:dyDescent="0.2"/>
    <row r="1277" s="97" customFormat="1" x14ac:dyDescent="0.2"/>
    <row r="1278" s="97" customFormat="1" x14ac:dyDescent="0.2"/>
    <row r="1279" s="97" customFormat="1" x14ac:dyDescent="0.2"/>
    <row r="1280" s="97" customFormat="1" x14ac:dyDescent="0.2"/>
    <row r="1281" s="97" customFormat="1" x14ac:dyDescent="0.2"/>
    <row r="1282" s="97" customFormat="1" x14ac:dyDescent="0.2"/>
    <row r="1283" s="97" customFormat="1" x14ac:dyDescent="0.2"/>
    <row r="1284" s="97" customFormat="1" x14ac:dyDescent="0.2"/>
    <row r="1285" s="97" customFormat="1" x14ac:dyDescent="0.2"/>
    <row r="1286" s="97" customFormat="1" x14ac:dyDescent="0.2"/>
    <row r="1287" s="97" customFormat="1" x14ac:dyDescent="0.2"/>
    <row r="1288" s="97" customFormat="1" x14ac:dyDescent="0.2"/>
    <row r="1289" s="97" customFormat="1" x14ac:dyDescent="0.2"/>
    <row r="1290" s="97" customFormat="1" x14ac:dyDescent="0.2"/>
    <row r="1291" s="97" customFormat="1" x14ac:dyDescent="0.2"/>
    <row r="1292" s="97" customFormat="1" x14ac:dyDescent="0.2"/>
    <row r="1293" s="97" customFormat="1" x14ac:dyDescent="0.2"/>
    <row r="1294" s="97" customFormat="1" x14ac:dyDescent="0.2"/>
    <row r="1295" s="97" customFormat="1" x14ac:dyDescent="0.2"/>
    <row r="1296" s="97" customFormat="1" x14ac:dyDescent="0.2"/>
    <row r="1297" s="97" customFormat="1" x14ac:dyDescent="0.2"/>
    <row r="1298" s="97" customFormat="1" x14ac:dyDescent="0.2"/>
    <row r="1299" s="97" customFormat="1" x14ac:dyDescent="0.2"/>
    <row r="1300" s="97" customFormat="1" x14ac:dyDescent="0.2"/>
    <row r="1301" s="97" customFormat="1" x14ac:dyDescent="0.2"/>
    <row r="1302" s="97" customFormat="1" x14ac:dyDescent="0.2"/>
    <row r="1303" s="97" customFormat="1" x14ac:dyDescent="0.2"/>
    <row r="1304" s="97" customFormat="1" x14ac:dyDescent="0.2"/>
    <row r="1305" s="97" customFormat="1" x14ac:dyDescent="0.2"/>
    <row r="1306" s="97" customFormat="1" x14ac:dyDescent="0.2"/>
    <row r="1307" s="97" customFormat="1" x14ac:dyDescent="0.2"/>
    <row r="1308" s="97" customFormat="1" x14ac:dyDescent="0.2"/>
    <row r="1309" s="97" customFormat="1" x14ac:dyDescent="0.2"/>
    <row r="1310" s="97" customFormat="1" x14ac:dyDescent="0.2"/>
    <row r="1311" s="97" customFormat="1" x14ac:dyDescent="0.2"/>
    <row r="1312" s="97" customFormat="1" x14ac:dyDescent="0.2"/>
    <row r="1313" s="97" customFormat="1" x14ac:dyDescent="0.2"/>
    <row r="1314" s="97" customFormat="1" x14ac:dyDescent="0.2"/>
    <row r="1315" s="97" customFormat="1" x14ac:dyDescent="0.2"/>
    <row r="1316" s="97" customFormat="1" x14ac:dyDescent="0.2"/>
    <row r="1317" s="97" customFormat="1" x14ac:dyDescent="0.2"/>
    <row r="1318" s="97" customFormat="1" x14ac:dyDescent="0.2"/>
    <row r="1319" s="97" customFormat="1" x14ac:dyDescent="0.2"/>
    <row r="1320" s="97" customFormat="1" x14ac:dyDescent="0.2"/>
    <row r="1321" s="97" customFormat="1" x14ac:dyDescent="0.2"/>
    <row r="1322" s="97" customFormat="1" x14ac:dyDescent="0.2"/>
    <row r="1323" s="97" customFormat="1" x14ac:dyDescent="0.2"/>
    <row r="1324" s="97" customFormat="1" x14ac:dyDescent="0.2"/>
    <row r="1325" s="97" customFormat="1" x14ac:dyDescent="0.2"/>
    <row r="1326" s="97" customFormat="1" x14ac:dyDescent="0.2"/>
    <row r="1327" s="97" customFormat="1" x14ac:dyDescent="0.2"/>
    <row r="1328" s="97" customFormat="1" x14ac:dyDescent="0.2"/>
    <row r="1329" s="97" customFormat="1" x14ac:dyDescent="0.2"/>
    <row r="1330" s="97" customFormat="1" x14ac:dyDescent="0.2"/>
    <row r="1331" s="97" customFormat="1" x14ac:dyDescent="0.2"/>
    <row r="1332" s="97" customFormat="1" x14ac:dyDescent="0.2"/>
    <row r="1333" s="97" customFormat="1" x14ac:dyDescent="0.2"/>
    <row r="1334" s="97" customFormat="1" x14ac:dyDescent="0.2"/>
    <row r="1335" s="97" customFormat="1" x14ac:dyDescent="0.2"/>
    <row r="1336" s="97" customFormat="1" x14ac:dyDescent="0.2"/>
    <row r="1337" s="97" customFormat="1" x14ac:dyDescent="0.2"/>
    <row r="1338" s="97" customFormat="1" x14ac:dyDescent="0.2"/>
    <row r="1339" s="97" customFormat="1" x14ac:dyDescent="0.2"/>
    <row r="1340" s="97" customFormat="1" x14ac:dyDescent="0.2"/>
    <row r="1341" s="97" customFormat="1" x14ac:dyDescent="0.2"/>
    <row r="1342" s="97" customFormat="1" x14ac:dyDescent="0.2"/>
    <row r="1343" s="97" customFormat="1" x14ac:dyDescent="0.2"/>
    <row r="1344" s="97" customFormat="1" x14ac:dyDescent="0.2"/>
    <row r="1345" s="97" customFormat="1" x14ac:dyDescent="0.2"/>
    <row r="1346" s="97" customFormat="1" x14ac:dyDescent="0.2"/>
    <row r="1347" s="97" customFormat="1" x14ac:dyDescent="0.2"/>
    <row r="1348" s="97" customFormat="1" x14ac:dyDescent="0.2"/>
    <row r="1349" s="97" customFormat="1" x14ac:dyDescent="0.2"/>
    <row r="1350" s="97" customFormat="1" x14ac:dyDescent="0.2"/>
    <row r="1351" s="97" customFormat="1" x14ac:dyDescent="0.2"/>
    <row r="1352" s="97" customFormat="1" x14ac:dyDescent="0.2"/>
    <row r="1353" s="97" customFormat="1" x14ac:dyDescent="0.2"/>
    <row r="1354" s="97" customFormat="1" x14ac:dyDescent="0.2"/>
    <row r="1355" s="97" customFormat="1" x14ac:dyDescent="0.2"/>
    <row r="1356" s="97" customFormat="1" x14ac:dyDescent="0.2"/>
    <row r="1357" s="97" customFormat="1" x14ac:dyDescent="0.2"/>
    <row r="1358" s="97" customFormat="1" x14ac:dyDescent="0.2"/>
    <row r="1359" s="97" customFormat="1" x14ac:dyDescent="0.2"/>
    <row r="1360" s="97" customFormat="1" x14ac:dyDescent="0.2"/>
    <row r="1361" s="97" customFormat="1" x14ac:dyDescent="0.2"/>
    <row r="1362" s="97" customFormat="1" x14ac:dyDescent="0.2"/>
    <row r="1363" s="97" customFormat="1" x14ac:dyDescent="0.2"/>
    <row r="1364" s="97" customFormat="1" x14ac:dyDescent="0.2"/>
    <row r="1365" s="97" customFormat="1" x14ac:dyDescent="0.2"/>
    <row r="1366" s="97" customFormat="1" x14ac:dyDescent="0.2"/>
    <row r="1367" s="97" customFormat="1" x14ac:dyDescent="0.2"/>
    <row r="1368" s="97" customFormat="1" x14ac:dyDescent="0.2"/>
    <row r="1369" s="97" customFormat="1" x14ac:dyDescent="0.2"/>
    <row r="1370" s="97" customFormat="1" x14ac:dyDescent="0.2"/>
    <row r="1371" s="97" customFormat="1" x14ac:dyDescent="0.2"/>
    <row r="1372" s="97" customFormat="1" x14ac:dyDescent="0.2"/>
    <row r="1373" s="97" customFormat="1" x14ac:dyDescent="0.2"/>
    <row r="1374" s="97" customFormat="1" x14ac:dyDescent="0.2"/>
    <row r="1375" s="97" customFormat="1" x14ac:dyDescent="0.2"/>
    <row r="1376" s="97" customFormat="1" x14ac:dyDescent="0.2"/>
    <row r="1377" s="97" customFormat="1" x14ac:dyDescent="0.2"/>
    <row r="1378" s="97" customFormat="1" x14ac:dyDescent="0.2"/>
    <row r="1379" s="97" customFormat="1" x14ac:dyDescent="0.2"/>
    <row r="1380" s="97" customFormat="1" x14ac:dyDescent="0.2"/>
    <row r="1381" s="97" customFormat="1" x14ac:dyDescent="0.2"/>
    <row r="1382" s="97" customFormat="1" x14ac:dyDescent="0.2"/>
    <row r="1383" s="97" customFormat="1" x14ac:dyDescent="0.2"/>
    <row r="1384" s="97" customFormat="1" x14ac:dyDescent="0.2"/>
    <row r="1385" s="97" customFormat="1" x14ac:dyDescent="0.2"/>
    <row r="1386" s="97" customFormat="1" x14ac:dyDescent="0.2"/>
    <row r="1387" s="97" customFormat="1" x14ac:dyDescent="0.2"/>
    <row r="1388" s="97" customFormat="1" x14ac:dyDescent="0.2"/>
    <row r="1389" s="97" customFormat="1" x14ac:dyDescent="0.2"/>
    <row r="1390" s="97" customFormat="1" x14ac:dyDescent="0.2"/>
    <row r="1391" s="97" customFormat="1" x14ac:dyDescent="0.2"/>
    <row r="1392" s="97" customFormat="1" x14ac:dyDescent="0.2"/>
    <row r="1393" s="97" customFormat="1" x14ac:dyDescent="0.2"/>
    <row r="1394" s="97" customFormat="1" x14ac:dyDescent="0.2"/>
    <row r="1395" s="97" customFormat="1" x14ac:dyDescent="0.2"/>
    <row r="1396" s="97" customFormat="1" x14ac:dyDescent="0.2"/>
    <row r="1397" s="97" customFormat="1" x14ac:dyDescent="0.2"/>
    <row r="1398" s="97" customFormat="1" x14ac:dyDescent="0.2"/>
    <row r="1399" s="97" customFormat="1" x14ac:dyDescent="0.2"/>
    <row r="1400" s="97" customFormat="1" x14ac:dyDescent="0.2"/>
    <row r="1401" s="97" customFormat="1" x14ac:dyDescent="0.2"/>
    <row r="1402" s="97" customFormat="1" x14ac:dyDescent="0.2"/>
    <row r="1403" s="97" customFormat="1" x14ac:dyDescent="0.2"/>
    <row r="1404" s="97" customFormat="1" x14ac:dyDescent="0.2"/>
    <row r="1405" s="97" customFormat="1" x14ac:dyDescent="0.2"/>
    <row r="1406" s="97" customFormat="1" x14ac:dyDescent="0.2"/>
    <row r="1407" s="97" customFormat="1" x14ac:dyDescent="0.2"/>
    <row r="1408" s="97" customFormat="1" x14ac:dyDescent="0.2"/>
    <row r="1409" s="97" customFormat="1" x14ac:dyDescent="0.2"/>
    <row r="1410" s="97" customFormat="1" x14ac:dyDescent="0.2"/>
    <row r="1411" s="97" customFormat="1" x14ac:dyDescent="0.2"/>
    <row r="1412" s="97" customFormat="1" x14ac:dyDescent="0.2"/>
    <row r="1413" s="97" customFormat="1" x14ac:dyDescent="0.2"/>
    <row r="1414" s="97" customFormat="1" x14ac:dyDescent="0.2"/>
    <row r="1415" s="97" customFormat="1" x14ac:dyDescent="0.2"/>
    <row r="1416" s="97" customFormat="1" x14ac:dyDescent="0.2"/>
    <row r="1417" s="97" customFormat="1" x14ac:dyDescent="0.2"/>
    <row r="1418" s="97" customFormat="1" x14ac:dyDescent="0.2"/>
    <row r="1419" s="97" customFormat="1" x14ac:dyDescent="0.2"/>
    <row r="1420" s="97" customFormat="1" x14ac:dyDescent="0.2"/>
    <row r="1421" s="97" customFormat="1" x14ac:dyDescent="0.2"/>
    <row r="1422" s="97" customFormat="1" x14ac:dyDescent="0.2"/>
    <row r="1423" s="97" customFormat="1" x14ac:dyDescent="0.2"/>
    <row r="1424" s="97" customFormat="1" x14ac:dyDescent="0.2"/>
    <row r="1425" s="97" customFormat="1" x14ac:dyDescent="0.2"/>
    <row r="1426" s="97" customFormat="1" x14ac:dyDescent="0.2"/>
    <row r="1427" s="97" customFormat="1" x14ac:dyDescent="0.2"/>
    <row r="1428" s="97" customFormat="1" x14ac:dyDescent="0.2"/>
    <row r="1429" s="97" customFormat="1" x14ac:dyDescent="0.2"/>
    <row r="1430" s="97" customFormat="1" x14ac:dyDescent="0.2"/>
    <row r="1431" s="97" customFormat="1" x14ac:dyDescent="0.2"/>
    <row r="1432" s="97" customFormat="1" x14ac:dyDescent="0.2"/>
    <row r="1433" s="97" customFormat="1" x14ac:dyDescent="0.2"/>
    <row r="1434" s="97" customFormat="1" x14ac:dyDescent="0.2"/>
    <row r="1435" s="97" customFormat="1" x14ac:dyDescent="0.2"/>
    <row r="1436" s="97" customFormat="1" x14ac:dyDescent="0.2"/>
    <row r="1437" s="97" customFormat="1" x14ac:dyDescent="0.2"/>
    <row r="1438" s="97" customFormat="1" x14ac:dyDescent="0.2"/>
    <row r="1439" s="97" customFormat="1" x14ac:dyDescent="0.2"/>
    <row r="1440" s="97" customFormat="1" x14ac:dyDescent="0.2"/>
    <row r="1441" s="97" customFormat="1" x14ac:dyDescent="0.2"/>
    <row r="1442" s="97" customFormat="1" x14ac:dyDescent="0.2"/>
    <row r="1443" s="97" customFormat="1" x14ac:dyDescent="0.2"/>
    <row r="1444" s="97" customFormat="1" x14ac:dyDescent="0.2"/>
    <row r="1445" s="97" customFormat="1" x14ac:dyDescent="0.2"/>
    <row r="1446" s="97" customFormat="1" x14ac:dyDescent="0.2"/>
    <row r="1447" s="97" customFormat="1" x14ac:dyDescent="0.2"/>
    <row r="1448" s="97" customFormat="1" x14ac:dyDescent="0.2"/>
    <row r="1449" s="97" customFormat="1" x14ac:dyDescent="0.2"/>
    <row r="1450" s="97" customFormat="1" x14ac:dyDescent="0.2"/>
    <row r="1451" s="97" customFormat="1" x14ac:dyDescent="0.2"/>
    <row r="1452" s="97" customFormat="1" x14ac:dyDescent="0.2"/>
    <row r="1453" s="97" customFormat="1" x14ac:dyDescent="0.2"/>
    <row r="1454" s="97" customFormat="1" x14ac:dyDescent="0.2"/>
    <row r="1455" s="97" customFormat="1" x14ac:dyDescent="0.2"/>
    <row r="1456" s="97" customFormat="1" x14ac:dyDescent="0.2"/>
    <row r="1457" s="97" customFormat="1" x14ac:dyDescent="0.2"/>
    <row r="1458" s="97" customFormat="1" x14ac:dyDescent="0.2"/>
    <row r="1459" s="97" customFormat="1" x14ac:dyDescent="0.2"/>
    <row r="1460" s="97" customFormat="1" x14ac:dyDescent="0.2"/>
    <row r="1461" s="97" customFormat="1" x14ac:dyDescent="0.2"/>
    <row r="1462" s="97" customFormat="1" x14ac:dyDescent="0.2"/>
    <row r="1463" s="97" customFormat="1" x14ac:dyDescent="0.2"/>
    <row r="1464" s="97" customFormat="1" x14ac:dyDescent="0.2"/>
    <row r="1465" s="97" customFormat="1" x14ac:dyDescent="0.2"/>
    <row r="1466" s="97" customFormat="1" x14ac:dyDescent="0.2"/>
    <row r="1467" s="97" customFormat="1" x14ac:dyDescent="0.2"/>
    <row r="1468" s="97" customFormat="1" x14ac:dyDescent="0.2"/>
    <row r="1469" s="97" customFormat="1" x14ac:dyDescent="0.2"/>
    <row r="1470" s="97" customFormat="1" x14ac:dyDescent="0.2"/>
    <row r="1471" s="97" customFormat="1" x14ac:dyDescent="0.2"/>
    <row r="1472" s="97" customFormat="1" x14ac:dyDescent="0.2"/>
    <row r="1473" s="97" customFormat="1" x14ac:dyDescent="0.2"/>
    <row r="1474" s="97" customFormat="1" x14ac:dyDescent="0.2"/>
    <row r="1475" s="97" customFormat="1" x14ac:dyDescent="0.2"/>
    <row r="1476" s="97" customFormat="1" x14ac:dyDescent="0.2"/>
    <row r="1477" s="97" customFormat="1" x14ac:dyDescent="0.2"/>
    <row r="1478" s="97" customFormat="1" x14ac:dyDescent="0.2"/>
    <row r="1479" s="97" customFormat="1" x14ac:dyDescent="0.2"/>
    <row r="1480" s="97" customFormat="1" x14ac:dyDescent="0.2"/>
    <row r="1481" s="97" customFormat="1" x14ac:dyDescent="0.2"/>
    <row r="1482" s="97" customFormat="1" x14ac:dyDescent="0.2"/>
    <row r="1483" s="97" customFormat="1" x14ac:dyDescent="0.2"/>
    <row r="1484" s="97" customFormat="1" x14ac:dyDescent="0.2"/>
    <row r="1485" s="97" customFormat="1" x14ac:dyDescent="0.2"/>
    <row r="1486" s="97" customFormat="1" x14ac:dyDescent="0.2"/>
    <row r="1487" s="97" customFormat="1" x14ac:dyDescent="0.2"/>
  </sheetData>
  <sheetProtection algorithmName="SHA-512" hashValue="U6Y/9OVfn9lzYGS6QArnbvE93GDY5Ld9HiS0cIH3sxaDhiLydQ5WbM1JyJl836/N8KJbfg7CafjqjOnorV7qRg==" saltValue="EN1dIyEqJZXy6E68TE1prg==" spinCount="100000" sheet="1" objects="1" scenarios="1"/>
  <mergeCells count="23">
    <mergeCell ref="D13:E13"/>
    <mergeCell ref="F12:G12"/>
    <mergeCell ref="F13:G13"/>
    <mergeCell ref="A91:G91"/>
    <mergeCell ref="A11:I11"/>
    <mergeCell ref="A13:B13"/>
    <mergeCell ref="A14:I14"/>
    <mergeCell ref="D12:E12"/>
    <mergeCell ref="A6:B6"/>
    <mergeCell ref="A7:B7"/>
    <mergeCell ref="A8:B8"/>
    <mergeCell ref="A9:B9"/>
    <mergeCell ref="A12:B12"/>
    <mergeCell ref="A96:G102"/>
    <mergeCell ref="A66:F69"/>
    <mergeCell ref="A108:G109"/>
    <mergeCell ref="A78:G79"/>
    <mergeCell ref="A81:C81"/>
    <mergeCell ref="A82:G90"/>
    <mergeCell ref="A71:F72"/>
    <mergeCell ref="A73:F74"/>
    <mergeCell ref="A75:F75"/>
    <mergeCell ref="A104:G106"/>
  </mergeCells>
  <conditionalFormatting sqref="A13:C13">
    <cfRule type="cellIs" priority="1" operator="equal">
      <formula>0</formula>
    </cfRule>
    <cfRule type="cellIs" dxfId="12" priority="2" operator="equal">
      <formula>0</formula>
    </cfRule>
    <cfRule type="cellIs" dxfId="11" priority="3" operator="equal">
      <formula>0</formula>
    </cfRule>
  </conditionalFormatting>
  <pageMargins left="0.7" right="0.7" top="0.75" bottom="0.75" header="0.3" footer="0.3"/>
  <pageSetup scale="3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8:Z95"/>
  <sheetViews>
    <sheetView zoomScale="85" zoomScaleNormal="85" workbookViewId="0">
      <selection activeCell="K19" sqref="K19"/>
    </sheetView>
  </sheetViews>
  <sheetFormatPr defaultRowHeight="12.75" x14ac:dyDescent="0.2"/>
  <cols>
    <col min="1" max="1" width="23.5703125" customWidth="1"/>
    <col min="2" max="2" width="14.42578125" customWidth="1"/>
    <col min="3" max="3" width="17" customWidth="1"/>
    <col min="4" max="4" width="14.7109375" customWidth="1"/>
    <col min="5" max="5" width="21.7109375" customWidth="1"/>
    <col min="6" max="6" width="18.7109375" customWidth="1"/>
    <col min="10" max="10" width="42.7109375" customWidth="1"/>
    <col min="24" max="24" width="8" customWidth="1"/>
    <col min="25" max="25" width="5.28515625" customWidth="1"/>
    <col min="26" max="26" width="8.28515625" customWidth="1"/>
  </cols>
  <sheetData>
    <row r="8" spans="1:26" ht="13.5" thickBot="1" x14ac:dyDescent="0.25"/>
    <row r="9" spans="1:26" ht="18" customHeight="1" x14ac:dyDescent="0.2">
      <c r="A9" s="232" t="s">
        <v>70</v>
      </c>
      <c r="B9" s="233"/>
      <c r="C9" s="233"/>
      <c r="D9" s="233"/>
      <c r="E9" s="233"/>
      <c r="F9" s="233"/>
      <c r="G9" s="233"/>
      <c r="H9" s="233"/>
      <c r="I9" s="233"/>
      <c r="J9" s="233"/>
      <c r="K9" s="233"/>
      <c r="L9" s="233"/>
      <c r="M9" s="233"/>
      <c r="N9" s="233"/>
      <c r="O9" s="233"/>
      <c r="P9" s="233"/>
      <c r="Q9" s="233"/>
      <c r="R9" s="233"/>
      <c r="S9" s="233"/>
      <c r="T9" s="233"/>
      <c r="U9" s="233"/>
      <c r="V9" s="233"/>
      <c r="W9" s="233"/>
      <c r="X9" s="234"/>
    </row>
    <row r="10" spans="1:26" ht="9.75" customHeight="1" thickBot="1" x14ac:dyDescent="0.25">
      <c r="A10" s="235"/>
      <c r="B10" s="236"/>
      <c r="C10" s="236"/>
      <c r="D10" s="236"/>
      <c r="E10" s="236"/>
      <c r="F10" s="236"/>
      <c r="G10" s="236"/>
      <c r="H10" s="236"/>
      <c r="I10" s="236"/>
      <c r="J10" s="236"/>
      <c r="K10" s="236"/>
      <c r="L10" s="236"/>
      <c r="M10" s="236"/>
      <c r="N10" s="236"/>
      <c r="O10" s="236"/>
      <c r="P10" s="236"/>
      <c r="Q10" s="236"/>
      <c r="R10" s="236"/>
      <c r="S10" s="236"/>
      <c r="T10" s="236"/>
      <c r="U10" s="236"/>
      <c r="V10" s="236"/>
      <c r="W10" s="236"/>
      <c r="X10" s="237"/>
    </row>
    <row r="11" spans="1:26" ht="19.5" thickBot="1" x14ac:dyDescent="0.35">
      <c r="A11" s="238" t="s">
        <v>71</v>
      </c>
      <c r="B11" s="239"/>
      <c r="C11" s="239"/>
      <c r="D11" s="239"/>
      <c r="E11" s="239"/>
      <c r="F11" s="239"/>
      <c r="G11" s="239"/>
      <c r="H11" s="239"/>
      <c r="I11" s="239"/>
      <c r="J11" s="239"/>
      <c r="K11" s="239"/>
      <c r="L11" s="239"/>
      <c r="M11" s="239"/>
      <c r="N11" s="239"/>
      <c r="O11" s="239"/>
      <c r="P11" s="239"/>
      <c r="Q11" s="239"/>
      <c r="R11" s="239"/>
      <c r="S11" s="239"/>
      <c r="T11" s="239"/>
      <c r="U11" s="239"/>
      <c r="V11" s="239"/>
      <c r="W11" s="239"/>
      <c r="X11" s="240"/>
      <c r="Y11" s="33"/>
      <c r="Z11" s="33"/>
    </row>
    <row r="12" spans="1:26" ht="13.5" thickBot="1" x14ac:dyDescent="0.25"/>
    <row r="13" spans="1:26" ht="18.75" thickBot="1" x14ac:dyDescent="0.3">
      <c r="A13" s="256" t="s">
        <v>72</v>
      </c>
      <c r="B13" s="257"/>
      <c r="C13" s="257"/>
      <c r="D13" s="257"/>
      <c r="E13" s="257"/>
      <c r="F13" s="257"/>
      <c r="G13" s="257"/>
      <c r="H13" s="239"/>
      <c r="I13" s="239"/>
      <c r="J13" s="240"/>
    </row>
    <row r="14" spans="1:26" ht="27.75" customHeight="1" x14ac:dyDescent="0.25">
      <c r="A14" s="32" t="s">
        <v>73</v>
      </c>
      <c r="B14" s="258" t="s">
        <v>74</v>
      </c>
      <c r="C14" s="258"/>
      <c r="D14" s="258" t="s">
        <v>75</v>
      </c>
      <c r="E14" s="259"/>
      <c r="F14" s="259"/>
      <c r="G14" s="259"/>
      <c r="H14" s="259"/>
      <c r="I14" s="259"/>
      <c r="J14" s="259"/>
    </row>
    <row r="15" spans="1:26" s="61" customFormat="1" ht="20.100000000000001" customHeight="1" x14ac:dyDescent="0.2">
      <c r="A15" s="34" t="s">
        <v>76</v>
      </c>
      <c r="B15" s="34" t="s">
        <v>77</v>
      </c>
      <c r="C15" s="34" t="s">
        <v>78</v>
      </c>
      <c r="D15" s="260" t="s">
        <v>79</v>
      </c>
      <c r="E15" s="261"/>
      <c r="F15" s="261"/>
      <c r="G15" s="261"/>
      <c r="H15" s="261"/>
      <c r="I15" s="261"/>
      <c r="J15" s="262"/>
    </row>
    <row r="16" spans="1:26" s="61" customFormat="1" ht="20.100000000000001" customHeight="1" x14ac:dyDescent="0.2">
      <c r="A16" s="34" t="s">
        <v>80</v>
      </c>
      <c r="B16" s="34" t="s">
        <v>81</v>
      </c>
      <c r="C16" s="34" t="s">
        <v>82</v>
      </c>
      <c r="D16" s="260" t="s">
        <v>83</v>
      </c>
      <c r="E16" s="261"/>
      <c r="F16" s="261"/>
      <c r="G16" s="261"/>
      <c r="H16" s="261"/>
      <c r="I16" s="261"/>
      <c r="J16" s="262"/>
    </row>
    <row r="17" spans="1:10" s="61" customFormat="1" ht="20.100000000000001" customHeight="1" x14ac:dyDescent="0.2">
      <c r="A17" s="34" t="s">
        <v>49</v>
      </c>
      <c r="B17" s="34" t="s">
        <v>84</v>
      </c>
      <c r="C17" s="34" t="s">
        <v>85</v>
      </c>
      <c r="D17" s="260" t="s">
        <v>185</v>
      </c>
      <c r="E17" s="261"/>
      <c r="F17" s="261"/>
      <c r="G17" s="261"/>
      <c r="H17" s="261"/>
      <c r="I17" s="261"/>
      <c r="J17" s="262"/>
    </row>
    <row r="18" spans="1:10" s="61" customFormat="1" ht="20.100000000000001" customHeight="1" x14ac:dyDescent="0.2">
      <c r="A18" s="34" t="s">
        <v>86</v>
      </c>
      <c r="B18" s="34" t="s">
        <v>87</v>
      </c>
      <c r="C18" s="34" t="s">
        <v>88</v>
      </c>
      <c r="D18" s="260" t="s">
        <v>89</v>
      </c>
      <c r="E18" s="261"/>
      <c r="F18" s="261"/>
      <c r="G18" s="261"/>
      <c r="H18" s="261"/>
      <c r="I18" s="261"/>
      <c r="J18" s="262"/>
    </row>
    <row r="19" spans="1:10" s="61" customFormat="1" ht="20.100000000000001" customHeight="1" x14ac:dyDescent="0.2">
      <c r="A19" s="50" t="s">
        <v>90</v>
      </c>
      <c r="B19" s="50" t="s">
        <v>91</v>
      </c>
      <c r="C19" s="50" t="s">
        <v>92</v>
      </c>
      <c r="D19" s="282" t="s">
        <v>93</v>
      </c>
      <c r="E19" s="283"/>
      <c r="F19" s="283"/>
      <c r="G19" s="283"/>
      <c r="H19" s="283"/>
      <c r="I19" s="283"/>
      <c r="J19" s="284"/>
    </row>
    <row r="20" spans="1:10" ht="20.100000000000001" customHeight="1" x14ac:dyDescent="0.2">
      <c r="A20" s="46"/>
      <c r="B20" s="46"/>
      <c r="C20" s="46"/>
      <c r="D20" s="46"/>
      <c r="E20" s="46"/>
      <c r="F20" s="46"/>
      <c r="G20" s="46"/>
      <c r="H20" s="46"/>
      <c r="I20" s="46"/>
      <c r="J20" s="46"/>
    </row>
    <row r="21" spans="1:10" ht="13.5" thickBot="1" x14ac:dyDescent="0.25"/>
    <row r="22" spans="1:10" ht="18.75" thickBot="1" x14ac:dyDescent="0.3">
      <c r="A22" s="256" t="s">
        <v>186</v>
      </c>
      <c r="B22" s="257"/>
      <c r="C22" s="257"/>
      <c r="D22" s="257"/>
      <c r="E22" s="257"/>
      <c r="F22" s="257"/>
      <c r="G22" s="257"/>
      <c r="H22" s="239"/>
      <c r="I22" s="239"/>
      <c r="J22" s="240"/>
    </row>
    <row r="23" spans="1:10" ht="19.5" customHeight="1" x14ac:dyDescent="0.25">
      <c r="A23" s="32" t="s">
        <v>73</v>
      </c>
      <c r="B23" s="258" t="s">
        <v>74</v>
      </c>
      <c r="C23" s="258"/>
      <c r="D23" s="258" t="s">
        <v>75</v>
      </c>
      <c r="E23" s="259"/>
      <c r="F23" s="259"/>
      <c r="G23" s="259"/>
      <c r="H23" s="259"/>
      <c r="I23" s="259"/>
      <c r="J23" s="259"/>
    </row>
    <row r="24" spans="1:10" s="61" customFormat="1" ht="20.100000000000001" customHeight="1" x14ac:dyDescent="0.2">
      <c r="A24" s="34" t="s">
        <v>76</v>
      </c>
      <c r="B24" s="34" t="s">
        <v>77</v>
      </c>
      <c r="C24" s="34" t="s">
        <v>78</v>
      </c>
      <c r="D24" s="270" t="s">
        <v>94</v>
      </c>
      <c r="E24" s="264"/>
      <c r="F24" s="264"/>
      <c r="G24" s="264"/>
      <c r="H24" s="264"/>
      <c r="I24" s="264"/>
      <c r="J24" s="264"/>
    </row>
    <row r="25" spans="1:10" s="61" customFormat="1" ht="20.100000000000001" customHeight="1" x14ac:dyDescent="0.2">
      <c r="A25" s="34" t="s">
        <v>80</v>
      </c>
      <c r="B25" s="34" t="s">
        <v>81</v>
      </c>
      <c r="C25" s="34" t="s">
        <v>82</v>
      </c>
      <c r="D25" s="263" t="s">
        <v>95</v>
      </c>
      <c r="E25" s="264"/>
      <c r="F25" s="264"/>
      <c r="G25" s="264"/>
      <c r="H25" s="264"/>
      <c r="I25" s="264"/>
      <c r="J25" s="264"/>
    </row>
    <row r="26" spans="1:10" s="61" customFormat="1" ht="20.100000000000001" customHeight="1" x14ac:dyDescent="0.2">
      <c r="A26" s="34" t="s">
        <v>49</v>
      </c>
      <c r="B26" s="34" t="s">
        <v>84</v>
      </c>
      <c r="C26" s="34" t="s">
        <v>85</v>
      </c>
      <c r="D26" s="263" t="s">
        <v>96</v>
      </c>
      <c r="E26" s="264"/>
      <c r="F26" s="264"/>
      <c r="G26" s="264"/>
      <c r="H26" s="264"/>
      <c r="I26" s="264"/>
      <c r="J26" s="264"/>
    </row>
    <row r="27" spans="1:10" s="61" customFormat="1" ht="32.25" customHeight="1" x14ac:dyDescent="0.2">
      <c r="A27" s="34" t="s">
        <v>86</v>
      </c>
      <c r="B27" s="34" t="s">
        <v>87</v>
      </c>
      <c r="C27" s="34" t="s">
        <v>88</v>
      </c>
      <c r="D27" s="263" t="s">
        <v>97</v>
      </c>
      <c r="E27" s="264"/>
      <c r="F27" s="264"/>
      <c r="G27" s="264"/>
      <c r="H27" s="264"/>
      <c r="I27" s="264"/>
      <c r="J27" s="264"/>
    </row>
    <row r="28" spans="1:10" s="61" customFormat="1" ht="32.25" customHeight="1" x14ac:dyDescent="0.2">
      <c r="A28" s="50" t="s">
        <v>90</v>
      </c>
      <c r="B28" s="50" t="s">
        <v>91</v>
      </c>
      <c r="C28" s="50" t="s">
        <v>92</v>
      </c>
      <c r="D28" s="285" t="s">
        <v>98</v>
      </c>
      <c r="E28" s="286"/>
      <c r="F28" s="286"/>
      <c r="G28" s="286"/>
      <c r="H28" s="286"/>
      <c r="I28" s="286"/>
      <c r="J28" s="286"/>
    </row>
    <row r="30" spans="1:10" ht="13.5" thickBot="1" x14ac:dyDescent="0.25">
      <c r="A30" s="30"/>
    </row>
    <row r="31" spans="1:10" ht="18.75" thickBot="1" x14ac:dyDescent="0.3">
      <c r="A31" s="256" t="s">
        <v>99</v>
      </c>
      <c r="B31" s="257"/>
      <c r="C31" s="257"/>
      <c r="D31" s="257"/>
      <c r="E31" s="257"/>
      <c r="F31" s="257"/>
      <c r="G31" s="257"/>
      <c r="H31" s="239"/>
      <c r="I31" s="239"/>
      <c r="J31" s="240"/>
    </row>
    <row r="32" spans="1:10" ht="18" x14ac:dyDescent="0.25">
      <c r="A32" s="32" t="s">
        <v>73</v>
      </c>
      <c r="B32" s="258" t="s">
        <v>74</v>
      </c>
      <c r="C32" s="258"/>
      <c r="D32" s="258" t="s">
        <v>75</v>
      </c>
      <c r="E32" s="259"/>
      <c r="F32" s="259"/>
      <c r="G32" s="259"/>
      <c r="H32" s="259"/>
      <c r="I32" s="259"/>
      <c r="J32" s="259"/>
    </row>
    <row r="33" spans="1:10" s="61" customFormat="1" ht="20.100000000000001" customHeight="1" x14ac:dyDescent="0.2">
      <c r="A33" s="34" t="s">
        <v>76</v>
      </c>
      <c r="B33" s="34" t="s">
        <v>77</v>
      </c>
      <c r="C33" s="34" t="s">
        <v>78</v>
      </c>
      <c r="D33" s="271" t="s">
        <v>100</v>
      </c>
      <c r="E33" s="272"/>
      <c r="F33" s="272"/>
      <c r="G33" s="272"/>
      <c r="H33" s="272"/>
      <c r="I33" s="272"/>
      <c r="J33" s="272"/>
    </row>
    <row r="34" spans="1:10" s="61" customFormat="1" ht="20.100000000000001" customHeight="1" x14ac:dyDescent="0.2">
      <c r="A34" s="34" t="s">
        <v>80</v>
      </c>
      <c r="B34" s="34" t="s">
        <v>81</v>
      </c>
      <c r="C34" s="34" t="s">
        <v>82</v>
      </c>
      <c r="D34" s="272" t="s">
        <v>101</v>
      </c>
      <c r="E34" s="272"/>
      <c r="F34" s="272"/>
      <c r="G34" s="272"/>
      <c r="H34" s="272"/>
      <c r="I34" s="272"/>
      <c r="J34" s="272"/>
    </row>
    <row r="35" spans="1:10" s="61" customFormat="1" ht="20.100000000000001" customHeight="1" x14ac:dyDescent="0.2">
      <c r="A35" s="34" t="s">
        <v>49</v>
      </c>
      <c r="B35" s="34" t="s">
        <v>84</v>
      </c>
      <c r="C35" s="34" t="s">
        <v>85</v>
      </c>
      <c r="D35" s="272" t="s">
        <v>102</v>
      </c>
      <c r="E35" s="272"/>
      <c r="F35" s="272"/>
      <c r="G35" s="272"/>
      <c r="H35" s="272"/>
      <c r="I35" s="272"/>
      <c r="J35" s="272"/>
    </row>
    <row r="36" spans="1:10" s="61" customFormat="1" ht="20.100000000000001" customHeight="1" x14ac:dyDescent="0.2">
      <c r="A36" s="34" t="s">
        <v>86</v>
      </c>
      <c r="B36" s="34" t="s">
        <v>87</v>
      </c>
      <c r="C36" s="34" t="s">
        <v>88</v>
      </c>
      <c r="D36" s="272" t="s">
        <v>103</v>
      </c>
      <c r="E36" s="272"/>
      <c r="F36" s="272"/>
      <c r="G36" s="272"/>
      <c r="H36" s="272"/>
      <c r="I36" s="272"/>
      <c r="J36" s="272"/>
    </row>
    <row r="37" spans="1:10" s="61" customFormat="1" ht="20.100000000000001" customHeight="1" x14ac:dyDescent="0.2">
      <c r="A37" s="50" t="s">
        <v>90</v>
      </c>
      <c r="B37" s="50" t="s">
        <v>91</v>
      </c>
      <c r="C37" s="50" t="s">
        <v>92</v>
      </c>
      <c r="D37" s="287" t="s">
        <v>104</v>
      </c>
      <c r="E37" s="287"/>
      <c r="F37" s="287"/>
      <c r="G37" s="287"/>
      <c r="H37" s="287"/>
      <c r="I37" s="287"/>
      <c r="J37" s="287"/>
    </row>
    <row r="39" spans="1:10" ht="13.5" thickBot="1" x14ac:dyDescent="0.25"/>
    <row r="40" spans="1:10" ht="18.75" thickBot="1" x14ac:dyDescent="0.3">
      <c r="A40" s="294" t="s">
        <v>105</v>
      </c>
      <c r="B40" s="295"/>
      <c r="C40" s="295"/>
      <c r="D40" s="295"/>
      <c r="E40" s="295"/>
      <c r="F40" s="296"/>
    </row>
    <row r="41" spans="1:10" ht="12.4" customHeight="1" x14ac:dyDescent="0.2">
      <c r="A41" s="288" t="s">
        <v>106</v>
      </c>
      <c r="B41" s="291" t="s">
        <v>107</v>
      </c>
      <c r="C41" s="291"/>
      <c r="D41" s="292"/>
      <c r="E41" s="292"/>
      <c r="F41" s="292"/>
    </row>
    <row r="42" spans="1:10" ht="14.25" customHeight="1" x14ac:dyDescent="0.2">
      <c r="A42" s="289"/>
      <c r="B42" s="293"/>
      <c r="C42" s="293"/>
      <c r="D42" s="293"/>
      <c r="E42" s="293"/>
      <c r="F42" s="293"/>
    </row>
    <row r="43" spans="1:10" ht="26.25" customHeight="1" x14ac:dyDescent="0.2">
      <c r="A43" s="290"/>
      <c r="B43" s="47" t="s">
        <v>90</v>
      </c>
      <c r="C43" s="47" t="s">
        <v>86</v>
      </c>
      <c r="D43" s="47" t="s">
        <v>49</v>
      </c>
      <c r="E43" s="47" t="s">
        <v>80</v>
      </c>
      <c r="F43" s="48" t="s">
        <v>76</v>
      </c>
    </row>
    <row r="44" spans="1:10" s="61" customFormat="1" ht="20.100000000000001" customHeight="1" x14ac:dyDescent="0.2">
      <c r="A44" s="48" t="s">
        <v>76</v>
      </c>
      <c r="B44" s="50" t="s">
        <v>86</v>
      </c>
      <c r="C44" s="50" t="s">
        <v>49</v>
      </c>
      <c r="D44" s="50" t="s">
        <v>80</v>
      </c>
      <c r="E44" s="49" t="s">
        <v>108</v>
      </c>
      <c r="F44" s="49" t="s">
        <v>76</v>
      </c>
    </row>
    <row r="45" spans="1:10" s="61" customFormat="1" ht="20.100000000000001" customHeight="1" x14ac:dyDescent="0.2">
      <c r="A45" s="48" t="s">
        <v>80</v>
      </c>
      <c r="B45" s="50" t="s">
        <v>86</v>
      </c>
      <c r="C45" s="50" t="s">
        <v>49</v>
      </c>
      <c r="D45" s="49" t="s">
        <v>49</v>
      </c>
      <c r="E45" s="49" t="s">
        <v>80</v>
      </c>
      <c r="F45" s="49" t="s">
        <v>76</v>
      </c>
    </row>
    <row r="46" spans="1:10" s="61" customFormat="1" ht="20.100000000000001" customHeight="1" x14ac:dyDescent="0.2">
      <c r="A46" s="48" t="s">
        <v>49</v>
      </c>
      <c r="B46" s="50" t="s">
        <v>86</v>
      </c>
      <c r="C46" s="50" t="s">
        <v>86</v>
      </c>
      <c r="D46" s="49" t="s">
        <v>49</v>
      </c>
      <c r="E46" s="49" t="s">
        <v>49</v>
      </c>
      <c r="F46" s="49" t="s">
        <v>80</v>
      </c>
    </row>
    <row r="47" spans="1:10" s="61" customFormat="1" ht="20.100000000000001" customHeight="1" x14ac:dyDescent="0.2">
      <c r="A47" s="48" t="s">
        <v>86</v>
      </c>
      <c r="B47" s="50" t="s">
        <v>90</v>
      </c>
      <c r="C47" s="50" t="s">
        <v>86</v>
      </c>
      <c r="D47" s="49" t="s">
        <v>86</v>
      </c>
      <c r="E47" s="49" t="s">
        <v>49</v>
      </c>
      <c r="F47" s="49" t="s">
        <v>49</v>
      </c>
    </row>
    <row r="48" spans="1:10" s="61" customFormat="1" ht="20.100000000000001" customHeight="1" x14ac:dyDescent="0.2">
      <c r="A48" s="48" t="s">
        <v>90</v>
      </c>
      <c r="B48" s="50" t="s">
        <v>90</v>
      </c>
      <c r="C48" s="50" t="s">
        <v>90</v>
      </c>
      <c r="D48" s="49" t="s">
        <v>86</v>
      </c>
      <c r="E48" s="49" t="s">
        <v>86</v>
      </c>
      <c r="F48" s="49" t="s">
        <v>86</v>
      </c>
    </row>
    <row r="50" spans="1:24" ht="13.5" thickBot="1" x14ac:dyDescent="0.25"/>
    <row r="51" spans="1:24" s="61" customFormat="1" x14ac:dyDescent="0.2">
      <c r="A51" s="273" t="s">
        <v>109</v>
      </c>
      <c r="B51" s="274"/>
      <c r="C51" s="274"/>
      <c r="D51" s="274"/>
      <c r="E51" s="274"/>
      <c r="F51" s="274"/>
      <c r="G51" s="274"/>
      <c r="H51" s="274"/>
      <c r="I51" s="274"/>
      <c r="J51" s="274"/>
      <c r="K51" s="274"/>
      <c r="L51" s="274"/>
      <c r="M51" s="274"/>
      <c r="N51" s="274"/>
      <c r="O51" s="274"/>
      <c r="P51" s="274"/>
      <c r="Q51" s="274"/>
      <c r="R51" s="274"/>
      <c r="S51" s="274"/>
      <c r="T51" s="274"/>
      <c r="U51" s="274"/>
      <c r="V51" s="274"/>
      <c r="W51" s="274"/>
      <c r="X51" s="275"/>
    </row>
    <row r="52" spans="1:24" s="61" customFormat="1" ht="13.5" thickBot="1" x14ac:dyDescent="0.25">
      <c r="A52" s="276"/>
      <c r="B52" s="277"/>
      <c r="C52" s="277"/>
      <c r="D52" s="277"/>
      <c r="E52" s="277"/>
      <c r="F52" s="277"/>
      <c r="G52" s="277"/>
      <c r="H52" s="277"/>
      <c r="I52" s="277"/>
      <c r="J52" s="277"/>
      <c r="K52" s="277"/>
      <c r="L52" s="277"/>
      <c r="M52" s="277"/>
      <c r="N52" s="277"/>
      <c r="O52" s="277"/>
      <c r="P52" s="277"/>
      <c r="Q52" s="277"/>
      <c r="R52" s="277"/>
      <c r="S52" s="277"/>
      <c r="T52" s="277"/>
      <c r="U52" s="277"/>
      <c r="V52" s="277"/>
      <c r="W52" s="277"/>
      <c r="X52" s="278"/>
    </row>
    <row r="53" spans="1:24" ht="19.5" thickBot="1" x14ac:dyDescent="0.35">
      <c r="A53" s="238" t="s">
        <v>110</v>
      </c>
      <c r="B53" s="239"/>
      <c r="C53" s="239"/>
      <c r="D53" s="239"/>
      <c r="E53" s="239"/>
      <c r="F53" s="239"/>
      <c r="G53" s="239"/>
      <c r="H53" s="239"/>
      <c r="I53" s="239"/>
      <c r="J53" s="239"/>
      <c r="K53" s="239"/>
      <c r="L53" s="239"/>
      <c r="M53" s="239"/>
      <c r="N53" s="239"/>
      <c r="O53" s="239"/>
      <c r="P53" s="239"/>
      <c r="Q53" s="239"/>
      <c r="R53" s="239"/>
      <c r="S53" s="239"/>
      <c r="T53" s="239"/>
      <c r="U53" s="239"/>
      <c r="V53" s="239"/>
      <c r="W53" s="239"/>
      <c r="X53" s="240"/>
    </row>
    <row r="55" spans="1:24" ht="13.5" thickBot="1" x14ac:dyDescent="0.25"/>
    <row r="56" spans="1:24" ht="18" x14ac:dyDescent="0.25">
      <c r="A56" s="241" t="s">
        <v>111</v>
      </c>
      <c r="B56" s="242"/>
      <c r="C56" s="242"/>
      <c r="D56" s="242"/>
      <c r="E56" s="242"/>
      <c r="F56" s="242"/>
      <c r="G56" s="242"/>
      <c r="H56" s="233"/>
      <c r="I56" s="233"/>
      <c r="J56" s="234"/>
    </row>
    <row r="57" spans="1:24" ht="23.25" customHeight="1" x14ac:dyDescent="0.2">
      <c r="A57" s="245" t="s">
        <v>112</v>
      </c>
      <c r="B57" s="246"/>
      <c r="C57" s="245" t="s">
        <v>110</v>
      </c>
      <c r="D57" s="246"/>
      <c r="E57" s="246"/>
      <c r="F57" s="246"/>
      <c r="G57" s="246"/>
      <c r="H57" s="246"/>
      <c r="I57" s="246"/>
      <c r="J57" s="246"/>
    </row>
    <row r="58" spans="1:24" ht="254.25" customHeight="1" x14ac:dyDescent="0.2">
      <c r="A58" s="243" t="s">
        <v>113</v>
      </c>
      <c r="B58" s="244"/>
      <c r="C58" s="247" t="s">
        <v>114</v>
      </c>
      <c r="D58" s="248"/>
      <c r="E58" s="248"/>
      <c r="F58" s="248"/>
      <c r="G58" s="248"/>
      <c r="H58" s="248"/>
      <c r="I58" s="248"/>
      <c r="J58" s="249"/>
    </row>
    <row r="59" spans="1:24" ht="94.5" customHeight="1" x14ac:dyDescent="0.2">
      <c r="A59" s="243" t="s">
        <v>115</v>
      </c>
      <c r="B59" s="244"/>
      <c r="C59" s="250" t="s">
        <v>116</v>
      </c>
      <c r="D59" s="251"/>
      <c r="E59" s="251"/>
      <c r="F59" s="251"/>
      <c r="G59" s="251"/>
      <c r="H59" s="251"/>
      <c r="I59" s="251"/>
      <c r="J59" s="252"/>
    </row>
    <row r="60" spans="1:24" ht="78.75" customHeight="1" x14ac:dyDescent="0.2">
      <c r="A60" s="243" t="s">
        <v>117</v>
      </c>
      <c r="B60" s="244"/>
      <c r="C60" s="250" t="s">
        <v>118</v>
      </c>
      <c r="D60" s="265"/>
      <c r="E60" s="265"/>
      <c r="F60" s="265"/>
      <c r="G60" s="265"/>
      <c r="H60" s="265"/>
      <c r="I60" s="265"/>
      <c r="J60" s="266"/>
    </row>
    <row r="61" spans="1:24" ht="106.5" customHeight="1" x14ac:dyDescent="0.2">
      <c r="A61" s="41" t="s">
        <v>119</v>
      </c>
      <c r="B61" s="42"/>
      <c r="C61" s="267" t="s">
        <v>120</v>
      </c>
      <c r="D61" s="268"/>
      <c r="E61" s="268"/>
      <c r="F61" s="268"/>
      <c r="G61" s="268"/>
      <c r="H61" s="268"/>
      <c r="I61" s="268"/>
      <c r="J61" s="269"/>
    </row>
    <row r="62" spans="1:24" ht="108" customHeight="1" x14ac:dyDescent="0.2">
      <c r="A62" s="243" t="s">
        <v>121</v>
      </c>
      <c r="B62" s="244"/>
      <c r="C62" s="267" t="s">
        <v>122</v>
      </c>
      <c r="D62" s="268"/>
      <c r="E62" s="268"/>
      <c r="F62" s="268"/>
      <c r="G62" s="268"/>
      <c r="H62" s="268"/>
      <c r="I62" s="268"/>
      <c r="J62" s="269"/>
    </row>
    <row r="64" spans="1:24" ht="13.5" thickBot="1" x14ac:dyDescent="0.25"/>
    <row r="65" spans="1:24" ht="18" x14ac:dyDescent="0.25">
      <c r="A65" s="241" t="s">
        <v>123</v>
      </c>
      <c r="B65" s="242"/>
      <c r="C65" s="242"/>
      <c r="D65" s="242"/>
      <c r="E65" s="242"/>
      <c r="F65" s="242"/>
      <c r="G65" s="242"/>
      <c r="H65" s="233"/>
      <c r="I65" s="233"/>
      <c r="J65" s="234"/>
    </row>
    <row r="66" spans="1:24" ht="18" x14ac:dyDescent="0.2">
      <c r="A66" s="40" t="s">
        <v>73</v>
      </c>
      <c r="B66" s="253" t="s">
        <v>74</v>
      </c>
      <c r="C66" s="254"/>
      <c r="D66" s="253" t="s">
        <v>75</v>
      </c>
      <c r="E66" s="255"/>
      <c r="F66" s="255"/>
      <c r="G66" s="255"/>
      <c r="H66" s="255"/>
      <c r="I66" s="255"/>
      <c r="J66" s="254"/>
    </row>
    <row r="67" spans="1:24" s="61" customFormat="1" ht="29.25" customHeight="1" x14ac:dyDescent="0.2">
      <c r="A67" s="37" t="s">
        <v>76</v>
      </c>
      <c r="B67" s="38" t="s">
        <v>77</v>
      </c>
      <c r="C67" s="38" t="s">
        <v>78</v>
      </c>
      <c r="D67" s="231" t="s">
        <v>124</v>
      </c>
      <c r="E67" s="231"/>
      <c r="F67" s="231"/>
      <c r="G67" s="231"/>
      <c r="H67" s="231"/>
      <c r="I67" s="231"/>
      <c r="J67" s="231"/>
    </row>
    <row r="68" spans="1:24" s="61" customFormat="1" ht="94.5" customHeight="1" x14ac:dyDescent="0.2">
      <c r="A68" s="39" t="s">
        <v>80</v>
      </c>
      <c r="B68" s="34" t="s">
        <v>81</v>
      </c>
      <c r="C68" s="34" t="s">
        <v>82</v>
      </c>
      <c r="D68" s="231" t="s">
        <v>125</v>
      </c>
      <c r="E68" s="231"/>
      <c r="F68" s="231"/>
      <c r="G68" s="231"/>
      <c r="H68" s="231"/>
      <c r="I68" s="231"/>
      <c r="J68" s="231"/>
    </row>
    <row r="69" spans="1:24" s="61" customFormat="1" ht="93.75" customHeight="1" x14ac:dyDescent="0.2">
      <c r="A69" s="39" t="s">
        <v>49</v>
      </c>
      <c r="B69" s="34" t="s">
        <v>84</v>
      </c>
      <c r="C69" s="34" t="s">
        <v>85</v>
      </c>
      <c r="D69" s="231" t="s">
        <v>126</v>
      </c>
      <c r="E69" s="231"/>
      <c r="F69" s="231"/>
      <c r="G69" s="231"/>
      <c r="H69" s="231"/>
      <c r="I69" s="231"/>
      <c r="J69" s="231"/>
    </row>
    <row r="70" spans="1:24" s="61" customFormat="1" ht="78.75" customHeight="1" x14ac:dyDescent="0.2">
      <c r="A70" s="39" t="s">
        <v>86</v>
      </c>
      <c r="B70" s="34" t="s">
        <v>87</v>
      </c>
      <c r="C70" s="34" t="s">
        <v>88</v>
      </c>
      <c r="D70" s="231" t="s">
        <v>127</v>
      </c>
      <c r="E70" s="231"/>
      <c r="F70" s="231"/>
      <c r="G70" s="231"/>
      <c r="H70" s="231"/>
      <c r="I70" s="231"/>
      <c r="J70" s="231"/>
    </row>
    <row r="72" spans="1:24" ht="13.5" thickBot="1" x14ac:dyDescent="0.25"/>
    <row r="73" spans="1:24" x14ac:dyDescent="0.2">
      <c r="A73" s="232" t="s">
        <v>128</v>
      </c>
      <c r="B73" s="233"/>
      <c r="C73" s="233"/>
      <c r="D73" s="233"/>
      <c r="E73" s="233"/>
      <c r="F73" s="233"/>
      <c r="G73" s="233"/>
      <c r="H73" s="233"/>
      <c r="I73" s="233"/>
      <c r="J73" s="233"/>
      <c r="K73" s="233"/>
      <c r="L73" s="233"/>
      <c r="M73" s="233"/>
      <c r="N73" s="233"/>
      <c r="O73" s="233"/>
      <c r="P73" s="233"/>
      <c r="Q73" s="233"/>
      <c r="R73" s="233"/>
      <c r="S73" s="233"/>
      <c r="T73" s="233"/>
      <c r="U73" s="233"/>
      <c r="V73" s="233"/>
      <c r="W73" s="233"/>
      <c r="X73" s="234"/>
    </row>
    <row r="74" spans="1:24" ht="13.5" thickBot="1" x14ac:dyDescent="0.25">
      <c r="A74" s="235"/>
      <c r="B74" s="236"/>
      <c r="C74" s="236"/>
      <c r="D74" s="236"/>
      <c r="E74" s="236"/>
      <c r="F74" s="236"/>
      <c r="G74" s="236"/>
      <c r="H74" s="236"/>
      <c r="I74" s="236"/>
      <c r="J74" s="236"/>
      <c r="K74" s="236"/>
      <c r="L74" s="236"/>
      <c r="M74" s="236"/>
      <c r="N74" s="236"/>
      <c r="O74" s="236"/>
      <c r="P74" s="236"/>
      <c r="Q74" s="236"/>
      <c r="R74" s="236"/>
      <c r="S74" s="236"/>
      <c r="T74" s="236"/>
      <c r="U74" s="236"/>
      <c r="V74" s="236"/>
      <c r="W74" s="236"/>
      <c r="X74" s="237"/>
    </row>
    <row r="75" spans="1:24" ht="19.5" thickBot="1" x14ac:dyDescent="0.35">
      <c r="A75" s="238" t="s">
        <v>129</v>
      </c>
      <c r="B75" s="239"/>
      <c r="C75" s="239"/>
      <c r="D75" s="239"/>
      <c r="E75" s="239"/>
      <c r="F75" s="239"/>
      <c r="G75" s="239"/>
      <c r="H75" s="239"/>
      <c r="I75" s="239"/>
      <c r="J75" s="239"/>
      <c r="K75" s="239"/>
      <c r="L75" s="239"/>
      <c r="M75" s="239"/>
      <c r="N75" s="239"/>
      <c r="O75" s="239"/>
      <c r="P75" s="239"/>
      <c r="Q75" s="239"/>
      <c r="R75" s="239"/>
      <c r="S75" s="239"/>
      <c r="T75" s="239"/>
      <c r="U75" s="239"/>
      <c r="V75" s="239"/>
      <c r="W75" s="239"/>
      <c r="X75" s="240"/>
    </row>
    <row r="77" spans="1:24" ht="13.5" thickBot="1" x14ac:dyDescent="0.25"/>
    <row r="78" spans="1:24" ht="18.75" thickBot="1" x14ac:dyDescent="0.3">
      <c r="A78" s="256" t="s">
        <v>130</v>
      </c>
      <c r="B78" s="239"/>
      <c r="C78" s="239"/>
      <c r="D78" s="239"/>
      <c r="E78" s="239"/>
      <c r="F78" s="240"/>
    </row>
    <row r="79" spans="1:24" x14ac:dyDescent="0.2">
      <c r="A79" s="300" t="s">
        <v>131</v>
      </c>
      <c r="B79" s="303" t="s">
        <v>132</v>
      </c>
      <c r="C79" s="303"/>
      <c r="D79" s="304"/>
      <c r="E79" s="304"/>
      <c r="F79" s="304"/>
    </row>
    <row r="80" spans="1:24" x14ac:dyDescent="0.2">
      <c r="A80" s="301"/>
      <c r="B80" s="305"/>
      <c r="C80" s="305"/>
      <c r="D80" s="305"/>
      <c r="E80" s="305"/>
      <c r="F80" s="305"/>
    </row>
    <row r="81" spans="1:10" ht="32.25" customHeight="1" x14ac:dyDescent="0.2">
      <c r="A81" s="302"/>
      <c r="B81" s="35" t="s">
        <v>90</v>
      </c>
      <c r="C81" s="35" t="s">
        <v>86</v>
      </c>
      <c r="D81" s="35" t="s">
        <v>49</v>
      </c>
      <c r="E81" s="35" t="s">
        <v>80</v>
      </c>
      <c r="F81" s="36" t="s">
        <v>76</v>
      </c>
    </row>
    <row r="82" spans="1:10" ht="15" x14ac:dyDescent="0.2">
      <c r="A82" s="62" t="s">
        <v>76</v>
      </c>
      <c r="B82" s="31" t="s">
        <v>90</v>
      </c>
      <c r="C82" s="31" t="s">
        <v>86</v>
      </c>
      <c r="D82" s="31" t="s">
        <v>49</v>
      </c>
      <c r="E82" s="63" t="s">
        <v>80</v>
      </c>
      <c r="F82" s="63" t="s">
        <v>76</v>
      </c>
    </row>
    <row r="83" spans="1:10" ht="15" x14ac:dyDescent="0.2">
      <c r="A83" s="62" t="s">
        <v>80</v>
      </c>
      <c r="B83" s="31" t="s">
        <v>90</v>
      </c>
      <c r="C83" s="31" t="s">
        <v>86</v>
      </c>
      <c r="D83" s="63" t="s">
        <v>49</v>
      </c>
      <c r="E83" s="63" t="s">
        <v>80</v>
      </c>
      <c r="F83" s="63" t="s">
        <v>76</v>
      </c>
    </row>
    <row r="84" spans="1:10" ht="15" x14ac:dyDescent="0.2">
      <c r="A84" s="62" t="s">
        <v>49</v>
      </c>
      <c r="B84" s="31" t="s">
        <v>90</v>
      </c>
      <c r="C84" s="31" t="s">
        <v>86</v>
      </c>
      <c r="D84" s="63" t="s">
        <v>49</v>
      </c>
      <c r="E84" s="63" t="s">
        <v>49</v>
      </c>
      <c r="F84" s="63" t="s">
        <v>80</v>
      </c>
    </row>
    <row r="85" spans="1:10" ht="15" x14ac:dyDescent="0.2">
      <c r="A85" s="62" t="s">
        <v>86</v>
      </c>
      <c r="B85" s="31" t="s">
        <v>90</v>
      </c>
      <c r="C85" s="31" t="s">
        <v>86</v>
      </c>
      <c r="D85" s="63" t="s">
        <v>86</v>
      </c>
      <c r="E85" s="63" t="s">
        <v>86</v>
      </c>
      <c r="F85" s="63" t="s">
        <v>49</v>
      </c>
    </row>
    <row r="86" spans="1:10" ht="15" x14ac:dyDescent="0.2">
      <c r="A86" s="62" t="s">
        <v>90</v>
      </c>
      <c r="B86" s="31" t="s">
        <v>90</v>
      </c>
      <c r="C86" s="31" t="s">
        <v>90</v>
      </c>
      <c r="D86" s="63" t="s">
        <v>90</v>
      </c>
      <c r="E86" s="63" t="s">
        <v>86</v>
      </c>
      <c r="F86" s="63" t="s">
        <v>86</v>
      </c>
    </row>
    <row r="88" spans="1:10" ht="13.5" thickBot="1" x14ac:dyDescent="0.25"/>
    <row r="89" spans="1:10" ht="18.75" thickBot="1" x14ac:dyDescent="0.3">
      <c r="A89" s="256" t="s">
        <v>133</v>
      </c>
      <c r="B89" s="257"/>
      <c r="C89" s="257"/>
      <c r="D89" s="257"/>
      <c r="E89" s="257"/>
      <c r="F89" s="257"/>
      <c r="G89" s="257"/>
      <c r="H89" s="239"/>
      <c r="I89" s="239"/>
      <c r="J89" s="240"/>
    </row>
    <row r="90" spans="1:10" ht="18" x14ac:dyDescent="0.25">
      <c r="A90" s="32" t="s">
        <v>73</v>
      </c>
      <c r="B90" s="258" t="s">
        <v>74</v>
      </c>
      <c r="C90" s="258"/>
      <c r="D90" s="258" t="s">
        <v>75</v>
      </c>
      <c r="E90" s="259"/>
      <c r="F90" s="259"/>
      <c r="G90" s="259"/>
      <c r="H90" s="259"/>
      <c r="I90" s="259"/>
      <c r="J90" s="259"/>
    </row>
    <row r="91" spans="1:10" ht="32.1" customHeight="1" x14ac:dyDescent="0.2">
      <c r="A91" s="34" t="s">
        <v>76</v>
      </c>
      <c r="B91" s="34" t="s">
        <v>77</v>
      </c>
      <c r="C91" s="34" t="s">
        <v>78</v>
      </c>
      <c r="D91" s="297" t="s">
        <v>134</v>
      </c>
      <c r="E91" s="298"/>
      <c r="F91" s="298"/>
      <c r="G91" s="298"/>
      <c r="H91" s="298"/>
      <c r="I91" s="298"/>
      <c r="J91" s="299"/>
    </row>
    <row r="92" spans="1:10" ht="32.1" customHeight="1" x14ac:dyDescent="0.2">
      <c r="A92" s="34" t="s">
        <v>80</v>
      </c>
      <c r="B92" s="34" t="s">
        <v>81</v>
      </c>
      <c r="C92" s="34" t="s">
        <v>82</v>
      </c>
      <c r="D92" s="247" t="s">
        <v>135</v>
      </c>
      <c r="E92" s="298"/>
      <c r="F92" s="298"/>
      <c r="G92" s="298"/>
      <c r="H92" s="298"/>
      <c r="I92" s="298"/>
      <c r="J92" s="299"/>
    </row>
    <row r="93" spans="1:10" ht="32.1" customHeight="1" x14ac:dyDescent="0.2">
      <c r="A93" s="34" t="s">
        <v>49</v>
      </c>
      <c r="B93" s="34" t="s">
        <v>84</v>
      </c>
      <c r="C93" s="34" t="s">
        <v>85</v>
      </c>
      <c r="D93" s="247" t="s">
        <v>136</v>
      </c>
      <c r="E93" s="298"/>
      <c r="F93" s="298"/>
      <c r="G93" s="298"/>
      <c r="H93" s="298"/>
      <c r="I93" s="298"/>
      <c r="J93" s="299"/>
    </row>
    <row r="94" spans="1:10" ht="32.1" customHeight="1" x14ac:dyDescent="0.2">
      <c r="A94" s="34" t="s">
        <v>86</v>
      </c>
      <c r="B94" s="34" t="s">
        <v>87</v>
      </c>
      <c r="C94" s="34" t="s">
        <v>88</v>
      </c>
      <c r="D94" s="247" t="s">
        <v>137</v>
      </c>
      <c r="E94" s="298"/>
      <c r="F94" s="298"/>
      <c r="G94" s="298"/>
      <c r="H94" s="298"/>
      <c r="I94" s="298"/>
      <c r="J94" s="299"/>
    </row>
    <row r="95" spans="1:10" ht="15" x14ac:dyDescent="0.2">
      <c r="A95" s="50" t="s">
        <v>90</v>
      </c>
      <c r="B95" s="50" t="s">
        <v>91</v>
      </c>
      <c r="C95" s="50" t="s">
        <v>92</v>
      </c>
      <c r="D95" s="279" t="s">
        <v>138</v>
      </c>
      <c r="E95" s="280"/>
      <c r="F95" s="280"/>
      <c r="G95" s="280"/>
      <c r="H95" s="280"/>
      <c r="I95" s="280"/>
      <c r="J95" s="281"/>
    </row>
  </sheetData>
  <sheetProtection algorithmName="SHA-512" hashValue="6XOGzFzwVCxyeyuaip+YgvPXMyPMpTQH7aSgF8bzKLPgGJmGRc8KM8uzJAQW361hD+0/yWz9LFjcT0uN6KRr9g==" saltValue="rXM7pW/adjSuwVhOlfQlJA==" spinCount="100000" sheet="1" objects="1" scenarios="1"/>
  <mergeCells count="63">
    <mergeCell ref="D95:J95"/>
    <mergeCell ref="D19:J19"/>
    <mergeCell ref="D28:J28"/>
    <mergeCell ref="D37:J37"/>
    <mergeCell ref="A41:A43"/>
    <mergeCell ref="B41:F42"/>
    <mergeCell ref="A40:F40"/>
    <mergeCell ref="D91:J91"/>
    <mergeCell ref="D92:J92"/>
    <mergeCell ref="D93:J93"/>
    <mergeCell ref="D94:J94"/>
    <mergeCell ref="A78:F78"/>
    <mergeCell ref="A79:A81"/>
    <mergeCell ref="B79:F80"/>
    <mergeCell ref="A89:J89"/>
    <mergeCell ref="B90:C90"/>
    <mergeCell ref="D90:J90"/>
    <mergeCell ref="C60:J60"/>
    <mergeCell ref="C61:J61"/>
    <mergeCell ref="C62:J62"/>
    <mergeCell ref="D24:J24"/>
    <mergeCell ref="D26:J26"/>
    <mergeCell ref="D27:J27"/>
    <mergeCell ref="A31:J31"/>
    <mergeCell ref="B32:C32"/>
    <mergeCell ref="D32:J32"/>
    <mergeCell ref="D33:J33"/>
    <mergeCell ref="D34:J34"/>
    <mergeCell ref="D35:J35"/>
    <mergeCell ref="D36:J36"/>
    <mergeCell ref="A51:X52"/>
    <mergeCell ref="A53:X53"/>
    <mergeCell ref="D66:J66"/>
    <mergeCell ref="D67:J67"/>
    <mergeCell ref="A9:X10"/>
    <mergeCell ref="A11:X11"/>
    <mergeCell ref="A22:J22"/>
    <mergeCell ref="B23:C23"/>
    <mergeCell ref="D23:J23"/>
    <mergeCell ref="B14:C14"/>
    <mergeCell ref="D14:J14"/>
    <mergeCell ref="A13:J13"/>
    <mergeCell ref="D15:J15"/>
    <mergeCell ref="D16:J16"/>
    <mergeCell ref="D17:J17"/>
    <mergeCell ref="D18:J18"/>
    <mergeCell ref="D25:J25"/>
    <mergeCell ref="D68:J68"/>
    <mergeCell ref="D69:J69"/>
    <mergeCell ref="A73:X74"/>
    <mergeCell ref="A75:X75"/>
    <mergeCell ref="A56:J56"/>
    <mergeCell ref="A65:J65"/>
    <mergeCell ref="A58:B58"/>
    <mergeCell ref="A59:B59"/>
    <mergeCell ref="A60:B60"/>
    <mergeCell ref="A62:B62"/>
    <mergeCell ref="A57:B57"/>
    <mergeCell ref="C57:J57"/>
    <mergeCell ref="C58:J58"/>
    <mergeCell ref="C59:J59"/>
    <mergeCell ref="D70:J70"/>
    <mergeCell ref="B66:C66"/>
  </mergeCells>
  <pageMargins left="0.7" right="0.7" top="0.75" bottom="0.75" header="0.3" footer="0.3"/>
  <pageSetup orientation="portrait" r:id="rId1"/>
  <ignoredErrors>
    <ignoredError sqref="C15:C19 C24:C28 C33:C37 C67:C70 C91:C95" numberStoredAsText="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5:U5041"/>
  <sheetViews>
    <sheetView zoomScale="80" zoomScaleNormal="80" workbookViewId="0">
      <selection activeCell="J22" sqref="J22"/>
    </sheetView>
  </sheetViews>
  <sheetFormatPr defaultRowHeight="12.75" x14ac:dyDescent="0.2"/>
  <cols>
    <col min="1" max="1" width="27.5703125" customWidth="1"/>
    <col min="2" max="2" width="27.7109375" customWidth="1"/>
    <col min="3" max="3" width="29.28515625" customWidth="1"/>
    <col min="4" max="5" width="42.42578125" customWidth="1"/>
    <col min="6" max="7" width="25.28515625" customWidth="1"/>
    <col min="8" max="8" width="31.28515625" customWidth="1"/>
    <col min="9" max="9" width="24.28515625" customWidth="1"/>
    <col min="10" max="10" width="47.7109375" customWidth="1"/>
    <col min="11" max="11" width="45.5703125" customWidth="1"/>
    <col min="12" max="12" width="25.7109375" customWidth="1"/>
    <col min="13" max="13" width="23" customWidth="1"/>
    <col min="14" max="14" width="19.7109375" customWidth="1"/>
    <col min="15" max="15" width="14.7109375" customWidth="1"/>
    <col min="16" max="16" width="25.7109375" customWidth="1"/>
    <col min="17" max="17" width="23.85546875" style="28" customWidth="1"/>
    <col min="18" max="18" width="32.140625" customWidth="1"/>
    <col min="19" max="19" width="36.85546875" customWidth="1"/>
  </cols>
  <sheetData>
    <row r="5" spans="1:17" ht="22.5" customHeight="1" x14ac:dyDescent="0.2"/>
    <row r="6" spans="1:17" ht="22.5" customHeight="1" x14ac:dyDescent="0.2"/>
    <row r="7" spans="1:17" ht="20.25" customHeight="1" x14ac:dyDescent="0.25">
      <c r="A7" s="306" t="s">
        <v>1</v>
      </c>
      <c r="B7" s="307"/>
      <c r="C7" s="21" t="s">
        <v>139</v>
      </c>
      <c r="D7" s="82"/>
      <c r="E7" s="16"/>
      <c r="F7" s="16"/>
      <c r="G7" s="16"/>
      <c r="H7" s="16"/>
      <c r="I7" s="16"/>
      <c r="J7" s="16"/>
      <c r="K7" s="16"/>
    </row>
    <row r="8" spans="1:17" ht="20.25" customHeight="1" x14ac:dyDescent="0.25">
      <c r="A8" s="306" t="s">
        <v>2</v>
      </c>
      <c r="B8" s="307"/>
      <c r="C8" s="21" t="s">
        <v>140</v>
      </c>
      <c r="D8" s="82"/>
      <c r="E8" s="16"/>
      <c r="F8" s="16"/>
      <c r="G8" s="16"/>
      <c r="H8" s="16"/>
      <c r="I8" s="16"/>
      <c r="J8" s="16"/>
      <c r="K8" s="16"/>
    </row>
    <row r="9" spans="1:17" ht="20.25" customHeight="1" x14ac:dyDescent="0.25">
      <c r="A9" s="306" t="s">
        <v>3</v>
      </c>
      <c r="B9" s="307"/>
      <c r="C9" s="21" t="s">
        <v>141</v>
      </c>
      <c r="D9" s="82"/>
      <c r="E9" s="16"/>
      <c r="F9" s="16"/>
      <c r="G9" s="16"/>
      <c r="H9" s="16"/>
      <c r="I9" s="16"/>
      <c r="J9" s="16"/>
      <c r="K9" s="16"/>
    </row>
    <row r="10" spans="1:17" ht="18.75" customHeight="1" x14ac:dyDescent="0.25">
      <c r="A10" s="306" t="s">
        <v>4</v>
      </c>
      <c r="B10" s="307"/>
      <c r="C10" s="21">
        <v>2025</v>
      </c>
      <c r="D10" s="82"/>
      <c r="E10" s="16"/>
      <c r="F10" s="16"/>
      <c r="G10" s="16"/>
      <c r="H10" s="16"/>
      <c r="I10" s="16"/>
      <c r="J10" s="16"/>
      <c r="K10" s="16"/>
    </row>
    <row r="11" spans="1:17" ht="15.75" customHeight="1" x14ac:dyDescent="0.25">
      <c r="A11" s="1"/>
      <c r="B11" s="1"/>
      <c r="C11" s="1"/>
      <c r="D11" s="1"/>
      <c r="E11" s="1"/>
      <c r="F11" s="1"/>
      <c r="G11" s="1"/>
      <c r="H11" s="1"/>
      <c r="I11" s="1"/>
      <c r="J11" s="1"/>
      <c r="K11" s="1"/>
      <c r="L11" s="1"/>
    </row>
    <row r="12" spans="1:17" ht="12.75" customHeight="1" x14ac:dyDescent="0.2">
      <c r="A12" s="228"/>
      <c r="B12" s="228"/>
      <c r="C12" s="228"/>
      <c r="D12" s="228"/>
      <c r="E12" s="228"/>
      <c r="F12" s="228"/>
      <c r="G12" s="228"/>
      <c r="H12" s="228"/>
      <c r="I12" s="228"/>
      <c r="J12" s="228"/>
      <c r="Q12" s="56"/>
    </row>
    <row r="13" spans="1:17" x14ac:dyDescent="0.2">
      <c r="A13" s="311" t="s">
        <v>41</v>
      </c>
      <c r="B13" s="312"/>
      <c r="C13" s="19" t="s">
        <v>42</v>
      </c>
      <c r="D13" s="311" t="s">
        <v>142</v>
      </c>
      <c r="E13" s="315"/>
      <c r="F13" s="313" t="s">
        <v>44</v>
      </c>
      <c r="G13" s="314"/>
      <c r="H13" s="19" t="s">
        <v>45</v>
      </c>
      <c r="I13" s="19" t="s">
        <v>46</v>
      </c>
      <c r="J13" s="20" t="s">
        <v>143</v>
      </c>
      <c r="Q13" s="56"/>
    </row>
    <row r="14" spans="1:17" ht="18.75" customHeight="1" x14ac:dyDescent="0.2">
      <c r="A14" s="308" t="str">
        <f>C8</f>
        <v>VA Test System</v>
      </c>
      <c r="B14" s="309"/>
      <c r="C14" s="18" t="str">
        <f>C9</f>
        <v>VATESTSYS</v>
      </c>
      <c r="D14" s="316" t="s">
        <v>49</v>
      </c>
      <c r="E14" s="317"/>
      <c r="F14" s="310" t="s">
        <v>49</v>
      </c>
      <c r="G14" s="310"/>
      <c r="H14" s="68" t="s">
        <v>49</v>
      </c>
      <c r="I14" s="68" t="s">
        <v>49</v>
      </c>
      <c r="J14" s="17"/>
    </row>
    <row r="15" spans="1:17" x14ac:dyDescent="0.2">
      <c r="A15" s="229"/>
      <c r="B15" s="229"/>
      <c r="C15" s="229"/>
      <c r="D15" s="229"/>
      <c r="E15" s="229"/>
      <c r="F15" s="229"/>
      <c r="G15" s="229"/>
      <c r="H15" s="229"/>
      <c r="I15" s="229"/>
      <c r="J15" s="229"/>
    </row>
    <row r="17" spans="1:21" s="61" customFormat="1" ht="27.6" customHeight="1" x14ac:dyDescent="0.2">
      <c r="A17" s="81" t="s">
        <v>66</v>
      </c>
      <c r="B17" s="81" t="s">
        <v>210</v>
      </c>
      <c r="C17" s="81" t="s">
        <v>68</v>
      </c>
      <c r="D17" s="81" t="s">
        <v>52</v>
      </c>
      <c r="E17" s="81" t="s">
        <v>53</v>
      </c>
      <c r="F17" s="81" t="s">
        <v>54</v>
      </c>
      <c r="G17" s="81" t="s">
        <v>55</v>
      </c>
      <c r="H17" s="81" t="s">
        <v>56</v>
      </c>
      <c r="I17" s="81" t="s">
        <v>184</v>
      </c>
      <c r="J17" s="81" t="s">
        <v>57</v>
      </c>
      <c r="K17" s="81" t="s">
        <v>69</v>
      </c>
      <c r="L17" s="81" t="s">
        <v>59</v>
      </c>
      <c r="M17" s="81" t="s">
        <v>60</v>
      </c>
      <c r="N17" s="81" t="s">
        <v>61</v>
      </c>
      <c r="O17" s="81" t="s">
        <v>62</v>
      </c>
      <c r="P17" s="81" t="s">
        <v>257</v>
      </c>
      <c r="Q17" s="77" t="s">
        <v>189</v>
      </c>
      <c r="R17" s="81" t="s">
        <v>63</v>
      </c>
      <c r="S17" s="81" t="s">
        <v>64</v>
      </c>
    </row>
    <row r="18" spans="1:21" ht="140.1" customHeight="1" x14ac:dyDescent="0.2">
      <c r="A18" s="4" t="s">
        <v>190</v>
      </c>
      <c r="B18" s="69" t="s">
        <v>11</v>
      </c>
      <c r="C18" s="4" t="s">
        <v>252</v>
      </c>
      <c r="D18" s="4" t="s">
        <v>144</v>
      </c>
      <c r="E18" s="4" t="s">
        <v>147</v>
      </c>
      <c r="F18" s="4" t="s">
        <v>198</v>
      </c>
      <c r="G18" s="6" t="s">
        <v>145</v>
      </c>
      <c r="H18" s="4" t="s">
        <v>146</v>
      </c>
      <c r="I18" s="148">
        <v>46096</v>
      </c>
      <c r="J18" s="4" t="s">
        <v>201</v>
      </c>
      <c r="K18" s="4" t="s">
        <v>207</v>
      </c>
      <c r="L18" s="4"/>
      <c r="M18" s="153">
        <v>45352</v>
      </c>
      <c r="N18" s="4" t="s">
        <v>8</v>
      </c>
      <c r="O18" s="43" t="s">
        <v>49</v>
      </c>
      <c r="P18" s="43"/>
      <c r="Q18" s="43" t="s">
        <v>240</v>
      </c>
      <c r="R18" s="22" t="s">
        <v>147</v>
      </c>
      <c r="S18" s="4"/>
      <c r="T18" s="2"/>
      <c r="U18" s="2"/>
    </row>
    <row r="19" spans="1:21" ht="140.1" customHeight="1" x14ac:dyDescent="0.2">
      <c r="A19" s="5" t="s">
        <v>191</v>
      </c>
      <c r="B19" s="67" t="s">
        <v>30</v>
      </c>
      <c r="C19" s="15" t="s">
        <v>148</v>
      </c>
      <c r="D19" s="15" t="s">
        <v>149</v>
      </c>
      <c r="E19" s="83" t="s">
        <v>180</v>
      </c>
      <c r="F19" s="4" t="s">
        <v>198</v>
      </c>
      <c r="G19" s="6" t="s">
        <v>145</v>
      </c>
      <c r="H19" s="5" t="s">
        <v>150</v>
      </c>
      <c r="I19" s="149">
        <v>46235</v>
      </c>
      <c r="J19" s="5" t="s">
        <v>202</v>
      </c>
      <c r="K19" s="5" t="s">
        <v>208</v>
      </c>
      <c r="L19" s="5"/>
      <c r="M19" s="154"/>
      <c r="N19" s="5" t="s">
        <v>7</v>
      </c>
      <c r="O19" s="5" t="s">
        <v>49</v>
      </c>
      <c r="P19" s="5"/>
      <c r="Q19" s="43" t="s">
        <v>240</v>
      </c>
      <c r="R19" s="22" t="s">
        <v>147</v>
      </c>
      <c r="S19" s="5" t="s">
        <v>151</v>
      </c>
      <c r="T19" s="2"/>
      <c r="U19" s="2"/>
    </row>
    <row r="20" spans="1:21" ht="140.1" customHeight="1" x14ac:dyDescent="0.2">
      <c r="A20" s="5" t="s">
        <v>191</v>
      </c>
      <c r="B20" s="67" t="s">
        <v>22</v>
      </c>
      <c r="C20" s="5" t="s">
        <v>253</v>
      </c>
      <c r="D20" s="5" t="s">
        <v>152</v>
      </c>
      <c r="E20" s="5" t="s">
        <v>147</v>
      </c>
      <c r="F20" s="5" t="s">
        <v>199</v>
      </c>
      <c r="G20" s="7" t="s">
        <v>145</v>
      </c>
      <c r="H20" s="4" t="s">
        <v>153</v>
      </c>
      <c r="I20" s="150">
        <v>46233</v>
      </c>
      <c r="J20" s="15" t="s">
        <v>203</v>
      </c>
      <c r="K20" s="8"/>
      <c r="L20" s="8"/>
      <c r="M20" s="150">
        <v>45503</v>
      </c>
      <c r="N20" s="9" t="s">
        <v>8</v>
      </c>
      <c r="O20" s="5" t="s">
        <v>86</v>
      </c>
      <c r="P20" s="5"/>
      <c r="Q20" s="43" t="s">
        <v>240</v>
      </c>
      <c r="R20" s="22" t="s">
        <v>147</v>
      </c>
      <c r="S20" s="5"/>
      <c r="T20" s="2"/>
      <c r="U20" s="2"/>
    </row>
    <row r="21" spans="1:21" ht="144" customHeight="1" x14ac:dyDescent="0.2">
      <c r="A21" s="4" t="s">
        <v>192</v>
      </c>
      <c r="B21" s="67" t="s">
        <v>30</v>
      </c>
      <c r="C21" s="4" t="s">
        <v>154</v>
      </c>
      <c r="D21" s="10" t="s">
        <v>155</v>
      </c>
      <c r="E21" s="10" t="s">
        <v>147</v>
      </c>
      <c r="F21" s="4" t="s">
        <v>200</v>
      </c>
      <c r="G21" s="7" t="s">
        <v>145</v>
      </c>
      <c r="H21" s="4" t="s">
        <v>156</v>
      </c>
      <c r="I21" s="151">
        <v>46162</v>
      </c>
      <c r="J21" s="5" t="s">
        <v>204</v>
      </c>
      <c r="K21" s="12"/>
      <c r="L21" s="72"/>
      <c r="M21" s="155" t="s">
        <v>5</v>
      </c>
      <c r="N21" s="11" t="s">
        <v>65</v>
      </c>
      <c r="O21" s="11" t="s">
        <v>86</v>
      </c>
      <c r="P21" s="160"/>
      <c r="Q21" s="43" t="s">
        <v>240</v>
      </c>
      <c r="R21" s="22" t="s">
        <v>147</v>
      </c>
      <c r="S21" s="11"/>
      <c r="T21" s="2"/>
      <c r="U21" s="2"/>
    </row>
    <row r="22" spans="1:21" ht="140.1" customHeight="1" x14ac:dyDescent="0.2">
      <c r="A22" s="5" t="s">
        <v>193</v>
      </c>
      <c r="B22" s="67" t="s">
        <v>37</v>
      </c>
      <c r="C22" s="5" t="s">
        <v>254</v>
      </c>
      <c r="D22" s="13" t="s">
        <v>157</v>
      </c>
      <c r="E22" s="13" t="s">
        <v>179</v>
      </c>
      <c r="F22" s="5" t="s">
        <v>200</v>
      </c>
      <c r="G22" s="7" t="s">
        <v>145</v>
      </c>
      <c r="H22" s="4" t="s">
        <v>158</v>
      </c>
      <c r="I22" s="152">
        <v>46096</v>
      </c>
      <c r="J22" s="14" t="s">
        <v>205</v>
      </c>
      <c r="K22" s="14" t="s">
        <v>159</v>
      </c>
      <c r="L22" s="14"/>
      <c r="M22" s="156" t="s">
        <v>5</v>
      </c>
      <c r="N22" s="11" t="s">
        <v>7</v>
      </c>
      <c r="O22" s="173" t="s">
        <v>80</v>
      </c>
      <c r="P22" s="5"/>
      <c r="Q22" s="43" t="s">
        <v>240</v>
      </c>
      <c r="R22" s="22" t="s">
        <v>147</v>
      </c>
      <c r="S22" s="14" t="s">
        <v>160</v>
      </c>
      <c r="T22" s="2"/>
      <c r="U22" s="2"/>
    </row>
    <row r="23" spans="1:21" ht="140.1" customHeight="1" x14ac:dyDescent="0.2">
      <c r="A23" s="161" t="s">
        <v>194</v>
      </c>
      <c r="B23" s="162" t="s">
        <v>34</v>
      </c>
      <c r="C23" s="161" t="s">
        <v>255</v>
      </c>
      <c r="D23" s="161" t="s">
        <v>161</v>
      </c>
      <c r="E23" s="161" t="s">
        <v>181</v>
      </c>
      <c r="F23" s="161" t="s">
        <v>200</v>
      </c>
      <c r="G23" s="163" t="s">
        <v>145</v>
      </c>
      <c r="H23" s="159" t="s">
        <v>162</v>
      </c>
      <c r="I23" s="164">
        <v>46113</v>
      </c>
      <c r="J23" s="161" t="s">
        <v>206</v>
      </c>
      <c r="K23" s="165"/>
      <c r="L23" s="165"/>
      <c r="M23" s="166" t="s">
        <v>5</v>
      </c>
      <c r="N23" s="161" t="s">
        <v>65</v>
      </c>
      <c r="O23" s="161" t="s">
        <v>80</v>
      </c>
      <c r="P23" s="161"/>
      <c r="Q23" s="167" t="s">
        <v>240</v>
      </c>
      <c r="R23" s="168" t="s">
        <v>147</v>
      </c>
      <c r="S23" s="161"/>
      <c r="T23" s="2"/>
      <c r="U23" s="2"/>
    </row>
    <row r="24" spans="1:21" ht="299.25" x14ac:dyDescent="0.2">
      <c r="A24" s="5" t="s">
        <v>256</v>
      </c>
      <c r="B24" s="169" t="s">
        <v>19</v>
      </c>
      <c r="C24" s="5" t="s">
        <v>259</v>
      </c>
      <c r="D24" s="13" t="s">
        <v>260</v>
      </c>
      <c r="E24" s="13" t="s">
        <v>261</v>
      </c>
      <c r="F24" s="5" t="s">
        <v>262</v>
      </c>
      <c r="G24" s="8" t="s">
        <v>145</v>
      </c>
      <c r="H24" s="5" t="s">
        <v>263</v>
      </c>
      <c r="I24" s="170">
        <v>46038</v>
      </c>
      <c r="J24" s="176" t="s">
        <v>268</v>
      </c>
      <c r="K24" s="171"/>
      <c r="L24" s="171"/>
      <c r="M24" s="171"/>
      <c r="N24" s="8" t="s">
        <v>9</v>
      </c>
      <c r="O24" s="8" t="s">
        <v>86</v>
      </c>
      <c r="P24" s="8" t="s">
        <v>265</v>
      </c>
      <c r="Q24" s="172" t="s">
        <v>240</v>
      </c>
      <c r="R24" s="174" t="s">
        <v>264</v>
      </c>
      <c r="S24" s="175" t="s">
        <v>266</v>
      </c>
    </row>
    <row r="25" spans="1:21" x14ac:dyDescent="0.2">
      <c r="Q25"/>
    </row>
    <row r="26" spans="1:21" x14ac:dyDescent="0.2">
      <c r="Q26"/>
    </row>
    <row r="27" spans="1:21" x14ac:dyDescent="0.2">
      <c r="Q27"/>
    </row>
    <row r="28" spans="1:21" x14ac:dyDescent="0.2">
      <c r="Q28"/>
    </row>
    <row r="29" spans="1:21" x14ac:dyDescent="0.2">
      <c r="Q29"/>
    </row>
    <row r="30" spans="1:21" x14ac:dyDescent="0.2">
      <c r="Q30"/>
    </row>
    <row r="31" spans="1:21" x14ac:dyDescent="0.2">
      <c r="Q31"/>
    </row>
    <row r="32" spans="1:21" x14ac:dyDescent="0.2">
      <c r="Q32"/>
    </row>
    <row r="33" spans="17:17" x14ac:dyDescent="0.2">
      <c r="Q33"/>
    </row>
    <row r="34" spans="17:17" x14ac:dyDescent="0.2">
      <c r="Q34"/>
    </row>
    <row r="35" spans="17:17" x14ac:dyDescent="0.2">
      <c r="Q35"/>
    </row>
    <row r="36" spans="17:17" x14ac:dyDescent="0.2">
      <c r="Q36"/>
    </row>
    <row r="37" spans="17:17" x14ac:dyDescent="0.2">
      <c r="Q37"/>
    </row>
    <row r="38" spans="17:17" x14ac:dyDescent="0.2">
      <c r="Q38"/>
    </row>
    <row r="39" spans="17:17" x14ac:dyDescent="0.2">
      <c r="Q39"/>
    </row>
    <row r="40" spans="17:17" x14ac:dyDescent="0.2">
      <c r="Q40"/>
    </row>
    <row r="41" spans="17:17" x14ac:dyDescent="0.2">
      <c r="Q41"/>
    </row>
    <row r="42" spans="17:17" x14ac:dyDescent="0.2">
      <c r="Q42"/>
    </row>
    <row r="43" spans="17:17" x14ac:dyDescent="0.2">
      <c r="Q43"/>
    </row>
    <row r="44" spans="17:17" x14ac:dyDescent="0.2">
      <c r="Q44"/>
    </row>
    <row r="45" spans="17:17" x14ac:dyDescent="0.2">
      <c r="Q45"/>
    </row>
    <row r="46" spans="17:17" x14ac:dyDescent="0.2">
      <c r="Q46"/>
    </row>
    <row r="47" spans="17:17" x14ac:dyDescent="0.2">
      <c r="Q47"/>
    </row>
    <row r="48" spans="17:17" x14ac:dyDescent="0.2">
      <c r="Q48"/>
    </row>
    <row r="49" spans="17:17" x14ac:dyDescent="0.2">
      <c r="Q49"/>
    </row>
    <row r="50" spans="17:17" x14ac:dyDescent="0.2">
      <c r="Q50"/>
    </row>
    <row r="51" spans="17:17" x14ac:dyDescent="0.2">
      <c r="Q51"/>
    </row>
    <row r="52" spans="17:17" x14ac:dyDescent="0.2">
      <c r="Q52"/>
    </row>
    <row r="53" spans="17:17" x14ac:dyDescent="0.2">
      <c r="Q53"/>
    </row>
    <row r="54" spans="17:17" x14ac:dyDescent="0.2">
      <c r="Q54"/>
    </row>
    <row r="55" spans="17:17" x14ac:dyDescent="0.2">
      <c r="Q55"/>
    </row>
    <row r="56" spans="17:17" x14ac:dyDescent="0.2">
      <c r="Q56"/>
    </row>
    <row r="57" spans="17:17" x14ac:dyDescent="0.2">
      <c r="Q57"/>
    </row>
    <row r="58" spans="17:17" x14ac:dyDescent="0.2">
      <c r="Q58"/>
    </row>
    <row r="59" spans="17:17" x14ac:dyDescent="0.2">
      <c r="Q59"/>
    </row>
    <row r="60" spans="17:17" x14ac:dyDescent="0.2">
      <c r="Q60"/>
    </row>
    <row r="61" spans="17:17" x14ac:dyDescent="0.2">
      <c r="Q61"/>
    </row>
    <row r="62" spans="17:17" x14ac:dyDescent="0.2">
      <c r="Q62"/>
    </row>
    <row r="63" spans="17:17" x14ac:dyDescent="0.2">
      <c r="Q63"/>
    </row>
    <row r="64" spans="17:17" x14ac:dyDescent="0.2">
      <c r="Q64"/>
    </row>
    <row r="65" spans="17:17" x14ac:dyDescent="0.2">
      <c r="Q65"/>
    </row>
    <row r="66" spans="17:17" x14ac:dyDescent="0.2">
      <c r="Q66"/>
    </row>
    <row r="67" spans="17:17" x14ac:dyDescent="0.2">
      <c r="Q67"/>
    </row>
    <row r="68" spans="17:17" x14ac:dyDescent="0.2">
      <c r="Q68"/>
    </row>
    <row r="69" spans="17:17" x14ac:dyDescent="0.2">
      <c r="Q69"/>
    </row>
    <row r="70" spans="17:17" x14ac:dyDescent="0.2">
      <c r="Q70"/>
    </row>
    <row r="71" spans="17:17" x14ac:dyDescent="0.2">
      <c r="Q71"/>
    </row>
    <row r="72" spans="17:17" x14ac:dyDescent="0.2">
      <c r="Q72"/>
    </row>
    <row r="73" spans="17:17" x14ac:dyDescent="0.2">
      <c r="Q73"/>
    </row>
    <row r="74" spans="17:17" x14ac:dyDescent="0.2">
      <c r="Q74"/>
    </row>
    <row r="75" spans="17:17" x14ac:dyDescent="0.2">
      <c r="Q75"/>
    </row>
    <row r="76" spans="17:17" x14ac:dyDescent="0.2">
      <c r="Q76"/>
    </row>
    <row r="77" spans="17:17" x14ac:dyDescent="0.2">
      <c r="Q77"/>
    </row>
    <row r="78" spans="17:17" x14ac:dyDescent="0.2">
      <c r="Q78"/>
    </row>
    <row r="79" spans="17:17" x14ac:dyDescent="0.2">
      <c r="Q79"/>
    </row>
    <row r="80" spans="17:17" x14ac:dyDescent="0.2">
      <c r="Q80"/>
    </row>
    <row r="81" spans="17:17" x14ac:dyDescent="0.2">
      <c r="Q81"/>
    </row>
    <row r="82" spans="17:17" x14ac:dyDescent="0.2">
      <c r="Q82"/>
    </row>
    <row r="83" spans="17:17" x14ac:dyDescent="0.2">
      <c r="Q83"/>
    </row>
    <row r="84" spans="17:17" x14ac:dyDescent="0.2">
      <c r="Q84"/>
    </row>
    <row r="85" spans="17:17" x14ac:dyDescent="0.2">
      <c r="Q85"/>
    </row>
    <row r="86" spans="17:17" x14ac:dyDescent="0.2">
      <c r="Q86"/>
    </row>
    <row r="87" spans="17:17" x14ac:dyDescent="0.2">
      <c r="Q87"/>
    </row>
    <row r="88" spans="17:17" x14ac:dyDescent="0.2">
      <c r="Q88"/>
    </row>
    <row r="89" spans="17:17" x14ac:dyDescent="0.2">
      <c r="Q89"/>
    </row>
    <row r="90" spans="17:17" x14ac:dyDescent="0.2">
      <c r="Q90"/>
    </row>
    <row r="91" spans="17:17" x14ac:dyDescent="0.2">
      <c r="Q91"/>
    </row>
    <row r="92" spans="17:17" x14ac:dyDescent="0.2">
      <c r="Q92"/>
    </row>
    <row r="93" spans="17:17" x14ac:dyDescent="0.2">
      <c r="Q93"/>
    </row>
    <row r="94" spans="17:17" x14ac:dyDescent="0.2">
      <c r="Q94"/>
    </row>
    <row r="95" spans="17:17" x14ac:dyDescent="0.2">
      <c r="Q95"/>
    </row>
    <row r="96" spans="17:17" x14ac:dyDescent="0.2">
      <c r="Q96"/>
    </row>
    <row r="97" spans="17:17" x14ac:dyDescent="0.2">
      <c r="Q97"/>
    </row>
    <row r="98" spans="17:17" x14ac:dyDescent="0.2">
      <c r="Q98"/>
    </row>
    <row r="99" spans="17:17" x14ac:dyDescent="0.2">
      <c r="Q99"/>
    </row>
    <row r="100" spans="17:17" x14ac:dyDescent="0.2">
      <c r="Q100"/>
    </row>
    <row r="101" spans="17:17" x14ac:dyDescent="0.2">
      <c r="Q101"/>
    </row>
    <row r="102" spans="17:17" x14ac:dyDescent="0.2">
      <c r="Q102"/>
    </row>
    <row r="103" spans="17:17" x14ac:dyDescent="0.2">
      <c r="Q103"/>
    </row>
    <row r="104" spans="17:17" x14ac:dyDescent="0.2">
      <c r="Q104"/>
    </row>
    <row r="105" spans="17:17" x14ac:dyDescent="0.2">
      <c r="Q105"/>
    </row>
    <row r="106" spans="17:17" x14ac:dyDescent="0.2">
      <c r="Q106"/>
    </row>
    <row r="107" spans="17:17" x14ac:dyDescent="0.2">
      <c r="Q107"/>
    </row>
    <row r="108" spans="17:17" x14ac:dyDescent="0.2">
      <c r="Q108"/>
    </row>
    <row r="109" spans="17:17" x14ac:dyDescent="0.2">
      <c r="Q109"/>
    </row>
    <row r="110" spans="17:17" x14ac:dyDescent="0.2">
      <c r="Q110"/>
    </row>
    <row r="111" spans="17:17" x14ac:dyDescent="0.2">
      <c r="Q111"/>
    </row>
    <row r="112" spans="17:17" x14ac:dyDescent="0.2">
      <c r="Q112"/>
    </row>
    <row r="113" spans="17:17" x14ac:dyDescent="0.2">
      <c r="Q113"/>
    </row>
    <row r="114" spans="17:17" x14ac:dyDescent="0.2">
      <c r="Q114"/>
    </row>
    <row r="115" spans="17:17" x14ac:dyDescent="0.2">
      <c r="Q115"/>
    </row>
    <row r="116" spans="17:17" x14ac:dyDescent="0.2">
      <c r="Q116"/>
    </row>
    <row r="117" spans="17:17" x14ac:dyDescent="0.2">
      <c r="Q117"/>
    </row>
    <row r="118" spans="17:17" x14ac:dyDescent="0.2">
      <c r="Q118"/>
    </row>
    <row r="119" spans="17:17" x14ac:dyDescent="0.2">
      <c r="Q119"/>
    </row>
    <row r="120" spans="17:17" x14ac:dyDescent="0.2">
      <c r="Q120"/>
    </row>
    <row r="121" spans="17:17" x14ac:dyDescent="0.2">
      <c r="Q121"/>
    </row>
    <row r="122" spans="17:17" x14ac:dyDescent="0.2">
      <c r="Q122"/>
    </row>
    <row r="123" spans="17:17" x14ac:dyDescent="0.2">
      <c r="Q123"/>
    </row>
    <row r="124" spans="17:17" x14ac:dyDescent="0.2">
      <c r="Q124"/>
    </row>
    <row r="125" spans="17:17" x14ac:dyDescent="0.2">
      <c r="Q125"/>
    </row>
    <row r="126" spans="17:17" x14ac:dyDescent="0.2">
      <c r="Q126"/>
    </row>
    <row r="127" spans="17:17" x14ac:dyDescent="0.2">
      <c r="Q127"/>
    </row>
    <row r="128" spans="17:17" x14ac:dyDescent="0.2">
      <c r="Q128"/>
    </row>
    <row r="129" spans="17:17" x14ac:dyDescent="0.2">
      <c r="Q129"/>
    </row>
    <row r="130" spans="17:17" x14ac:dyDescent="0.2">
      <c r="Q130"/>
    </row>
    <row r="131" spans="17:17" x14ac:dyDescent="0.2">
      <c r="Q131"/>
    </row>
    <row r="132" spans="17:17" x14ac:dyDescent="0.2">
      <c r="Q132"/>
    </row>
    <row r="133" spans="17:17" x14ac:dyDescent="0.2">
      <c r="Q133"/>
    </row>
    <row r="134" spans="17:17" x14ac:dyDescent="0.2">
      <c r="Q134"/>
    </row>
    <row r="135" spans="17:17" x14ac:dyDescent="0.2">
      <c r="Q135"/>
    </row>
    <row r="136" spans="17:17" x14ac:dyDescent="0.2">
      <c r="Q136"/>
    </row>
    <row r="137" spans="17:17" x14ac:dyDescent="0.2">
      <c r="Q137"/>
    </row>
    <row r="138" spans="17:17" x14ac:dyDescent="0.2">
      <c r="Q138"/>
    </row>
    <row r="139" spans="17:17" x14ac:dyDescent="0.2">
      <c r="Q139"/>
    </row>
    <row r="140" spans="17:17" x14ac:dyDescent="0.2">
      <c r="Q140"/>
    </row>
    <row r="141" spans="17:17" x14ac:dyDescent="0.2">
      <c r="Q141"/>
    </row>
    <row r="142" spans="17:17" x14ac:dyDescent="0.2">
      <c r="Q142"/>
    </row>
    <row r="143" spans="17:17" x14ac:dyDescent="0.2">
      <c r="Q143"/>
    </row>
    <row r="144" spans="17:17" x14ac:dyDescent="0.2">
      <c r="Q144"/>
    </row>
    <row r="145" spans="17:17" x14ac:dyDescent="0.2">
      <c r="Q145"/>
    </row>
    <row r="146" spans="17:17" x14ac:dyDescent="0.2">
      <c r="Q146"/>
    </row>
    <row r="147" spans="17:17" x14ac:dyDescent="0.2">
      <c r="Q147"/>
    </row>
    <row r="148" spans="17:17" x14ac:dyDescent="0.2">
      <c r="Q148"/>
    </row>
    <row r="149" spans="17:17" x14ac:dyDescent="0.2">
      <c r="Q149"/>
    </row>
    <row r="150" spans="17:17" x14ac:dyDescent="0.2">
      <c r="Q150"/>
    </row>
    <row r="151" spans="17:17" x14ac:dyDescent="0.2">
      <c r="Q151"/>
    </row>
    <row r="152" spans="17:17" x14ac:dyDescent="0.2">
      <c r="Q152"/>
    </row>
    <row r="153" spans="17:17" x14ac:dyDescent="0.2">
      <c r="Q153"/>
    </row>
    <row r="154" spans="17:17" x14ac:dyDescent="0.2">
      <c r="Q154"/>
    </row>
    <row r="155" spans="17:17" x14ac:dyDescent="0.2">
      <c r="Q155"/>
    </row>
    <row r="156" spans="17:17" x14ac:dyDescent="0.2">
      <c r="Q156"/>
    </row>
    <row r="157" spans="17:17" x14ac:dyDescent="0.2">
      <c r="Q157"/>
    </row>
    <row r="158" spans="17:17" x14ac:dyDescent="0.2">
      <c r="Q158"/>
    </row>
    <row r="159" spans="17:17" x14ac:dyDescent="0.2">
      <c r="Q159"/>
    </row>
    <row r="160" spans="17:17" x14ac:dyDescent="0.2">
      <c r="Q160"/>
    </row>
    <row r="161" spans="17:17" x14ac:dyDescent="0.2">
      <c r="Q161"/>
    </row>
    <row r="162" spans="17:17" x14ac:dyDescent="0.2">
      <c r="Q162"/>
    </row>
    <row r="163" spans="17:17" x14ac:dyDescent="0.2">
      <c r="Q163"/>
    </row>
    <row r="164" spans="17:17" x14ac:dyDescent="0.2">
      <c r="Q164"/>
    </row>
    <row r="165" spans="17:17" x14ac:dyDescent="0.2">
      <c r="Q165"/>
    </row>
    <row r="166" spans="17:17" x14ac:dyDescent="0.2">
      <c r="Q166"/>
    </row>
    <row r="167" spans="17:17" x14ac:dyDescent="0.2">
      <c r="Q167"/>
    </row>
    <row r="168" spans="17:17" x14ac:dyDescent="0.2">
      <c r="Q168"/>
    </row>
    <row r="169" spans="17:17" x14ac:dyDescent="0.2">
      <c r="Q169"/>
    </row>
    <row r="170" spans="17:17" x14ac:dyDescent="0.2">
      <c r="Q170"/>
    </row>
    <row r="171" spans="17:17" x14ac:dyDescent="0.2">
      <c r="Q171"/>
    </row>
    <row r="172" spans="17:17" x14ac:dyDescent="0.2">
      <c r="Q172"/>
    </row>
    <row r="173" spans="17:17" x14ac:dyDescent="0.2">
      <c r="Q173"/>
    </row>
    <row r="174" spans="17:17" x14ac:dyDescent="0.2">
      <c r="Q174"/>
    </row>
    <row r="175" spans="17:17" x14ac:dyDescent="0.2">
      <c r="Q175"/>
    </row>
    <row r="176" spans="17:17" x14ac:dyDescent="0.2">
      <c r="Q176"/>
    </row>
    <row r="177" spans="17:17" x14ac:dyDescent="0.2">
      <c r="Q177"/>
    </row>
    <row r="178" spans="17:17" x14ac:dyDescent="0.2">
      <c r="Q178"/>
    </row>
    <row r="179" spans="17:17" x14ac:dyDescent="0.2">
      <c r="Q179"/>
    </row>
    <row r="180" spans="17:17" x14ac:dyDescent="0.2">
      <c r="Q180"/>
    </row>
    <row r="181" spans="17:17" x14ac:dyDescent="0.2">
      <c r="Q181"/>
    </row>
    <row r="182" spans="17:17" x14ac:dyDescent="0.2">
      <c r="Q182"/>
    </row>
    <row r="183" spans="17:17" x14ac:dyDescent="0.2">
      <c r="Q183"/>
    </row>
    <row r="184" spans="17:17" x14ac:dyDescent="0.2">
      <c r="Q184"/>
    </row>
    <row r="185" spans="17:17" x14ac:dyDescent="0.2">
      <c r="Q185"/>
    </row>
    <row r="186" spans="17:17" x14ac:dyDescent="0.2">
      <c r="Q186"/>
    </row>
    <row r="187" spans="17:17" x14ac:dyDescent="0.2">
      <c r="Q187"/>
    </row>
    <row r="188" spans="17:17" x14ac:dyDescent="0.2">
      <c r="Q188"/>
    </row>
    <row r="189" spans="17:17" x14ac:dyDescent="0.2">
      <c r="Q189"/>
    </row>
    <row r="190" spans="17:17" x14ac:dyDescent="0.2">
      <c r="Q190"/>
    </row>
    <row r="191" spans="17:17" x14ac:dyDescent="0.2">
      <c r="Q191"/>
    </row>
    <row r="192" spans="17:17" x14ac:dyDescent="0.2">
      <c r="Q192"/>
    </row>
    <row r="193" spans="17:17" x14ac:dyDescent="0.2">
      <c r="Q193"/>
    </row>
    <row r="194" spans="17:17" x14ac:dyDescent="0.2">
      <c r="Q194"/>
    </row>
    <row r="195" spans="17:17" x14ac:dyDescent="0.2">
      <c r="Q195"/>
    </row>
    <row r="196" spans="17:17" x14ac:dyDescent="0.2">
      <c r="Q196"/>
    </row>
    <row r="197" spans="17:17" x14ac:dyDescent="0.2">
      <c r="Q197"/>
    </row>
    <row r="198" spans="17:17" x14ac:dyDescent="0.2">
      <c r="Q198"/>
    </row>
    <row r="199" spans="17:17" x14ac:dyDescent="0.2">
      <c r="Q199"/>
    </row>
    <row r="200" spans="17:17" x14ac:dyDescent="0.2">
      <c r="Q200"/>
    </row>
    <row r="201" spans="17:17" x14ac:dyDescent="0.2">
      <c r="Q201"/>
    </row>
    <row r="202" spans="17:17" x14ac:dyDescent="0.2">
      <c r="Q202"/>
    </row>
    <row r="203" spans="17:17" x14ac:dyDescent="0.2">
      <c r="Q203"/>
    </row>
    <row r="204" spans="17:17" x14ac:dyDescent="0.2">
      <c r="Q204"/>
    </row>
    <row r="205" spans="17:17" x14ac:dyDescent="0.2">
      <c r="Q205"/>
    </row>
    <row r="206" spans="17:17" x14ac:dyDescent="0.2">
      <c r="Q206"/>
    </row>
    <row r="207" spans="17:17" x14ac:dyDescent="0.2">
      <c r="Q207"/>
    </row>
    <row r="208" spans="17:17" x14ac:dyDescent="0.2">
      <c r="Q208"/>
    </row>
    <row r="209" spans="17:17" x14ac:dyDescent="0.2">
      <c r="Q209"/>
    </row>
    <row r="210" spans="17:17" x14ac:dyDescent="0.2">
      <c r="Q210"/>
    </row>
    <row r="211" spans="17:17" x14ac:dyDescent="0.2">
      <c r="Q211"/>
    </row>
    <row r="212" spans="17:17" x14ac:dyDescent="0.2">
      <c r="Q212"/>
    </row>
    <row r="213" spans="17:17" x14ac:dyDescent="0.2">
      <c r="Q213"/>
    </row>
    <row r="214" spans="17:17" x14ac:dyDescent="0.2">
      <c r="Q214"/>
    </row>
    <row r="215" spans="17:17" x14ac:dyDescent="0.2">
      <c r="Q215"/>
    </row>
    <row r="216" spans="17:17" x14ac:dyDescent="0.2">
      <c r="Q216"/>
    </row>
    <row r="217" spans="17:17" x14ac:dyDescent="0.2">
      <c r="Q217"/>
    </row>
    <row r="218" spans="17:17" x14ac:dyDescent="0.2">
      <c r="Q218"/>
    </row>
    <row r="219" spans="17:17" x14ac:dyDescent="0.2">
      <c r="Q219"/>
    </row>
    <row r="220" spans="17:17" x14ac:dyDescent="0.2">
      <c r="Q220"/>
    </row>
    <row r="221" spans="17:17" x14ac:dyDescent="0.2">
      <c r="Q221"/>
    </row>
    <row r="222" spans="17:17" x14ac:dyDescent="0.2">
      <c r="Q222"/>
    </row>
    <row r="223" spans="17:17" x14ac:dyDescent="0.2">
      <c r="Q223"/>
    </row>
    <row r="224" spans="17:17" x14ac:dyDescent="0.2">
      <c r="Q224"/>
    </row>
    <row r="225" spans="17:17" x14ac:dyDescent="0.2">
      <c r="Q225"/>
    </row>
    <row r="226" spans="17:17" x14ac:dyDescent="0.2">
      <c r="Q226"/>
    </row>
    <row r="227" spans="17:17" x14ac:dyDescent="0.2">
      <c r="Q227"/>
    </row>
    <row r="228" spans="17:17" x14ac:dyDescent="0.2">
      <c r="Q228"/>
    </row>
    <row r="229" spans="17:17" x14ac:dyDescent="0.2">
      <c r="Q229"/>
    </row>
    <row r="230" spans="17:17" x14ac:dyDescent="0.2">
      <c r="Q230"/>
    </row>
    <row r="231" spans="17:17" x14ac:dyDescent="0.2">
      <c r="Q231"/>
    </row>
    <row r="232" spans="17:17" x14ac:dyDescent="0.2">
      <c r="Q232"/>
    </row>
    <row r="233" spans="17:17" x14ac:dyDescent="0.2">
      <c r="Q233"/>
    </row>
    <row r="234" spans="17:17" x14ac:dyDescent="0.2">
      <c r="Q234"/>
    </row>
    <row r="235" spans="17:17" x14ac:dyDescent="0.2">
      <c r="Q235"/>
    </row>
    <row r="236" spans="17:17" x14ac:dyDescent="0.2">
      <c r="Q236"/>
    </row>
    <row r="237" spans="17:17" x14ac:dyDescent="0.2">
      <c r="Q237"/>
    </row>
    <row r="238" spans="17:17" x14ac:dyDescent="0.2">
      <c r="Q238"/>
    </row>
    <row r="239" spans="17:17" x14ac:dyDescent="0.2">
      <c r="Q239"/>
    </row>
    <row r="240" spans="17:17" x14ac:dyDescent="0.2">
      <c r="Q240"/>
    </row>
    <row r="241" spans="17:17" x14ac:dyDescent="0.2">
      <c r="Q241"/>
    </row>
    <row r="242" spans="17:17" x14ac:dyDescent="0.2">
      <c r="Q242"/>
    </row>
    <row r="243" spans="17:17" x14ac:dyDescent="0.2">
      <c r="Q243"/>
    </row>
    <row r="244" spans="17:17" x14ac:dyDescent="0.2">
      <c r="Q244"/>
    </row>
    <row r="245" spans="17:17" x14ac:dyDescent="0.2">
      <c r="Q245"/>
    </row>
    <row r="246" spans="17:17" x14ac:dyDescent="0.2">
      <c r="Q246"/>
    </row>
    <row r="247" spans="17:17" x14ac:dyDescent="0.2">
      <c r="Q247"/>
    </row>
    <row r="248" spans="17:17" x14ac:dyDescent="0.2">
      <c r="Q248"/>
    </row>
    <row r="249" spans="17:17" x14ac:dyDescent="0.2">
      <c r="Q249"/>
    </row>
    <row r="250" spans="17:17" x14ac:dyDescent="0.2">
      <c r="Q250"/>
    </row>
    <row r="251" spans="17:17" x14ac:dyDescent="0.2">
      <c r="Q251"/>
    </row>
    <row r="252" spans="17:17" x14ac:dyDescent="0.2">
      <c r="Q252"/>
    </row>
    <row r="253" spans="17:17" x14ac:dyDescent="0.2">
      <c r="Q253"/>
    </row>
    <row r="254" spans="17:17" x14ac:dyDescent="0.2">
      <c r="Q254"/>
    </row>
    <row r="255" spans="17:17" x14ac:dyDescent="0.2">
      <c r="Q255"/>
    </row>
    <row r="256" spans="17:17" x14ac:dyDescent="0.2">
      <c r="Q256"/>
    </row>
    <row r="257" spans="17:17" x14ac:dyDescent="0.2">
      <c r="Q257"/>
    </row>
    <row r="258" spans="17:17" x14ac:dyDescent="0.2">
      <c r="Q258"/>
    </row>
    <row r="259" spans="17:17" x14ac:dyDescent="0.2">
      <c r="Q259"/>
    </row>
    <row r="260" spans="17:17" x14ac:dyDescent="0.2">
      <c r="Q260"/>
    </row>
    <row r="261" spans="17:17" x14ac:dyDescent="0.2">
      <c r="Q261"/>
    </row>
    <row r="262" spans="17:17" x14ac:dyDescent="0.2">
      <c r="Q262"/>
    </row>
    <row r="263" spans="17:17" x14ac:dyDescent="0.2">
      <c r="Q263"/>
    </row>
    <row r="264" spans="17:17" x14ac:dyDescent="0.2">
      <c r="Q264"/>
    </row>
    <row r="265" spans="17:17" x14ac:dyDescent="0.2">
      <c r="Q265"/>
    </row>
    <row r="266" spans="17:17" x14ac:dyDescent="0.2">
      <c r="Q266"/>
    </row>
    <row r="267" spans="17:17" x14ac:dyDescent="0.2">
      <c r="Q267"/>
    </row>
    <row r="268" spans="17:17" x14ac:dyDescent="0.2">
      <c r="Q268"/>
    </row>
    <row r="269" spans="17:17" x14ac:dyDescent="0.2">
      <c r="Q269"/>
    </row>
    <row r="270" spans="17:17" x14ac:dyDescent="0.2">
      <c r="Q270"/>
    </row>
    <row r="271" spans="17:17" x14ac:dyDescent="0.2">
      <c r="Q271"/>
    </row>
    <row r="272" spans="17:17" x14ac:dyDescent="0.2">
      <c r="Q272"/>
    </row>
    <row r="273" spans="17:17" x14ac:dyDescent="0.2">
      <c r="Q273"/>
    </row>
    <row r="274" spans="17:17" x14ac:dyDescent="0.2">
      <c r="Q274"/>
    </row>
    <row r="275" spans="17:17" x14ac:dyDescent="0.2">
      <c r="Q275"/>
    </row>
    <row r="276" spans="17:17" x14ac:dyDescent="0.2">
      <c r="Q276"/>
    </row>
    <row r="277" spans="17:17" x14ac:dyDescent="0.2">
      <c r="Q277"/>
    </row>
    <row r="278" spans="17:17" x14ac:dyDescent="0.2">
      <c r="Q278"/>
    </row>
    <row r="279" spans="17:17" x14ac:dyDescent="0.2">
      <c r="Q279"/>
    </row>
    <row r="280" spans="17:17" x14ac:dyDescent="0.2">
      <c r="Q280"/>
    </row>
    <row r="281" spans="17:17" x14ac:dyDescent="0.2">
      <c r="Q281"/>
    </row>
    <row r="282" spans="17:17" x14ac:dyDescent="0.2">
      <c r="Q282"/>
    </row>
    <row r="283" spans="17:17" x14ac:dyDescent="0.2">
      <c r="Q283"/>
    </row>
    <row r="284" spans="17:17" x14ac:dyDescent="0.2">
      <c r="Q284"/>
    </row>
    <row r="285" spans="17:17" x14ac:dyDescent="0.2">
      <c r="Q285"/>
    </row>
    <row r="286" spans="17:17" x14ac:dyDescent="0.2">
      <c r="Q286"/>
    </row>
    <row r="287" spans="17:17" x14ac:dyDescent="0.2">
      <c r="Q287"/>
    </row>
    <row r="288" spans="17:17" x14ac:dyDescent="0.2">
      <c r="Q288"/>
    </row>
    <row r="289" spans="17:17" x14ac:dyDescent="0.2">
      <c r="Q289"/>
    </row>
    <row r="290" spans="17:17" x14ac:dyDescent="0.2">
      <c r="Q290"/>
    </row>
    <row r="291" spans="17:17" x14ac:dyDescent="0.2">
      <c r="Q291"/>
    </row>
    <row r="292" spans="17:17" x14ac:dyDescent="0.2">
      <c r="Q292"/>
    </row>
    <row r="293" spans="17:17" x14ac:dyDescent="0.2">
      <c r="Q293"/>
    </row>
    <row r="294" spans="17:17" x14ac:dyDescent="0.2">
      <c r="Q294"/>
    </row>
    <row r="295" spans="17:17" x14ac:dyDescent="0.2">
      <c r="Q295"/>
    </row>
    <row r="296" spans="17:17" x14ac:dyDescent="0.2">
      <c r="Q296"/>
    </row>
    <row r="297" spans="17:17" x14ac:dyDescent="0.2">
      <c r="Q297"/>
    </row>
    <row r="298" spans="17:17" x14ac:dyDescent="0.2">
      <c r="Q298"/>
    </row>
    <row r="299" spans="17:17" x14ac:dyDescent="0.2">
      <c r="Q299"/>
    </row>
    <row r="300" spans="17:17" x14ac:dyDescent="0.2">
      <c r="Q300"/>
    </row>
    <row r="301" spans="17:17" x14ac:dyDescent="0.2">
      <c r="Q301"/>
    </row>
    <row r="302" spans="17:17" x14ac:dyDescent="0.2">
      <c r="Q302"/>
    </row>
    <row r="303" spans="17:17" x14ac:dyDescent="0.2">
      <c r="Q303"/>
    </row>
    <row r="304" spans="17:17" x14ac:dyDescent="0.2">
      <c r="Q304"/>
    </row>
    <row r="305" spans="17:17" x14ac:dyDescent="0.2">
      <c r="Q305"/>
    </row>
    <row r="306" spans="17:17" x14ac:dyDescent="0.2">
      <c r="Q306"/>
    </row>
    <row r="307" spans="17:17" x14ac:dyDescent="0.2">
      <c r="Q307"/>
    </row>
    <row r="308" spans="17:17" x14ac:dyDescent="0.2">
      <c r="Q308"/>
    </row>
    <row r="309" spans="17:17" x14ac:dyDescent="0.2">
      <c r="Q309"/>
    </row>
    <row r="310" spans="17:17" x14ac:dyDescent="0.2">
      <c r="Q310"/>
    </row>
    <row r="311" spans="17:17" x14ac:dyDescent="0.2">
      <c r="Q311"/>
    </row>
    <row r="312" spans="17:17" x14ac:dyDescent="0.2">
      <c r="Q312"/>
    </row>
    <row r="313" spans="17:17" x14ac:dyDescent="0.2">
      <c r="Q313"/>
    </row>
    <row r="314" spans="17:17" x14ac:dyDescent="0.2">
      <c r="Q314"/>
    </row>
    <row r="315" spans="17:17" x14ac:dyDescent="0.2">
      <c r="Q315"/>
    </row>
    <row r="316" spans="17:17" x14ac:dyDescent="0.2">
      <c r="Q316"/>
    </row>
    <row r="317" spans="17:17" x14ac:dyDescent="0.2">
      <c r="Q317"/>
    </row>
    <row r="318" spans="17:17" x14ac:dyDescent="0.2">
      <c r="Q318"/>
    </row>
    <row r="319" spans="17:17" x14ac:dyDescent="0.2">
      <c r="Q319"/>
    </row>
    <row r="320" spans="17:17" x14ac:dyDescent="0.2">
      <c r="Q320"/>
    </row>
    <row r="321" spans="17:17" x14ac:dyDescent="0.2">
      <c r="Q321"/>
    </row>
    <row r="322" spans="17:17" x14ac:dyDescent="0.2">
      <c r="Q322"/>
    </row>
    <row r="323" spans="17:17" x14ac:dyDescent="0.2">
      <c r="Q323"/>
    </row>
    <row r="324" spans="17:17" x14ac:dyDescent="0.2">
      <c r="Q324"/>
    </row>
    <row r="325" spans="17:17" x14ac:dyDescent="0.2">
      <c r="Q325"/>
    </row>
    <row r="326" spans="17:17" x14ac:dyDescent="0.2">
      <c r="Q326"/>
    </row>
    <row r="327" spans="17:17" x14ac:dyDescent="0.2">
      <c r="Q327"/>
    </row>
    <row r="328" spans="17:17" x14ac:dyDescent="0.2">
      <c r="Q328"/>
    </row>
    <row r="329" spans="17:17" x14ac:dyDescent="0.2">
      <c r="Q329"/>
    </row>
    <row r="330" spans="17:17" x14ac:dyDescent="0.2">
      <c r="Q330"/>
    </row>
    <row r="331" spans="17:17" x14ac:dyDescent="0.2">
      <c r="Q331"/>
    </row>
    <row r="332" spans="17:17" x14ac:dyDescent="0.2">
      <c r="Q332"/>
    </row>
    <row r="333" spans="17:17" x14ac:dyDescent="0.2">
      <c r="Q333"/>
    </row>
    <row r="334" spans="17:17" x14ac:dyDescent="0.2">
      <c r="Q334"/>
    </row>
    <row r="335" spans="17:17" x14ac:dyDescent="0.2">
      <c r="Q335"/>
    </row>
    <row r="336" spans="17:17" x14ac:dyDescent="0.2">
      <c r="Q336"/>
    </row>
    <row r="337" spans="17:17" x14ac:dyDescent="0.2">
      <c r="Q337"/>
    </row>
    <row r="338" spans="17:17" x14ac:dyDescent="0.2">
      <c r="Q338"/>
    </row>
    <row r="339" spans="17:17" x14ac:dyDescent="0.2">
      <c r="Q339"/>
    </row>
    <row r="340" spans="17:17" x14ac:dyDescent="0.2">
      <c r="Q340"/>
    </row>
    <row r="341" spans="17:17" x14ac:dyDescent="0.2">
      <c r="Q341"/>
    </row>
    <row r="342" spans="17:17" x14ac:dyDescent="0.2">
      <c r="Q342"/>
    </row>
    <row r="343" spans="17:17" x14ac:dyDescent="0.2">
      <c r="Q343"/>
    </row>
    <row r="344" spans="17:17" x14ac:dyDescent="0.2">
      <c r="Q344"/>
    </row>
    <row r="345" spans="17:17" x14ac:dyDescent="0.2">
      <c r="Q345"/>
    </row>
    <row r="346" spans="17:17" x14ac:dyDescent="0.2">
      <c r="Q346"/>
    </row>
    <row r="347" spans="17:17" x14ac:dyDescent="0.2">
      <c r="Q347"/>
    </row>
    <row r="348" spans="17:17" x14ac:dyDescent="0.2">
      <c r="Q348"/>
    </row>
    <row r="349" spans="17:17" x14ac:dyDescent="0.2">
      <c r="Q349"/>
    </row>
    <row r="350" spans="17:17" x14ac:dyDescent="0.2">
      <c r="Q350"/>
    </row>
    <row r="351" spans="17:17" x14ac:dyDescent="0.2">
      <c r="Q351"/>
    </row>
    <row r="352" spans="17:17" x14ac:dyDescent="0.2">
      <c r="Q352"/>
    </row>
    <row r="353" spans="17:17" x14ac:dyDescent="0.2">
      <c r="Q353"/>
    </row>
    <row r="354" spans="17:17" x14ac:dyDescent="0.2">
      <c r="Q354"/>
    </row>
    <row r="355" spans="17:17" x14ac:dyDescent="0.2">
      <c r="Q355"/>
    </row>
    <row r="356" spans="17:17" x14ac:dyDescent="0.2">
      <c r="Q356"/>
    </row>
    <row r="357" spans="17:17" x14ac:dyDescent="0.2">
      <c r="Q357"/>
    </row>
    <row r="358" spans="17:17" x14ac:dyDescent="0.2">
      <c r="Q358"/>
    </row>
    <row r="359" spans="17:17" x14ac:dyDescent="0.2">
      <c r="Q359"/>
    </row>
    <row r="360" spans="17:17" x14ac:dyDescent="0.2">
      <c r="Q360"/>
    </row>
    <row r="361" spans="17:17" x14ac:dyDescent="0.2">
      <c r="Q361"/>
    </row>
    <row r="362" spans="17:17" x14ac:dyDescent="0.2">
      <c r="Q362"/>
    </row>
    <row r="363" spans="17:17" x14ac:dyDescent="0.2">
      <c r="Q363"/>
    </row>
    <row r="364" spans="17:17" x14ac:dyDescent="0.2">
      <c r="Q364"/>
    </row>
    <row r="365" spans="17:17" x14ac:dyDescent="0.2">
      <c r="Q365"/>
    </row>
    <row r="366" spans="17:17" x14ac:dyDescent="0.2">
      <c r="Q366"/>
    </row>
    <row r="367" spans="17:17" x14ac:dyDescent="0.2">
      <c r="Q367"/>
    </row>
    <row r="368" spans="17:17" x14ac:dyDescent="0.2">
      <c r="Q368"/>
    </row>
    <row r="369" spans="17:17" x14ac:dyDescent="0.2">
      <c r="Q369"/>
    </row>
    <row r="370" spans="17:17" x14ac:dyDescent="0.2">
      <c r="Q370"/>
    </row>
    <row r="371" spans="17:17" x14ac:dyDescent="0.2">
      <c r="Q371"/>
    </row>
    <row r="372" spans="17:17" x14ac:dyDescent="0.2">
      <c r="Q372"/>
    </row>
    <row r="373" spans="17:17" x14ac:dyDescent="0.2">
      <c r="Q373"/>
    </row>
    <row r="374" spans="17:17" x14ac:dyDescent="0.2">
      <c r="Q374"/>
    </row>
    <row r="375" spans="17:17" x14ac:dyDescent="0.2">
      <c r="Q375"/>
    </row>
    <row r="376" spans="17:17" x14ac:dyDescent="0.2">
      <c r="Q376"/>
    </row>
    <row r="377" spans="17:17" x14ac:dyDescent="0.2">
      <c r="Q377"/>
    </row>
    <row r="378" spans="17:17" x14ac:dyDescent="0.2">
      <c r="Q378"/>
    </row>
    <row r="379" spans="17:17" x14ac:dyDescent="0.2">
      <c r="Q379"/>
    </row>
    <row r="380" spans="17:17" x14ac:dyDescent="0.2">
      <c r="Q380"/>
    </row>
    <row r="381" spans="17:17" x14ac:dyDescent="0.2">
      <c r="Q381"/>
    </row>
    <row r="382" spans="17:17" x14ac:dyDescent="0.2">
      <c r="Q382"/>
    </row>
    <row r="383" spans="17:17" x14ac:dyDescent="0.2">
      <c r="Q383"/>
    </row>
    <row r="384" spans="17:17" x14ac:dyDescent="0.2">
      <c r="Q384"/>
    </row>
    <row r="385" spans="17:17" x14ac:dyDescent="0.2">
      <c r="Q385"/>
    </row>
    <row r="386" spans="17:17" x14ac:dyDescent="0.2">
      <c r="Q386"/>
    </row>
    <row r="387" spans="17:17" x14ac:dyDescent="0.2">
      <c r="Q387"/>
    </row>
    <row r="388" spans="17:17" x14ac:dyDescent="0.2">
      <c r="Q388"/>
    </row>
    <row r="389" spans="17:17" x14ac:dyDescent="0.2">
      <c r="Q389"/>
    </row>
    <row r="390" spans="17:17" x14ac:dyDescent="0.2">
      <c r="Q390"/>
    </row>
    <row r="391" spans="17:17" x14ac:dyDescent="0.2">
      <c r="Q391"/>
    </row>
    <row r="392" spans="17:17" x14ac:dyDescent="0.2">
      <c r="Q392"/>
    </row>
    <row r="393" spans="17:17" x14ac:dyDescent="0.2">
      <c r="Q393"/>
    </row>
    <row r="394" spans="17:17" x14ac:dyDescent="0.2">
      <c r="Q394"/>
    </row>
    <row r="395" spans="17:17" x14ac:dyDescent="0.2">
      <c r="Q395"/>
    </row>
    <row r="396" spans="17:17" x14ac:dyDescent="0.2">
      <c r="Q396"/>
    </row>
    <row r="397" spans="17:17" x14ac:dyDescent="0.2">
      <c r="Q397"/>
    </row>
    <row r="398" spans="17:17" x14ac:dyDescent="0.2">
      <c r="Q398"/>
    </row>
    <row r="399" spans="17:17" x14ac:dyDescent="0.2">
      <c r="Q399"/>
    </row>
    <row r="400" spans="17:17" x14ac:dyDescent="0.2">
      <c r="Q400"/>
    </row>
    <row r="401" spans="17:17" x14ac:dyDescent="0.2">
      <c r="Q401"/>
    </row>
    <row r="402" spans="17:17" x14ac:dyDescent="0.2">
      <c r="Q402"/>
    </row>
    <row r="403" spans="17:17" x14ac:dyDescent="0.2">
      <c r="Q403"/>
    </row>
    <row r="404" spans="17:17" x14ac:dyDescent="0.2">
      <c r="Q404"/>
    </row>
    <row r="405" spans="17:17" x14ac:dyDescent="0.2">
      <c r="Q405"/>
    </row>
    <row r="406" spans="17:17" x14ac:dyDescent="0.2">
      <c r="Q406"/>
    </row>
    <row r="407" spans="17:17" x14ac:dyDescent="0.2">
      <c r="Q407"/>
    </row>
    <row r="408" spans="17:17" x14ac:dyDescent="0.2">
      <c r="Q408"/>
    </row>
    <row r="409" spans="17:17" x14ac:dyDescent="0.2">
      <c r="Q409"/>
    </row>
    <row r="410" spans="17:17" x14ac:dyDescent="0.2">
      <c r="Q410"/>
    </row>
    <row r="411" spans="17:17" x14ac:dyDescent="0.2">
      <c r="Q411"/>
    </row>
    <row r="412" spans="17:17" x14ac:dyDescent="0.2">
      <c r="Q412"/>
    </row>
    <row r="413" spans="17:17" x14ac:dyDescent="0.2">
      <c r="Q413"/>
    </row>
    <row r="414" spans="17:17" x14ac:dyDescent="0.2">
      <c r="Q414"/>
    </row>
    <row r="415" spans="17:17" x14ac:dyDescent="0.2">
      <c r="Q415"/>
    </row>
    <row r="416" spans="17:17" x14ac:dyDescent="0.2">
      <c r="Q416"/>
    </row>
    <row r="417" spans="17:17" x14ac:dyDescent="0.2">
      <c r="Q417"/>
    </row>
    <row r="418" spans="17:17" x14ac:dyDescent="0.2">
      <c r="Q418"/>
    </row>
    <row r="419" spans="17:17" x14ac:dyDescent="0.2">
      <c r="Q419"/>
    </row>
    <row r="420" spans="17:17" x14ac:dyDescent="0.2">
      <c r="Q420"/>
    </row>
    <row r="421" spans="17:17" x14ac:dyDescent="0.2">
      <c r="Q421"/>
    </row>
    <row r="422" spans="17:17" x14ac:dyDescent="0.2">
      <c r="Q422"/>
    </row>
    <row r="423" spans="17:17" x14ac:dyDescent="0.2">
      <c r="Q423"/>
    </row>
    <row r="424" spans="17:17" x14ac:dyDescent="0.2">
      <c r="Q424"/>
    </row>
    <row r="425" spans="17:17" x14ac:dyDescent="0.2">
      <c r="Q425"/>
    </row>
    <row r="426" spans="17:17" x14ac:dyDescent="0.2">
      <c r="Q426"/>
    </row>
    <row r="427" spans="17:17" x14ac:dyDescent="0.2">
      <c r="Q427"/>
    </row>
    <row r="428" spans="17:17" x14ac:dyDescent="0.2">
      <c r="Q428"/>
    </row>
    <row r="429" spans="17:17" x14ac:dyDescent="0.2">
      <c r="Q429"/>
    </row>
    <row r="430" spans="17:17" x14ac:dyDescent="0.2">
      <c r="Q430"/>
    </row>
    <row r="431" spans="17:17" x14ac:dyDescent="0.2">
      <c r="Q431"/>
    </row>
    <row r="432" spans="17:17" x14ac:dyDescent="0.2">
      <c r="Q432"/>
    </row>
    <row r="433" spans="17:17" x14ac:dyDescent="0.2">
      <c r="Q433"/>
    </row>
    <row r="434" spans="17:17" x14ac:dyDescent="0.2">
      <c r="Q434"/>
    </row>
    <row r="435" spans="17:17" x14ac:dyDescent="0.2">
      <c r="Q435"/>
    </row>
    <row r="436" spans="17:17" x14ac:dyDescent="0.2">
      <c r="Q436"/>
    </row>
    <row r="437" spans="17:17" x14ac:dyDescent="0.2">
      <c r="Q437"/>
    </row>
    <row r="438" spans="17:17" x14ac:dyDescent="0.2">
      <c r="Q438"/>
    </row>
    <row r="439" spans="17:17" x14ac:dyDescent="0.2">
      <c r="Q439"/>
    </row>
    <row r="440" spans="17:17" x14ac:dyDescent="0.2">
      <c r="Q440"/>
    </row>
    <row r="441" spans="17:17" x14ac:dyDescent="0.2">
      <c r="Q441"/>
    </row>
    <row r="442" spans="17:17" x14ac:dyDescent="0.2">
      <c r="Q442"/>
    </row>
    <row r="443" spans="17:17" x14ac:dyDescent="0.2">
      <c r="Q443"/>
    </row>
    <row r="444" spans="17:17" x14ac:dyDescent="0.2">
      <c r="Q444"/>
    </row>
    <row r="445" spans="17:17" x14ac:dyDescent="0.2">
      <c r="Q445"/>
    </row>
    <row r="446" spans="17:17" x14ac:dyDescent="0.2">
      <c r="Q446"/>
    </row>
    <row r="447" spans="17:17" x14ac:dyDescent="0.2">
      <c r="Q447"/>
    </row>
    <row r="448" spans="17:17" x14ac:dyDescent="0.2">
      <c r="Q448"/>
    </row>
    <row r="449" spans="17:17" x14ac:dyDescent="0.2">
      <c r="Q449"/>
    </row>
    <row r="450" spans="17:17" x14ac:dyDescent="0.2">
      <c r="Q450"/>
    </row>
    <row r="451" spans="17:17" x14ac:dyDescent="0.2">
      <c r="Q451"/>
    </row>
    <row r="452" spans="17:17" x14ac:dyDescent="0.2">
      <c r="Q452"/>
    </row>
    <row r="453" spans="17:17" x14ac:dyDescent="0.2">
      <c r="Q453"/>
    </row>
    <row r="454" spans="17:17" x14ac:dyDescent="0.2">
      <c r="Q454"/>
    </row>
    <row r="455" spans="17:17" x14ac:dyDescent="0.2">
      <c r="Q455"/>
    </row>
    <row r="456" spans="17:17" x14ac:dyDescent="0.2">
      <c r="Q456"/>
    </row>
    <row r="457" spans="17:17" x14ac:dyDescent="0.2">
      <c r="Q457"/>
    </row>
    <row r="458" spans="17:17" x14ac:dyDescent="0.2">
      <c r="Q458"/>
    </row>
    <row r="459" spans="17:17" x14ac:dyDescent="0.2">
      <c r="Q459"/>
    </row>
    <row r="460" spans="17:17" x14ac:dyDescent="0.2">
      <c r="Q460"/>
    </row>
    <row r="461" spans="17:17" x14ac:dyDescent="0.2">
      <c r="Q461"/>
    </row>
    <row r="462" spans="17:17" x14ac:dyDescent="0.2">
      <c r="Q462"/>
    </row>
    <row r="463" spans="17:17" x14ac:dyDescent="0.2">
      <c r="Q463"/>
    </row>
    <row r="464" spans="17:17" x14ac:dyDescent="0.2">
      <c r="Q464"/>
    </row>
    <row r="465" spans="17:17" x14ac:dyDescent="0.2">
      <c r="Q465"/>
    </row>
    <row r="466" spans="17:17" x14ac:dyDescent="0.2">
      <c r="Q466"/>
    </row>
    <row r="467" spans="17:17" x14ac:dyDescent="0.2">
      <c r="Q467"/>
    </row>
    <row r="468" spans="17:17" x14ac:dyDescent="0.2">
      <c r="Q468"/>
    </row>
    <row r="469" spans="17:17" x14ac:dyDescent="0.2">
      <c r="Q469"/>
    </row>
    <row r="470" spans="17:17" x14ac:dyDescent="0.2">
      <c r="Q470"/>
    </row>
    <row r="471" spans="17:17" x14ac:dyDescent="0.2">
      <c r="Q471"/>
    </row>
    <row r="472" spans="17:17" x14ac:dyDescent="0.2">
      <c r="Q472"/>
    </row>
    <row r="473" spans="17:17" x14ac:dyDescent="0.2">
      <c r="Q473"/>
    </row>
    <row r="474" spans="17:17" x14ac:dyDescent="0.2">
      <c r="Q474"/>
    </row>
    <row r="475" spans="17:17" x14ac:dyDescent="0.2">
      <c r="Q475"/>
    </row>
    <row r="476" spans="17:17" x14ac:dyDescent="0.2">
      <c r="Q476"/>
    </row>
    <row r="477" spans="17:17" x14ac:dyDescent="0.2">
      <c r="Q477"/>
    </row>
    <row r="478" spans="17:17" x14ac:dyDescent="0.2">
      <c r="Q478"/>
    </row>
    <row r="479" spans="17:17" x14ac:dyDescent="0.2">
      <c r="Q479"/>
    </row>
    <row r="480" spans="17:17" x14ac:dyDescent="0.2">
      <c r="Q480"/>
    </row>
    <row r="481" spans="17:17" x14ac:dyDescent="0.2">
      <c r="Q481"/>
    </row>
    <row r="482" spans="17:17" x14ac:dyDescent="0.2">
      <c r="Q482"/>
    </row>
    <row r="483" spans="17:17" x14ac:dyDescent="0.2">
      <c r="Q483"/>
    </row>
    <row r="484" spans="17:17" x14ac:dyDescent="0.2">
      <c r="Q484"/>
    </row>
    <row r="485" spans="17:17" x14ac:dyDescent="0.2">
      <c r="Q485"/>
    </row>
    <row r="486" spans="17:17" x14ac:dyDescent="0.2">
      <c r="Q486"/>
    </row>
    <row r="487" spans="17:17" x14ac:dyDescent="0.2">
      <c r="Q487"/>
    </row>
    <row r="488" spans="17:17" x14ac:dyDescent="0.2">
      <c r="Q488"/>
    </row>
    <row r="489" spans="17:17" x14ac:dyDescent="0.2">
      <c r="Q489"/>
    </row>
    <row r="490" spans="17:17" x14ac:dyDescent="0.2">
      <c r="Q490"/>
    </row>
    <row r="491" spans="17:17" x14ac:dyDescent="0.2">
      <c r="Q491"/>
    </row>
    <row r="492" spans="17:17" x14ac:dyDescent="0.2">
      <c r="Q492"/>
    </row>
    <row r="493" spans="17:17" x14ac:dyDescent="0.2">
      <c r="Q493"/>
    </row>
    <row r="494" spans="17:17" x14ac:dyDescent="0.2">
      <c r="Q494"/>
    </row>
    <row r="495" spans="17:17" x14ac:dyDescent="0.2">
      <c r="Q495"/>
    </row>
    <row r="496" spans="17:17" x14ac:dyDescent="0.2">
      <c r="Q496"/>
    </row>
    <row r="497" spans="17:17" x14ac:dyDescent="0.2">
      <c r="Q497"/>
    </row>
    <row r="498" spans="17:17" x14ac:dyDescent="0.2">
      <c r="Q498"/>
    </row>
    <row r="499" spans="17:17" x14ac:dyDescent="0.2">
      <c r="Q499"/>
    </row>
    <row r="500" spans="17:17" x14ac:dyDescent="0.2">
      <c r="Q500"/>
    </row>
    <row r="501" spans="17:17" x14ac:dyDescent="0.2">
      <c r="Q501"/>
    </row>
    <row r="502" spans="17:17" x14ac:dyDescent="0.2">
      <c r="Q502"/>
    </row>
    <row r="503" spans="17:17" x14ac:dyDescent="0.2">
      <c r="Q503"/>
    </row>
    <row r="504" spans="17:17" x14ac:dyDescent="0.2">
      <c r="Q504"/>
    </row>
    <row r="505" spans="17:17" x14ac:dyDescent="0.2">
      <c r="Q505"/>
    </row>
    <row r="506" spans="17:17" x14ac:dyDescent="0.2">
      <c r="Q506"/>
    </row>
    <row r="507" spans="17:17" x14ac:dyDescent="0.2">
      <c r="Q507"/>
    </row>
    <row r="508" spans="17:17" x14ac:dyDescent="0.2">
      <c r="Q508"/>
    </row>
    <row r="509" spans="17:17" x14ac:dyDescent="0.2">
      <c r="Q509"/>
    </row>
    <row r="510" spans="17:17" x14ac:dyDescent="0.2">
      <c r="Q510"/>
    </row>
    <row r="511" spans="17:17" x14ac:dyDescent="0.2">
      <c r="Q511"/>
    </row>
    <row r="512" spans="17:17" x14ac:dyDescent="0.2">
      <c r="Q512"/>
    </row>
    <row r="513" spans="17:17" x14ac:dyDescent="0.2">
      <c r="Q513"/>
    </row>
    <row r="514" spans="17:17" x14ac:dyDescent="0.2">
      <c r="Q514"/>
    </row>
    <row r="515" spans="17:17" x14ac:dyDescent="0.2">
      <c r="Q515"/>
    </row>
    <row r="516" spans="17:17" x14ac:dyDescent="0.2">
      <c r="Q516"/>
    </row>
    <row r="517" spans="17:17" x14ac:dyDescent="0.2">
      <c r="Q517"/>
    </row>
    <row r="518" spans="17:17" x14ac:dyDescent="0.2">
      <c r="Q518"/>
    </row>
    <row r="519" spans="17:17" x14ac:dyDescent="0.2">
      <c r="Q519"/>
    </row>
    <row r="520" spans="17:17" x14ac:dyDescent="0.2">
      <c r="Q520"/>
    </row>
    <row r="521" spans="17:17" x14ac:dyDescent="0.2">
      <c r="Q521"/>
    </row>
    <row r="522" spans="17:17" x14ac:dyDescent="0.2">
      <c r="Q522"/>
    </row>
    <row r="523" spans="17:17" x14ac:dyDescent="0.2">
      <c r="Q523"/>
    </row>
    <row r="524" spans="17:17" x14ac:dyDescent="0.2">
      <c r="Q524"/>
    </row>
    <row r="525" spans="17:17" x14ac:dyDescent="0.2">
      <c r="Q525"/>
    </row>
    <row r="526" spans="17:17" x14ac:dyDescent="0.2">
      <c r="Q526"/>
    </row>
    <row r="527" spans="17:17" x14ac:dyDescent="0.2">
      <c r="Q527"/>
    </row>
    <row r="528" spans="17:17" x14ac:dyDescent="0.2">
      <c r="Q528"/>
    </row>
    <row r="529" spans="17:17" x14ac:dyDescent="0.2">
      <c r="Q529"/>
    </row>
    <row r="530" spans="17:17" x14ac:dyDescent="0.2">
      <c r="Q530"/>
    </row>
    <row r="531" spans="17:17" x14ac:dyDescent="0.2">
      <c r="Q531"/>
    </row>
    <row r="532" spans="17:17" x14ac:dyDescent="0.2">
      <c r="Q532"/>
    </row>
    <row r="533" spans="17:17" x14ac:dyDescent="0.2">
      <c r="Q533"/>
    </row>
    <row r="534" spans="17:17" x14ac:dyDescent="0.2">
      <c r="Q534"/>
    </row>
    <row r="535" spans="17:17" x14ac:dyDescent="0.2">
      <c r="Q535"/>
    </row>
    <row r="536" spans="17:17" x14ac:dyDescent="0.2">
      <c r="Q536"/>
    </row>
    <row r="537" spans="17:17" x14ac:dyDescent="0.2">
      <c r="Q537"/>
    </row>
    <row r="538" spans="17:17" x14ac:dyDescent="0.2">
      <c r="Q538"/>
    </row>
    <row r="539" spans="17:17" x14ac:dyDescent="0.2">
      <c r="Q539"/>
    </row>
    <row r="540" spans="17:17" x14ac:dyDescent="0.2">
      <c r="Q540"/>
    </row>
    <row r="541" spans="17:17" x14ac:dyDescent="0.2">
      <c r="Q541"/>
    </row>
    <row r="542" spans="17:17" x14ac:dyDescent="0.2">
      <c r="Q542"/>
    </row>
    <row r="543" spans="17:17" x14ac:dyDescent="0.2">
      <c r="Q543"/>
    </row>
    <row r="544" spans="17:17" x14ac:dyDescent="0.2">
      <c r="Q544"/>
    </row>
    <row r="545" spans="17:17" x14ac:dyDescent="0.2">
      <c r="Q545"/>
    </row>
    <row r="546" spans="17:17" x14ac:dyDescent="0.2">
      <c r="Q546"/>
    </row>
    <row r="547" spans="17:17" x14ac:dyDescent="0.2">
      <c r="Q547"/>
    </row>
    <row r="548" spans="17:17" x14ac:dyDescent="0.2">
      <c r="Q548"/>
    </row>
    <row r="549" spans="17:17" x14ac:dyDescent="0.2">
      <c r="Q549"/>
    </row>
    <row r="550" spans="17:17" x14ac:dyDescent="0.2">
      <c r="Q550"/>
    </row>
    <row r="551" spans="17:17" x14ac:dyDescent="0.2">
      <c r="Q551"/>
    </row>
    <row r="552" spans="17:17" x14ac:dyDescent="0.2">
      <c r="Q552"/>
    </row>
    <row r="553" spans="17:17" x14ac:dyDescent="0.2">
      <c r="Q553"/>
    </row>
    <row r="554" spans="17:17" x14ac:dyDescent="0.2">
      <c r="Q554"/>
    </row>
    <row r="555" spans="17:17" x14ac:dyDescent="0.2">
      <c r="Q555"/>
    </row>
    <row r="556" spans="17:17" x14ac:dyDescent="0.2">
      <c r="Q556"/>
    </row>
    <row r="557" spans="17:17" x14ac:dyDescent="0.2">
      <c r="Q557"/>
    </row>
    <row r="558" spans="17:17" x14ac:dyDescent="0.2">
      <c r="Q558"/>
    </row>
    <row r="559" spans="17:17" x14ac:dyDescent="0.2">
      <c r="Q559"/>
    </row>
    <row r="560" spans="17:17" x14ac:dyDescent="0.2">
      <c r="Q560"/>
    </row>
    <row r="561" spans="17:17" x14ac:dyDescent="0.2">
      <c r="Q561"/>
    </row>
    <row r="562" spans="17:17" x14ac:dyDescent="0.2">
      <c r="Q562"/>
    </row>
    <row r="563" spans="17:17" x14ac:dyDescent="0.2">
      <c r="Q563"/>
    </row>
    <row r="564" spans="17:17" x14ac:dyDescent="0.2">
      <c r="Q564"/>
    </row>
    <row r="565" spans="17:17" x14ac:dyDescent="0.2">
      <c r="Q565"/>
    </row>
    <row r="566" spans="17:17" x14ac:dyDescent="0.2">
      <c r="Q566"/>
    </row>
    <row r="567" spans="17:17" x14ac:dyDescent="0.2">
      <c r="Q567"/>
    </row>
    <row r="568" spans="17:17" x14ac:dyDescent="0.2">
      <c r="Q568"/>
    </row>
    <row r="569" spans="17:17" x14ac:dyDescent="0.2">
      <c r="Q569"/>
    </row>
    <row r="570" spans="17:17" x14ac:dyDescent="0.2">
      <c r="Q570"/>
    </row>
    <row r="571" spans="17:17" x14ac:dyDescent="0.2">
      <c r="Q571"/>
    </row>
    <row r="572" spans="17:17" x14ac:dyDescent="0.2">
      <c r="Q572"/>
    </row>
    <row r="573" spans="17:17" x14ac:dyDescent="0.2">
      <c r="Q573"/>
    </row>
    <row r="574" spans="17:17" x14ac:dyDescent="0.2">
      <c r="Q574"/>
    </row>
    <row r="575" spans="17:17" x14ac:dyDescent="0.2">
      <c r="Q575"/>
    </row>
    <row r="576" spans="17:17" x14ac:dyDescent="0.2">
      <c r="Q576"/>
    </row>
    <row r="577" spans="17:17" x14ac:dyDescent="0.2">
      <c r="Q577"/>
    </row>
    <row r="578" spans="17:17" x14ac:dyDescent="0.2">
      <c r="Q578"/>
    </row>
    <row r="579" spans="17:17" x14ac:dyDescent="0.2">
      <c r="Q579"/>
    </row>
    <row r="580" spans="17:17" x14ac:dyDescent="0.2">
      <c r="Q580"/>
    </row>
    <row r="581" spans="17:17" x14ac:dyDescent="0.2">
      <c r="Q581"/>
    </row>
    <row r="582" spans="17:17" x14ac:dyDescent="0.2">
      <c r="Q582"/>
    </row>
    <row r="583" spans="17:17" x14ac:dyDescent="0.2">
      <c r="Q583"/>
    </row>
    <row r="584" spans="17:17" x14ac:dyDescent="0.2">
      <c r="Q584"/>
    </row>
    <row r="585" spans="17:17" x14ac:dyDescent="0.2">
      <c r="Q585"/>
    </row>
    <row r="586" spans="17:17" x14ac:dyDescent="0.2">
      <c r="Q586"/>
    </row>
    <row r="587" spans="17:17" x14ac:dyDescent="0.2">
      <c r="Q587"/>
    </row>
    <row r="588" spans="17:17" x14ac:dyDescent="0.2">
      <c r="Q588"/>
    </row>
    <row r="589" spans="17:17" x14ac:dyDescent="0.2">
      <c r="Q589"/>
    </row>
    <row r="590" spans="17:17" x14ac:dyDescent="0.2">
      <c r="Q590"/>
    </row>
    <row r="591" spans="17:17" x14ac:dyDescent="0.2">
      <c r="Q591"/>
    </row>
    <row r="592" spans="17:17" x14ac:dyDescent="0.2">
      <c r="Q592"/>
    </row>
    <row r="593" spans="17:17" x14ac:dyDescent="0.2">
      <c r="Q593"/>
    </row>
    <row r="594" spans="17:17" x14ac:dyDescent="0.2">
      <c r="Q594"/>
    </row>
    <row r="595" spans="17:17" x14ac:dyDescent="0.2">
      <c r="Q595"/>
    </row>
    <row r="596" spans="17:17" x14ac:dyDescent="0.2">
      <c r="Q596"/>
    </row>
    <row r="597" spans="17:17" x14ac:dyDescent="0.2">
      <c r="Q597"/>
    </row>
    <row r="598" spans="17:17" x14ac:dyDescent="0.2">
      <c r="Q598"/>
    </row>
    <row r="599" spans="17:17" x14ac:dyDescent="0.2">
      <c r="Q599"/>
    </row>
    <row r="600" spans="17:17" x14ac:dyDescent="0.2">
      <c r="Q600"/>
    </row>
    <row r="601" spans="17:17" x14ac:dyDescent="0.2">
      <c r="Q601"/>
    </row>
    <row r="602" spans="17:17" x14ac:dyDescent="0.2">
      <c r="Q602"/>
    </row>
    <row r="603" spans="17:17" x14ac:dyDescent="0.2">
      <c r="Q603"/>
    </row>
    <row r="604" spans="17:17" x14ac:dyDescent="0.2">
      <c r="Q604"/>
    </row>
    <row r="605" spans="17:17" x14ac:dyDescent="0.2">
      <c r="Q605"/>
    </row>
    <row r="606" spans="17:17" x14ac:dyDescent="0.2">
      <c r="Q606"/>
    </row>
    <row r="607" spans="17:17" x14ac:dyDescent="0.2">
      <c r="Q607"/>
    </row>
    <row r="608" spans="17:17" x14ac:dyDescent="0.2">
      <c r="Q608"/>
    </row>
    <row r="609" spans="17:17" x14ac:dyDescent="0.2">
      <c r="Q609"/>
    </row>
    <row r="610" spans="17:17" x14ac:dyDescent="0.2">
      <c r="Q610"/>
    </row>
    <row r="611" spans="17:17" x14ac:dyDescent="0.2">
      <c r="Q611"/>
    </row>
    <row r="612" spans="17:17" x14ac:dyDescent="0.2">
      <c r="Q612"/>
    </row>
    <row r="613" spans="17:17" x14ac:dyDescent="0.2">
      <c r="Q613"/>
    </row>
    <row r="614" spans="17:17" x14ac:dyDescent="0.2">
      <c r="Q614"/>
    </row>
    <row r="615" spans="17:17" x14ac:dyDescent="0.2">
      <c r="Q615"/>
    </row>
    <row r="616" spans="17:17" x14ac:dyDescent="0.2">
      <c r="Q616"/>
    </row>
    <row r="617" spans="17:17" x14ac:dyDescent="0.2">
      <c r="Q617"/>
    </row>
    <row r="618" spans="17:17" x14ac:dyDescent="0.2">
      <c r="Q618"/>
    </row>
    <row r="619" spans="17:17" x14ac:dyDescent="0.2">
      <c r="Q619"/>
    </row>
    <row r="620" spans="17:17" x14ac:dyDescent="0.2">
      <c r="Q620"/>
    </row>
    <row r="621" spans="17:17" x14ac:dyDescent="0.2">
      <c r="Q621"/>
    </row>
    <row r="622" spans="17:17" x14ac:dyDescent="0.2">
      <c r="Q622"/>
    </row>
    <row r="623" spans="17:17" x14ac:dyDescent="0.2">
      <c r="Q623"/>
    </row>
    <row r="624" spans="17:17" x14ac:dyDescent="0.2">
      <c r="Q624"/>
    </row>
    <row r="625" spans="17:17" x14ac:dyDescent="0.2">
      <c r="Q625"/>
    </row>
    <row r="626" spans="17:17" x14ac:dyDescent="0.2">
      <c r="Q626"/>
    </row>
    <row r="627" spans="17:17" x14ac:dyDescent="0.2">
      <c r="Q627"/>
    </row>
    <row r="628" spans="17:17" x14ac:dyDescent="0.2">
      <c r="Q628"/>
    </row>
    <row r="629" spans="17:17" x14ac:dyDescent="0.2">
      <c r="Q629"/>
    </row>
    <row r="630" spans="17:17" x14ac:dyDescent="0.2">
      <c r="Q630"/>
    </row>
    <row r="631" spans="17:17" x14ac:dyDescent="0.2">
      <c r="Q631"/>
    </row>
    <row r="632" spans="17:17" x14ac:dyDescent="0.2">
      <c r="Q632"/>
    </row>
    <row r="633" spans="17:17" x14ac:dyDescent="0.2">
      <c r="Q633"/>
    </row>
    <row r="634" spans="17:17" x14ac:dyDescent="0.2">
      <c r="Q634"/>
    </row>
    <row r="635" spans="17:17" x14ac:dyDescent="0.2">
      <c r="Q635"/>
    </row>
    <row r="636" spans="17:17" x14ac:dyDescent="0.2">
      <c r="Q636"/>
    </row>
    <row r="637" spans="17:17" x14ac:dyDescent="0.2">
      <c r="Q637"/>
    </row>
    <row r="638" spans="17:17" x14ac:dyDescent="0.2">
      <c r="Q638"/>
    </row>
    <row r="639" spans="17:17" x14ac:dyDescent="0.2">
      <c r="Q639"/>
    </row>
    <row r="640" spans="17:17" x14ac:dyDescent="0.2">
      <c r="Q640"/>
    </row>
    <row r="641" spans="17:17" x14ac:dyDescent="0.2">
      <c r="Q641"/>
    </row>
    <row r="642" spans="17:17" x14ac:dyDescent="0.2">
      <c r="Q642"/>
    </row>
    <row r="643" spans="17:17" x14ac:dyDescent="0.2">
      <c r="Q643"/>
    </row>
    <row r="644" spans="17:17" x14ac:dyDescent="0.2">
      <c r="Q644"/>
    </row>
    <row r="645" spans="17:17" x14ac:dyDescent="0.2">
      <c r="Q645"/>
    </row>
    <row r="646" spans="17:17" x14ac:dyDescent="0.2">
      <c r="Q646"/>
    </row>
    <row r="647" spans="17:17" x14ac:dyDescent="0.2">
      <c r="Q647"/>
    </row>
    <row r="648" spans="17:17" x14ac:dyDescent="0.2">
      <c r="Q648"/>
    </row>
    <row r="649" spans="17:17" x14ac:dyDescent="0.2">
      <c r="Q649"/>
    </row>
    <row r="650" spans="17:17" x14ac:dyDescent="0.2">
      <c r="Q650"/>
    </row>
    <row r="651" spans="17:17" x14ac:dyDescent="0.2">
      <c r="Q651"/>
    </row>
    <row r="652" spans="17:17" x14ac:dyDescent="0.2">
      <c r="Q652"/>
    </row>
    <row r="653" spans="17:17" x14ac:dyDescent="0.2">
      <c r="Q653"/>
    </row>
    <row r="654" spans="17:17" x14ac:dyDescent="0.2">
      <c r="Q654"/>
    </row>
    <row r="655" spans="17:17" x14ac:dyDescent="0.2">
      <c r="Q655"/>
    </row>
    <row r="656" spans="17:17" x14ac:dyDescent="0.2">
      <c r="Q656"/>
    </row>
    <row r="657" spans="17:17" x14ac:dyDescent="0.2">
      <c r="Q657"/>
    </row>
    <row r="658" spans="17:17" x14ac:dyDescent="0.2">
      <c r="Q658"/>
    </row>
    <row r="659" spans="17:17" x14ac:dyDescent="0.2">
      <c r="Q659"/>
    </row>
    <row r="660" spans="17:17" x14ac:dyDescent="0.2">
      <c r="Q660"/>
    </row>
    <row r="661" spans="17:17" x14ac:dyDescent="0.2">
      <c r="Q661"/>
    </row>
    <row r="662" spans="17:17" x14ac:dyDescent="0.2">
      <c r="Q662"/>
    </row>
    <row r="663" spans="17:17" x14ac:dyDescent="0.2">
      <c r="Q663"/>
    </row>
    <row r="664" spans="17:17" x14ac:dyDescent="0.2">
      <c r="Q664"/>
    </row>
    <row r="665" spans="17:17" x14ac:dyDescent="0.2">
      <c r="Q665"/>
    </row>
    <row r="666" spans="17:17" x14ac:dyDescent="0.2">
      <c r="Q666"/>
    </row>
    <row r="667" spans="17:17" x14ac:dyDescent="0.2">
      <c r="Q667"/>
    </row>
    <row r="668" spans="17:17" x14ac:dyDescent="0.2">
      <c r="Q668"/>
    </row>
    <row r="669" spans="17:17" x14ac:dyDescent="0.2">
      <c r="Q669"/>
    </row>
    <row r="670" spans="17:17" x14ac:dyDescent="0.2">
      <c r="Q670"/>
    </row>
    <row r="671" spans="17:17" x14ac:dyDescent="0.2">
      <c r="Q671"/>
    </row>
    <row r="672" spans="17:17" x14ac:dyDescent="0.2">
      <c r="Q672"/>
    </row>
    <row r="673" spans="17:17" x14ac:dyDescent="0.2">
      <c r="Q673"/>
    </row>
    <row r="674" spans="17:17" x14ac:dyDescent="0.2">
      <c r="Q674"/>
    </row>
    <row r="675" spans="17:17" x14ac:dyDescent="0.2">
      <c r="Q675"/>
    </row>
    <row r="676" spans="17:17" x14ac:dyDescent="0.2">
      <c r="Q676"/>
    </row>
    <row r="677" spans="17:17" x14ac:dyDescent="0.2">
      <c r="Q677"/>
    </row>
    <row r="678" spans="17:17" x14ac:dyDescent="0.2">
      <c r="Q678"/>
    </row>
    <row r="679" spans="17:17" x14ac:dyDescent="0.2">
      <c r="Q679"/>
    </row>
    <row r="680" spans="17:17" x14ac:dyDescent="0.2">
      <c r="Q680"/>
    </row>
    <row r="681" spans="17:17" x14ac:dyDescent="0.2">
      <c r="Q681"/>
    </row>
    <row r="682" spans="17:17" x14ac:dyDescent="0.2">
      <c r="Q682"/>
    </row>
    <row r="683" spans="17:17" x14ac:dyDescent="0.2">
      <c r="Q683"/>
    </row>
    <row r="684" spans="17:17" x14ac:dyDescent="0.2">
      <c r="Q684"/>
    </row>
    <row r="685" spans="17:17" x14ac:dyDescent="0.2">
      <c r="Q685"/>
    </row>
    <row r="686" spans="17:17" x14ac:dyDescent="0.2">
      <c r="Q686"/>
    </row>
    <row r="687" spans="17:17" x14ac:dyDescent="0.2">
      <c r="Q687"/>
    </row>
    <row r="688" spans="17:17" x14ac:dyDescent="0.2">
      <c r="Q688"/>
    </row>
    <row r="689" spans="17:17" x14ac:dyDescent="0.2">
      <c r="Q689"/>
    </row>
    <row r="690" spans="17:17" x14ac:dyDescent="0.2">
      <c r="Q690"/>
    </row>
    <row r="691" spans="17:17" x14ac:dyDescent="0.2">
      <c r="Q691"/>
    </row>
    <row r="692" spans="17:17" x14ac:dyDescent="0.2">
      <c r="Q692"/>
    </row>
    <row r="693" spans="17:17" x14ac:dyDescent="0.2">
      <c r="Q693"/>
    </row>
    <row r="694" spans="17:17" x14ac:dyDescent="0.2">
      <c r="Q694"/>
    </row>
    <row r="695" spans="17:17" x14ac:dyDescent="0.2">
      <c r="Q695"/>
    </row>
    <row r="696" spans="17:17" x14ac:dyDescent="0.2">
      <c r="Q696"/>
    </row>
    <row r="697" spans="17:17" x14ac:dyDescent="0.2">
      <c r="Q697"/>
    </row>
    <row r="698" spans="17:17" x14ac:dyDescent="0.2">
      <c r="Q698"/>
    </row>
    <row r="699" spans="17:17" x14ac:dyDescent="0.2">
      <c r="Q699"/>
    </row>
    <row r="700" spans="17:17" x14ac:dyDescent="0.2">
      <c r="Q700"/>
    </row>
    <row r="701" spans="17:17" x14ac:dyDescent="0.2">
      <c r="Q701"/>
    </row>
    <row r="702" spans="17:17" x14ac:dyDescent="0.2">
      <c r="Q702"/>
    </row>
    <row r="703" spans="17:17" x14ac:dyDescent="0.2">
      <c r="Q703"/>
    </row>
    <row r="704" spans="17:17" x14ac:dyDescent="0.2">
      <c r="Q704"/>
    </row>
    <row r="705" spans="17:17" x14ac:dyDescent="0.2">
      <c r="Q705"/>
    </row>
    <row r="706" spans="17:17" x14ac:dyDescent="0.2">
      <c r="Q706"/>
    </row>
    <row r="707" spans="17:17" x14ac:dyDescent="0.2">
      <c r="Q707"/>
    </row>
    <row r="708" spans="17:17" x14ac:dyDescent="0.2">
      <c r="Q708"/>
    </row>
    <row r="709" spans="17:17" x14ac:dyDescent="0.2">
      <c r="Q709"/>
    </row>
    <row r="710" spans="17:17" x14ac:dyDescent="0.2">
      <c r="Q710"/>
    </row>
    <row r="711" spans="17:17" x14ac:dyDescent="0.2">
      <c r="Q711"/>
    </row>
    <row r="712" spans="17:17" x14ac:dyDescent="0.2">
      <c r="Q712"/>
    </row>
    <row r="713" spans="17:17" x14ac:dyDescent="0.2">
      <c r="Q713"/>
    </row>
    <row r="714" spans="17:17" x14ac:dyDescent="0.2">
      <c r="Q714"/>
    </row>
    <row r="715" spans="17:17" x14ac:dyDescent="0.2">
      <c r="Q715"/>
    </row>
    <row r="716" spans="17:17" x14ac:dyDescent="0.2">
      <c r="Q716"/>
    </row>
    <row r="717" spans="17:17" x14ac:dyDescent="0.2">
      <c r="Q717"/>
    </row>
    <row r="718" spans="17:17" x14ac:dyDescent="0.2">
      <c r="Q718"/>
    </row>
    <row r="719" spans="17:17" x14ac:dyDescent="0.2">
      <c r="Q719"/>
    </row>
    <row r="720" spans="17:17" x14ac:dyDescent="0.2">
      <c r="Q720"/>
    </row>
    <row r="721" spans="17:17" x14ac:dyDescent="0.2">
      <c r="Q721"/>
    </row>
    <row r="722" spans="17:17" x14ac:dyDescent="0.2">
      <c r="Q722"/>
    </row>
    <row r="723" spans="17:17" x14ac:dyDescent="0.2">
      <c r="Q723"/>
    </row>
    <row r="724" spans="17:17" x14ac:dyDescent="0.2">
      <c r="Q724"/>
    </row>
    <row r="725" spans="17:17" x14ac:dyDescent="0.2">
      <c r="Q725"/>
    </row>
    <row r="726" spans="17:17" x14ac:dyDescent="0.2">
      <c r="Q726"/>
    </row>
    <row r="727" spans="17:17" x14ac:dyDescent="0.2">
      <c r="Q727"/>
    </row>
    <row r="728" spans="17:17" x14ac:dyDescent="0.2">
      <c r="Q728"/>
    </row>
    <row r="729" spans="17:17" x14ac:dyDescent="0.2">
      <c r="Q729"/>
    </row>
    <row r="730" spans="17:17" x14ac:dyDescent="0.2">
      <c r="Q730"/>
    </row>
    <row r="731" spans="17:17" x14ac:dyDescent="0.2">
      <c r="Q731"/>
    </row>
    <row r="732" spans="17:17" x14ac:dyDescent="0.2">
      <c r="Q732"/>
    </row>
    <row r="733" spans="17:17" x14ac:dyDescent="0.2">
      <c r="Q733"/>
    </row>
    <row r="734" spans="17:17" x14ac:dyDescent="0.2">
      <c r="Q734"/>
    </row>
    <row r="735" spans="17:17" x14ac:dyDescent="0.2">
      <c r="Q735"/>
    </row>
    <row r="736" spans="17:17" x14ac:dyDescent="0.2">
      <c r="Q736"/>
    </row>
    <row r="737" spans="17:17" x14ac:dyDescent="0.2">
      <c r="Q737"/>
    </row>
    <row r="738" spans="17:17" x14ac:dyDescent="0.2">
      <c r="Q738"/>
    </row>
    <row r="739" spans="17:17" x14ac:dyDescent="0.2">
      <c r="Q739"/>
    </row>
    <row r="740" spans="17:17" x14ac:dyDescent="0.2">
      <c r="Q740"/>
    </row>
    <row r="741" spans="17:17" x14ac:dyDescent="0.2">
      <c r="Q741"/>
    </row>
    <row r="742" spans="17:17" x14ac:dyDescent="0.2">
      <c r="Q742"/>
    </row>
    <row r="743" spans="17:17" x14ac:dyDescent="0.2">
      <c r="Q743"/>
    </row>
    <row r="744" spans="17:17" x14ac:dyDescent="0.2">
      <c r="Q744"/>
    </row>
    <row r="745" spans="17:17" x14ac:dyDescent="0.2">
      <c r="Q745"/>
    </row>
    <row r="746" spans="17:17" x14ac:dyDescent="0.2">
      <c r="Q746"/>
    </row>
    <row r="747" spans="17:17" x14ac:dyDescent="0.2">
      <c r="Q747"/>
    </row>
    <row r="748" spans="17:17" x14ac:dyDescent="0.2">
      <c r="Q748"/>
    </row>
    <row r="749" spans="17:17" x14ac:dyDescent="0.2">
      <c r="Q749"/>
    </row>
    <row r="750" spans="17:17" x14ac:dyDescent="0.2">
      <c r="Q750"/>
    </row>
    <row r="751" spans="17:17" x14ac:dyDescent="0.2">
      <c r="Q751"/>
    </row>
    <row r="752" spans="17:17" x14ac:dyDescent="0.2">
      <c r="Q752"/>
    </row>
    <row r="753" spans="17:17" x14ac:dyDescent="0.2">
      <c r="Q753"/>
    </row>
    <row r="754" spans="17:17" x14ac:dyDescent="0.2">
      <c r="Q754"/>
    </row>
    <row r="755" spans="17:17" x14ac:dyDescent="0.2">
      <c r="Q755"/>
    </row>
    <row r="756" spans="17:17" x14ac:dyDescent="0.2">
      <c r="Q756"/>
    </row>
    <row r="757" spans="17:17" x14ac:dyDescent="0.2">
      <c r="Q757"/>
    </row>
    <row r="758" spans="17:17" x14ac:dyDescent="0.2">
      <c r="Q758"/>
    </row>
    <row r="759" spans="17:17" x14ac:dyDescent="0.2">
      <c r="Q759"/>
    </row>
    <row r="760" spans="17:17" x14ac:dyDescent="0.2">
      <c r="Q760"/>
    </row>
    <row r="761" spans="17:17" x14ac:dyDescent="0.2">
      <c r="Q761"/>
    </row>
    <row r="762" spans="17:17" x14ac:dyDescent="0.2">
      <c r="Q762"/>
    </row>
    <row r="763" spans="17:17" x14ac:dyDescent="0.2">
      <c r="Q763"/>
    </row>
    <row r="764" spans="17:17" x14ac:dyDescent="0.2">
      <c r="Q764"/>
    </row>
    <row r="765" spans="17:17" x14ac:dyDescent="0.2">
      <c r="Q765"/>
    </row>
    <row r="766" spans="17:17" x14ac:dyDescent="0.2">
      <c r="Q766"/>
    </row>
    <row r="767" spans="17:17" x14ac:dyDescent="0.2">
      <c r="Q767"/>
    </row>
    <row r="768" spans="17:17" x14ac:dyDescent="0.2">
      <c r="Q768"/>
    </row>
    <row r="769" spans="17:17" x14ac:dyDescent="0.2">
      <c r="Q769"/>
    </row>
    <row r="770" spans="17:17" x14ac:dyDescent="0.2">
      <c r="Q770"/>
    </row>
    <row r="771" spans="17:17" x14ac:dyDescent="0.2">
      <c r="Q771"/>
    </row>
    <row r="772" spans="17:17" x14ac:dyDescent="0.2">
      <c r="Q772"/>
    </row>
    <row r="773" spans="17:17" x14ac:dyDescent="0.2">
      <c r="Q773"/>
    </row>
    <row r="774" spans="17:17" x14ac:dyDescent="0.2">
      <c r="Q774"/>
    </row>
    <row r="775" spans="17:17" x14ac:dyDescent="0.2">
      <c r="Q775"/>
    </row>
    <row r="776" spans="17:17" x14ac:dyDescent="0.2">
      <c r="Q776"/>
    </row>
    <row r="777" spans="17:17" x14ac:dyDescent="0.2">
      <c r="Q777"/>
    </row>
    <row r="778" spans="17:17" x14ac:dyDescent="0.2">
      <c r="Q778"/>
    </row>
    <row r="779" spans="17:17" x14ac:dyDescent="0.2">
      <c r="Q779"/>
    </row>
    <row r="780" spans="17:17" x14ac:dyDescent="0.2">
      <c r="Q780"/>
    </row>
    <row r="781" spans="17:17" x14ac:dyDescent="0.2">
      <c r="Q781"/>
    </row>
    <row r="782" spans="17:17" x14ac:dyDescent="0.2">
      <c r="Q782"/>
    </row>
    <row r="783" spans="17:17" x14ac:dyDescent="0.2">
      <c r="Q783"/>
    </row>
    <row r="784" spans="17:17" x14ac:dyDescent="0.2">
      <c r="Q784"/>
    </row>
    <row r="785" spans="17:17" x14ac:dyDescent="0.2">
      <c r="Q785"/>
    </row>
    <row r="786" spans="17:17" x14ac:dyDescent="0.2">
      <c r="Q786"/>
    </row>
    <row r="787" spans="17:17" x14ac:dyDescent="0.2">
      <c r="Q787"/>
    </row>
    <row r="788" spans="17:17" x14ac:dyDescent="0.2">
      <c r="Q788"/>
    </row>
    <row r="789" spans="17:17" x14ac:dyDescent="0.2">
      <c r="Q789"/>
    </row>
    <row r="790" spans="17:17" x14ac:dyDescent="0.2">
      <c r="Q790"/>
    </row>
    <row r="791" spans="17:17" x14ac:dyDescent="0.2">
      <c r="Q791"/>
    </row>
    <row r="792" spans="17:17" x14ac:dyDescent="0.2">
      <c r="Q792"/>
    </row>
    <row r="793" spans="17:17" x14ac:dyDescent="0.2">
      <c r="Q793"/>
    </row>
    <row r="794" spans="17:17" x14ac:dyDescent="0.2">
      <c r="Q794"/>
    </row>
    <row r="795" spans="17:17" x14ac:dyDescent="0.2">
      <c r="Q795"/>
    </row>
    <row r="796" spans="17:17" x14ac:dyDescent="0.2">
      <c r="Q796"/>
    </row>
    <row r="797" spans="17:17" x14ac:dyDescent="0.2">
      <c r="Q797"/>
    </row>
    <row r="798" spans="17:17" x14ac:dyDescent="0.2">
      <c r="Q798"/>
    </row>
    <row r="799" spans="17:17" x14ac:dyDescent="0.2">
      <c r="Q799"/>
    </row>
    <row r="800" spans="17:17" x14ac:dyDescent="0.2">
      <c r="Q800"/>
    </row>
    <row r="801" spans="17:17" x14ac:dyDescent="0.2">
      <c r="Q801"/>
    </row>
    <row r="802" spans="17:17" x14ac:dyDescent="0.2">
      <c r="Q802"/>
    </row>
    <row r="803" spans="17:17" x14ac:dyDescent="0.2">
      <c r="Q803"/>
    </row>
    <row r="804" spans="17:17" x14ac:dyDescent="0.2">
      <c r="Q804"/>
    </row>
    <row r="805" spans="17:17" x14ac:dyDescent="0.2">
      <c r="Q805"/>
    </row>
    <row r="806" spans="17:17" x14ac:dyDescent="0.2">
      <c r="Q806"/>
    </row>
    <row r="807" spans="17:17" x14ac:dyDescent="0.2">
      <c r="Q807"/>
    </row>
    <row r="808" spans="17:17" x14ac:dyDescent="0.2">
      <c r="Q808"/>
    </row>
    <row r="809" spans="17:17" x14ac:dyDescent="0.2">
      <c r="Q809"/>
    </row>
    <row r="810" spans="17:17" x14ac:dyDescent="0.2">
      <c r="Q810"/>
    </row>
    <row r="811" spans="17:17" x14ac:dyDescent="0.2">
      <c r="Q811"/>
    </row>
    <row r="812" spans="17:17" x14ac:dyDescent="0.2">
      <c r="Q812"/>
    </row>
    <row r="813" spans="17:17" x14ac:dyDescent="0.2">
      <c r="Q813"/>
    </row>
    <row r="814" spans="17:17" x14ac:dyDescent="0.2">
      <c r="Q814"/>
    </row>
    <row r="815" spans="17:17" x14ac:dyDescent="0.2">
      <c r="Q815"/>
    </row>
    <row r="816" spans="17:17" x14ac:dyDescent="0.2">
      <c r="Q816"/>
    </row>
    <row r="817" spans="17:17" x14ac:dyDescent="0.2">
      <c r="Q817"/>
    </row>
    <row r="818" spans="17:17" x14ac:dyDescent="0.2">
      <c r="Q818"/>
    </row>
    <row r="819" spans="17:17" x14ac:dyDescent="0.2">
      <c r="Q819"/>
    </row>
    <row r="820" spans="17:17" x14ac:dyDescent="0.2">
      <c r="Q820"/>
    </row>
    <row r="821" spans="17:17" x14ac:dyDescent="0.2">
      <c r="Q821"/>
    </row>
    <row r="822" spans="17:17" x14ac:dyDescent="0.2">
      <c r="Q822"/>
    </row>
    <row r="823" spans="17:17" x14ac:dyDescent="0.2">
      <c r="Q823"/>
    </row>
    <row r="824" spans="17:17" x14ac:dyDescent="0.2">
      <c r="Q824"/>
    </row>
    <row r="825" spans="17:17" x14ac:dyDescent="0.2">
      <c r="Q825"/>
    </row>
    <row r="826" spans="17:17" x14ac:dyDescent="0.2">
      <c r="Q826"/>
    </row>
    <row r="827" spans="17:17" x14ac:dyDescent="0.2">
      <c r="Q827"/>
    </row>
    <row r="828" spans="17:17" x14ac:dyDescent="0.2">
      <c r="Q828"/>
    </row>
    <row r="829" spans="17:17" x14ac:dyDescent="0.2">
      <c r="Q829"/>
    </row>
    <row r="830" spans="17:17" x14ac:dyDescent="0.2">
      <c r="Q830"/>
    </row>
    <row r="831" spans="17:17" x14ac:dyDescent="0.2">
      <c r="Q831"/>
    </row>
    <row r="832" spans="17:17" x14ac:dyDescent="0.2">
      <c r="Q832"/>
    </row>
    <row r="833" spans="17:17" x14ac:dyDescent="0.2">
      <c r="Q833"/>
    </row>
    <row r="834" spans="17:17" x14ac:dyDescent="0.2">
      <c r="Q834"/>
    </row>
    <row r="835" spans="17:17" x14ac:dyDescent="0.2">
      <c r="Q835"/>
    </row>
    <row r="836" spans="17:17" x14ac:dyDescent="0.2">
      <c r="Q836"/>
    </row>
    <row r="837" spans="17:17" x14ac:dyDescent="0.2">
      <c r="Q837"/>
    </row>
    <row r="838" spans="17:17" x14ac:dyDescent="0.2">
      <c r="Q838"/>
    </row>
    <row r="839" spans="17:17" x14ac:dyDescent="0.2">
      <c r="Q839"/>
    </row>
    <row r="840" spans="17:17" x14ac:dyDescent="0.2">
      <c r="Q840"/>
    </row>
    <row r="841" spans="17:17" x14ac:dyDescent="0.2">
      <c r="Q841"/>
    </row>
    <row r="842" spans="17:17" x14ac:dyDescent="0.2">
      <c r="Q842"/>
    </row>
    <row r="843" spans="17:17" x14ac:dyDescent="0.2">
      <c r="Q843"/>
    </row>
    <row r="844" spans="17:17" x14ac:dyDescent="0.2">
      <c r="Q844"/>
    </row>
    <row r="845" spans="17:17" x14ac:dyDescent="0.2">
      <c r="Q845"/>
    </row>
    <row r="846" spans="17:17" x14ac:dyDescent="0.2">
      <c r="Q846"/>
    </row>
    <row r="847" spans="17:17" x14ac:dyDescent="0.2">
      <c r="Q847"/>
    </row>
    <row r="848" spans="17:17" x14ac:dyDescent="0.2">
      <c r="Q848"/>
    </row>
    <row r="849" spans="17:17" x14ac:dyDescent="0.2">
      <c r="Q849"/>
    </row>
    <row r="850" spans="17:17" x14ac:dyDescent="0.2">
      <c r="Q850"/>
    </row>
    <row r="851" spans="17:17" x14ac:dyDescent="0.2">
      <c r="Q851"/>
    </row>
    <row r="852" spans="17:17" x14ac:dyDescent="0.2">
      <c r="Q852"/>
    </row>
    <row r="853" spans="17:17" x14ac:dyDescent="0.2">
      <c r="Q853"/>
    </row>
    <row r="854" spans="17:17" x14ac:dyDescent="0.2">
      <c r="Q854"/>
    </row>
    <row r="855" spans="17:17" x14ac:dyDescent="0.2">
      <c r="Q855"/>
    </row>
    <row r="856" spans="17:17" x14ac:dyDescent="0.2">
      <c r="Q856"/>
    </row>
    <row r="857" spans="17:17" x14ac:dyDescent="0.2">
      <c r="Q857"/>
    </row>
    <row r="858" spans="17:17" x14ac:dyDescent="0.2">
      <c r="Q858"/>
    </row>
    <row r="859" spans="17:17" x14ac:dyDescent="0.2">
      <c r="Q859"/>
    </row>
    <row r="860" spans="17:17" x14ac:dyDescent="0.2">
      <c r="Q860"/>
    </row>
    <row r="861" spans="17:17" x14ac:dyDescent="0.2">
      <c r="Q861"/>
    </row>
    <row r="862" spans="17:17" x14ac:dyDescent="0.2">
      <c r="Q862"/>
    </row>
    <row r="863" spans="17:17" x14ac:dyDescent="0.2">
      <c r="Q863"/>
    </row>
    <row r="864" spans="17:17" x14ac:dyDescent="0.2">
      <c r="Q864"/>
    </row>
    <row r="865" spans="17:17" x14ac:dyDescent="0.2">
      <c r="Q865"/>
    </row>
    <row r="866" spans="17:17" x14ac:dyDescent="0.2">
      <c r="Q866"/>
    </row>
    <row r="867" spans="17:17" x14ac:dyDescent="0.2">
      <c r="Q867"/>
    </row>
    <row r="868" spans="17:17" x14ac:dyDescent="0.2">
      <c r="Q868"/>
    </row>
    <row r="869" spans="17:17" x14ac:dyDescent="0.2">
      <c r="Q869"/>
    </row>
    <row r="870" spans="17:17" x14ac:dyDescent="0.2">
      <c r="Q870"/>
    </row>
    <row r="871" spans="17:17" x14ac:dyDescent="0.2">
      <c r="Q871"/>
    </row>
    <row r="872" spans="17:17" x14ac:dyDescent="0.2">
      <c r="Q872"/>
    </row>
    <row r="873" spans="17:17" x14ac:dyDescent="0.2">
      <c r="Q873"/>
    </row>
    <row r="874" spans="17:17" x14ac:dyDescent="0.2">
      <c r="Q874"/>
    </row>
    <row r="875" spans="17:17" x14ac:dyDescent="0.2">
      <c r="Q875"/>
    </row>
    <row r="876" spans="17:17" x14ac:dyDescent="0.2">
      <c r="Q876"/>
    </row>
    <row r="877" spans="17:17" x14ac:dyDescent="0.2">
      <c r="Q877"/>
    </row>
    <row r="878" spans="17:17" x14ac:dyDescent="0.2">
      <c r="Q878"/>
    </row>
    <row r="879" spans="17:17" x14ac:dyDescent="0.2">
      <c r="Q879"/>
    </row>
    <row r="880" spans="17:17" x14ac:dyDescent="0.2">
      <c r="Q880"/>
    </row>
    <row r="881" spans="17:17" x14ac:dyDescent="0.2">
      <c r="Q881"/>
    </row>
    <row r="882" spans="17:17" x14ac:dyDescent="0.2">
      <c r="Q882"/>
    </row>
    <row r="883" spans="17:17" x14ac:dyDescent="0.2">
      <c r="Q883"/>
    </row>
    <row r="884" spans="17:17" x14ac:dyDescent="0.2">
      <c r="Q884"/>
    </row>
    <row r="885" spans="17:17" x14ac:dyDescent="0.2">
      <c r="Q885"/>
    </row>
    <row r="886" spans="17:17" x14ac:dyDescent="0.2">
      <c r="Q886"/>
    </row>
    <row r="887" spans="17:17" x14ac:dyDescent="0.2">
      <c r="Q887"/>
    </row>
    <row r="888" spans="17:17" x14ac:dyDescent="0.2">
      <c r="Q888"/>
    </row>
    <row r="889" spans="17:17" x14ac:dyDescent="0.2">
      <c r="Q889"/>
    </row>
    <row r="890" spans="17:17" x14ac:dyDescent="0.2">
      <c r="Q890"/>
    </row>
    <row r="891" spans="17:17" x14ac:dyDescent="0.2">
      <c r="Q891"/>
    </row>
    <row r="892" spans="17:17" x14ac:dyDescent="0.2">
      <c r="Q892"/>
    </row>
    <row r="893" spans="17:17" x14ac:dyDescent="0.2">
      <c r="Q893"/>
    </row>
    <row r="894" spans="17:17" x14ac:dyDescent="0.2">
      <c r="Q894"/>
    </row>
    <row r="895" spans="17:17" x14ac:dyDescent="0.2">
      <c r="Q895"/>
    </row>
    <row r="896" spans="17:17" x14ac:dyDescent="0.2">
      <c r="Q896"/>
    </row>
    <row r="897" spans="17:17" x14ac:dyDescent="0.2">
      <c r="Q897"/>
    </row>
    <row r="898" spans="17:17" x14ac:dyDescent="0.2">
      <c r="Q898"/>
    </row>
    <row r="899" spans="17:17" x14ac:dyDescent="0.2">
      <c r="Q899"/>
    </row>
    <row r="900" spans="17:17" x14ac:dyDescent="0.2">
      <c r="Q900"/>
    </row>
    <row r="901" spans="17:17" x14ac:dyDescent="0.2">
      <c r="Q901"/>
    </row>
    <row r="902" spans="17:17" x14ac:dyDescent="0.2">
      <c r="Q902"/>
    </row>
    <row r="903" spans="17:17" x14ac:dyDescent="0.2">
      <c r="Q903"/>
    </row>
    <row r="904" spans="17:17" x14ac:dyDescent="0.2">
      <c r="Q904"/>
    </row>
    <row r="905" spans="17:17" x14ac:dyDescent="0.2">
      <c r="Q905"/>
    </row>
    <row r="906" spans="17:17" x14ac:dyDescent="0.2">
      <c r="Q906"/>
    </row>
    <row r="907" spans="17:17" x14ac:dyDescent="0.2">
      <c r="Q907"/>
    </row>
    <row r="908" spans="17:17" x14ac:dyDescent="0.2">
      <c r="Q908"/>
    </row>
    <row r="909" spans="17:17" x14ac:dyDescent="0.2">
      <c r="Q909"/>
    </row>
    <row r="910" spans="17:17" x14ac:dyDescent="0.2">
      <c r="Q910"/>
    </row>
    <row r="911" spans="17:17" x14ac:dyDescent="0.2">
      <c r="Q911"/>
    </row>
    <row r="912" spans="17:17" x14ac:dyDescent="0.2">
      <c r="Q912"/>
    </row>
    <row r="913" spans="17:17" x14ac:dyDescent="0.2">
      <c r="Q913"/>
    </row>
    <row r="914" spans="17:17" x14ac:dyDescent="0.2">
      <c r="Q914"/>
    </row>
    <row r="915" spans="17:17" x14ac:dyDescent="0.2">
      <c r="Q915"/>
    </row>
    <row r="916" spans="17:17" x14ac:dyDescent="0.2">
      <c r="Q916"/>
    </row>
    <row r="917" spans="17:17" x14ac:dyDescent="0.2">
      <c r="Q917"/>
    </row>
    <row r="918" spans="17:17" x14ac:dyDescent="0.2">
      <c r="Q918"/>
    </row>
    <row r="919" spans="17:17" x14ac:dyDescent="0.2">
      <c r="Q919"/>
    </row>
    <row r="920" spans="17:17" x14ac:dyDescent="0.2">
      <c r="Q920"/>
    </row>
    <row r="921" spans="17:17" x14ac:dyDescent="0.2">
      <c r="Q921"/>
    </row>
    <row r="922" spans="17:17" x14ac:dyDescent="0.2">
      <c r="Q922"/>
    </row>
    <row r="923" spans="17:17" x14ac:dyDescent="0.2">
      <c r="Q923"/>
    </row>
    <row r="924" spans="17:17" x14ac:dyDescent="0.2">
      <c r="Q924"/>
    </row>
    <row r="925" spans="17:17" x14ac:dyDescent="0.2">
      <c r="Q925"/>
    </row>
    <row r="926" spans="17:17" x14ac:dyDescent="0.2">
      <c r="Q926"/>
    </row>
    <row r="927" spans="17:17" x14ac:dyDescent="0.2">
      <c r="Q927"/>
    </row>
    <row r="928" spans="17:17" x14ac:dyDescent="0.2">
      <c r="Q928"/>
    </row>
    <row r="929" spans="17:17" x14ac:dyDescent="0.2">
      <c r="Q929"/>
    </row>
    <row r="930" spans="17:17" x14ac:dyDescent="0.2">
      <c r="Q930"/>
    </row>
    <row r="931" spans="17:17" x14ac:dyDescent="0.2">
      <c r="Q931"/>
    </row>
    <row r="932" spans="17:17" x14ac:dyDescent="0.2">
      <c r="Q932"/>
    </row>
    <row r="933" spans="17:17" x14ac:dyDescent="0.2">
      <c r="Q933"/>
    </row>
    <row r="934" spans="17:17" x14ac:dyDescent="0.2">
      <c r="Q934"/>
    </row>
    <row r="935" spans="17:17" x14ac:dyDescent="0.2">
      <c r="Q935"/>
    </row>
    <row r="936" spans="17:17" x14ac:dyDescent="0.2">
      <c r="Q936"/>
    </row>
    <row r="937" spans="17:17" x14ac:dyDescent="0.2">
      <c r="Q937"/>
    </row>
    <row r="938" spans="17:17" x14ac:dyDescent="0.2">
      <c r="Q938"/>
    </row>
    <row r="939" spans="17:17" x14ac:dyDescent="0.2">
      <c r="Q939"/>
    </row>
    <row r="940" spans="17:17" x14ac:dyDescent="0.2">
      <c r="Q940"/>
    </row>
    <row r="941" spans="17:17" x14ac:dyDescent="0.2">
      <c r="Q941"/>
    </row>
    <row r="942" spans="17:17" x14ac:dyDescent="0.2">
      <c r="Q942"/>
    </row>
    <row r="943" spans="17:17" x14ac:dyDescent="0.2">
      <c r="Q943"/>
    </row>
    <row r="944" spans="17:17" x14ac:dyDescent="0.2">
      <c r="Q944"/>
    </row>
    <row r="945" spans="17:17" x14ac:dyDescent="0.2">
      <c r="Q945"/>
    </row>
    <row r="946" spans="17:17" x14ac:dyDescent="0.2">
      <c r="Q946"/>
    </row>
    <row r="947" spans="17:17" x14ac:dyDescent="0.2">
      <c r="Q947"/>
    </row>
    <row r="948" spans="17:17" x14ac:dyDescent="0.2">
      <c r="Q948"/>
    </row>
    <row r="949" spans="17:17" x14ac:dyDescent="0.2">
      <c r="Q949"/>
    </row>
    <row r="950" spans="17:17" x14ac:dyDescent="0.2">
      <c r="Q950"/>
    </row>
    <row r="951" spans="17:17" x14ac:dyDescent="0.2">
      <c r="Q951"/>
    </row>
    <row r="952" spans="17:17" x14ac:dyDescent="0.2">
      <c r="Q952"/>
    </row>
    <row r="953" spans="17:17" x14ac:dyDescent="0.2">
      <c r="Q953"/>
    </row>
    <row r="954" spans="17:17" x14ac:dyDescent="0.2">
      <c r="Q954"/>
    </row>
    <row r="955" spans="17:17" x14ac:dyDescent="0.2">
      <c r="Q955"/>
    </row>
    <row r="956" spans="17:17" x14ac:dyDescent="0.2">
      <c r="Q956"/>
    </row>
    <row r="957" spans="17:17" x14ac:dyDescent="0.2">
      <c r="Q957"/>
    </row>
    <row r="958" spans="17:17" x14ac:dyDescent="0.2">
      <c r="Q958"/>
    </row>
    <row r="959" spans="17:17" x14ac:dyDescent="0.2">
      <c r="Q959"/>
    </row>
    <row r="960" spans="17:17" x14ac:dyDescent="0.2">
      <c r="Q960"/>
    </row>
    <row r="961" spans="17:17" x14ac:dyDescent="0.2">
      <c r="Q961"/>
    </row>
    <row r="962" spans="17:17" x14ac:dyDescent="0.2">
      <c r="Q962"/>
    </row>
    <row r="963" spans="17:17" x14ac:dyDescent="0.2">
      <c r="Q963"/>
    </row>
    <row r="964" spans="17:17" x14ac:dyDescent="0.2">
      <c r="Q964"/>
    </row>
    <row r="965" spans="17:17" x14ac:dyDescent="0.2">
      <c r="Q965"/>
    </row>
    <row r="966" spans="17:17" x14ac:dyDescent="0.2">
      <c r="Q966"/>
    </row>
    <row r="967" spans="17:17" x14ac:dyDescent="0.2">
      <c r="Q967"/>
    </row>
    <row r="968" spans="17:17" x14ac:dyDescent="0.2">
      <c r="Q968"/>
    </row>
    <row r="969" spans="17:17" x14ac:dyDescent="0.2">
      <c r="Q969"/>
    </row>
    <row r="970" spans="17:17" x14ac:dyDescent="0.2">
      <c r="Q970"/>
    </row>
    <row r="971" spans="17:17" x14ac:dyDescent="0.2">
      <c r="Q971"/>
    </row>
    <row r="972" spans="17:17" x14ac:dyDescent="0.2">
      <c r="Q972"/>
    </row>
    <row r="973" spans="17:17" x14ac:dyDescent="0.2">
      <c r="Q973"/>
    </row>
    <row r="974" spans="17:17" x14ac:dyDescent="0.2">
      <c r="Q974"/>
    </row>
    <row r="975" spans="17:17" x14ac:dyDescent="0.2">
      <c r="Q975"/>
    </row>
    <row r="976" spans="17:17" x14ac:dyDescent="0.2">
      <c r="Q976"/>
    </row>
    <row r="977" spans="17:17" x14ac:dyDescent="0.2">
      <c r="Q977"/>
    </row>
    <row r="978" spans="17:17" x14ac:dyDescent="0.2">
      <c r="Q978"/>
    </row>
    <row r="979" spans="17:17" x14ac:dyDescent="0.2">
      <c r="Q979"/>
    </row>
    <row r="980" spans="17:17" x14ac:dyDescent="0.2">
      <c r="Q980"/>
    </row>
    <row r="981" spans="17:17" x14ac:dyDescent="0.2">
      <c r="Q981"/>
    </row>
    <row r="982" spans="17:17" x14ac:dyDescent="0.2">
      <c r="Q982"/>
    </row>
    <row r="983" spans="17:17" x14ac:dyDescent="0.2">
      <c r="Q983"/>
    </row>
    <row r="984" spans="17:17" x14ac:dyDescent="0.2">
      <c r="Q984"/>
    </row>
    <row r="985" spans="17:17" x14ac:dyDescent="0.2">
      <c r="Q985"/>
    </row>
    <row r="986" spans="17:17" x14ac:dyDescent="0.2">
      <c r="Q986"/>
    </row>
    <row r="987" spans="17:17" x14ac:dyDescent="0.2">
      <c r="Q987"/>
    </row>
    <row r="988" spans="17:17" x14ac:dyDescent="0.2">
      <c r="Q988"/>
    </row>
    <row r="989" spans="17:17" x14ac:dyDescent="0.2">
      <c r="Q989"/>
    </row>
    <row r="990" spans="17:17" x14ac:dyDescent="0.2">
      <c r="Q990"/>
    </row>
    <row r="991" spans="17:17" x14ac:dyDescent="0.2">
      <c r="Q991"/>
    </row>
    <row r="992" spans="17:17" x14ac:dyDescent="0.2">
      <c r="Q992"/>
    </row>
    <row r="993" spans="17:17" x14ac:dyDescent="0.2">
      <c r="Q993"/>
    </row>
    <row r="994" spans="17:17" x14ac:dyDescent="0.2">
      <c r="Q994"/>
    </row>
    <row r="995" spans="17:17" x14ac:dyDescent="0.2">
      <c r="Q995"/>
    </row>
    <row r="996" spans="17:17" x14ac:dyDescent="0.2">
      <c r="Q996"/>
    </row>
    <row r="997" spans="17:17" x14ac:dyDescent="0.2">
      <c r="Q997"/>
    </row>
    <row r="998" spans="17:17" x14ac:dyDescent="0.2">
      <c r="Q998"/>
    </row>
    <row r="999" spans="17:17" x14ac:dyDescent="0.2">
      <c r="Q999"/>
    </row>
    <row r="1000" spans="17:17" x14ac:dyDescent="0.2">
      <c r="Q1000"/>
    </row>
    <row r="1001" spans="17:17" x14ac:dyDescent="0.2">
      <c r="Q1001"/>
    </row>
    <row r="1002" spans="17:17" x14ac:dyDescent="0.2">
      <c r="Q1002"/>
    </row>
    <row r="1003" spans="17:17" x14ac:dyDescent="0.2">
      <c r="Q1003"/>
    </row>
    <row r="1004" spans="17:17" x14ac:dyDescent="0.2">
      <c r="Q1004"/>
    </row>
    <row r="1005" spans="17:17" x14ac:dyDescent="0.2">
      <c r="Q1005"/>
    </row>
    <row r="1006" spans="17:17" x14ac:dyDescent="0.2">
      <c r="Q1006"/>
    </row>
    <row r="1007" spans="17:17" x14ac:dyDescent="0.2">
      <c r="Q1007"/>
    </row>
    <row r="1008" spans="17:17" x14ac:dyDescent="0.2">
      <c r="Q1008"/>
    </row>
    <row r="1009" spans="17:17" x14ac:dyDescent="0.2">
      <c r="Q1009"/>
    </row>
    <row r="1010" spans="17:17" x14ac:dyDescent="0.2">
      <c r="Q1010"/>
    </row>
    <row r="1011" spans="17:17" x14ac:dyDescent="0.2">
      <c r="Q1011"/>
    </row>
    <row r="1012" spans="17:17" x14ac:dyDescent="0.2">
      <c r="Q1012"/>
    </row>
    <row r="1013" spans="17:17" x14ac:dyDescent="0.2">
      <c r="Q1013"/>
    </row>
    <row r="1014" spans="17:17" x14ac:dyDescent="0.2">
      <c r="Q1014"/>
    </row>
    <row r="1015" spans="17:17" x14ac:dyDescent="0.2">
      <c r="Q1015"/>
    </row>
    <row r="1016" spans="17:17" x14ac:dyDescent="0.2">
      <c r="Q1016"/>
    </row>
    <row r="1017" spans="17:17" x14ac:dyDescent="0.2">
      <c r="Q1017"/>
    </row>
    <row r="1018" spans="17:17" x14ac:dyDescent="0.2">
      <c r="Q1018"/>
    </row>
    <row r="1019" spans="17:17" x14ac:dyDescent="0.2">
      <c r="Q1019"/>
    </row>
    <row r="1020" spans="17:17" x14ac:dyDescent="0.2">
      <c r="Q1020"/>
    </row>
    <row r="1021" spans="17:17" x14ac:dyDescent="0.2">
      <c r="Q1021"/>
    </row>
    <row r="1022" spans="17:17" x14ac:dyDescent="0.2">
      <c r="Q1022"/>
    </row>
    <row r="1023" spans="17:17" x14ac:dyDescent="0.2">
      <c r="Q1023"/>
    </row>
    <row r="1024" spans="17:17" x14ac:dyDescent="0.2">
      <c r="Q1024"/>
    </row>
    <row r="1025" spans="17:17" x14ac:dyDescent="0.2">
      <c r="Q1025"/>
    </row>
    <row r="1026" spans="17:17" x14ac:dyDescent="0.2">
      <c r="Q1026"/>
    </row>
    <row r="1027" spans="17:17" x14ac:dyDescent="0.2">
      <c r="Q1027"/>
    </row>
    <row r="1028" spans="17:17" x14ac:dyDescent="0.2">
      <c r="Q1028"/>
    </row>
    <row r="1029" spans="17:17" x14ac:dyDescent="0.2">
      <c r="Q1029"/>
    </row>
    <row r="1030" spans="17:17" x14ac:dyDescent="0.2">
      <c r="Q1030"/>
    </row>
    <row r="1031" spans="17:17" x14ac:dyDescent="0.2">
      <c r="Q1031"/>
    </row>
    <row r="1032" spans="17:17" x14ac:dyDescent="0.2">
      <c r="Q1032"/>
    </row>
    <row r="1033" spans="17:17" x14ac:dyDescent="0.2">
      <c r="Q1033"/>
    </row>
    <row r="1034" spans="17:17" x14ac:dyDescent="0.2">
      <c r="Q1034"/>
    </row>
    <row r="1035" spans="17:17" x14ac:dyDescent="0.2">
      <c r="Q1035"/>
    </row>
    <row r="1036" spans="17:17" x14ac:dyDescent="0.2">
      <c r="Q1036"/>
    </row>
    <row r="1037" spans="17:17" x14ac:dyDescent="0.2">
      <c r="Q1037"/>
    </row>
    <row r="1038" spans="17:17" x14ac:dyDescent="0.2">
      <c r="Q1038"/>
    </row>
    <row r="1039" spans="17:17" x14ac:dyDescent="0.2">
      <c r="Q1039"/>
    </row>
    <row r="1040" spans="17:17" x14ac:dyDescent="0.2">
      <c r="Q1040"/>
    </row>
    <row r="1041" spans="17:17" x14ac:dyDescent="0.2">
      <c r="Q1041"/>
    </row>
    <row r="1042" spans="17:17" x14ac:dyDescent="0.2">
      <c r="Q1042"/>
    </row>
    <row r="1043" spans="17:17" x14ac:dyDescent="0.2">
      <c r="Q1043"/>
    </row>
    <row r="1044" spans="17:17" x14ac:dyDescent="0.2">
      <c r="Q1044"/>
    </row>
    <row r="1045" spans="17:17" x14ac:dyDescent="0.2">
      <c r="Q1045"/>
    </row>
    <row r="1046" spans="17:17" x14ac:dyDescent="0.2">
      <c r="Q1046"/>
    </row>
    <row r="1047" spans="17:17" x14ac:dyDescent="0.2">
      <c r="Q1047"/>
    </row>
    <row r="1048" spans="17:17" x14ac:dyDescent="0.2">
      <c r="Q1048"/>
    </row>
    <row r="1049" spans="17:17" x14ac:dyDescent="0.2">
      <c r="Q1049"/>
    </row>
    <row r="1050" spans="17:17" x14ac:dyDescent="0.2">
      <c r="Q1050"/>
    </row>
    <row r="1051" spans="17:17" x14ac:dyDescent="0.2">
      <c r="Q1051"/>
    </row>
    <row r="1052" spans="17:17" x14ac:dyDescent="0.2">
      <c r="Q1052"/>
    </row>
    <row r="1053" spans="17:17" x14ac:dyDescent="0.2">
      <c r="Q1053"/>
    </row>
    <row r="1054" spans="17:17" x14ac:dyDescent="0.2">
      <c r="Q1054"/>
    </row>
    <row r="1055" spans="17:17" x14ac:dyDescent="0.2">
      <c r="Q1055"/>
    </row>
    <row r="1056" spans="17:17" x14ac:dyDescent="0.2">
      <c r="Q1056"/>
    </row>
    <row r="1057" spans="17:17" x14ac:dyDescent="0.2">
      <c r="Q1057"/>
    </row>
    <row r="1058" spans="17:17" x14ac:dyDescent="0.2">
      <c r="Q1058"/>
    </row>
    <row r="1059" spans="17:17" x14ac:dyDescent="0.2">
      <c r="Q1059"/>
    </row>
    <row r="1060" spans="17:17" x14ac:dyDescent="0.2">
      <c r="Q1060"/>
    </row>
    <row r="1061" spans="17:17" x14ac:dyDescent="0.2">
      <c r="Q1061"/>
    </row>
    <row r="1062" spans="17:17" x14ac:dyDescent="0.2">
      <c r="Q1062"/>
    </row>
    <row r="1063" spans="17:17" x14ac:dyDescent="0.2">
      <c r="Q1063"/>
    </row>
    <row r="1064" spans="17:17" x14ac:dyDescent="0.2">
      <c r="Q1064"/>
    </row>
    <row r="1065" spans="17:17" x14ac:dyDescent="0.2">
      <c r="Q1065"/>
    </row>
    <row r="1066" spans="17:17" x14ac:dyDescent="0.2">
      <c r="Q1066"/>
    </row>
    <row r="1067" spans="17:17" x14ac:dyDescent="0.2">
      <c r="Q1067"/>
    </row>
    <row r="1068" spans="17:17" x14ac:dyDescent="0.2">
      <c r="Q1068"/>
    </row>
    <row r="1069" spans="17:17" x14ac:dyDescent="0.2">
      <c r="Q1069"/>
    </row>
    <row r="1070" spans="17:17" x14ac:dyDescent="0.2">
      <c r="Q1070"/>
    </row>
    <row r="1071" spans="17:17" x14ac:dyDescent="0.2">
      <c r="Q1071"/>
    </row>
    <row r="1072" spans="17:17" x14ac:dyDescent="0.2">
      <c r="Q1072"/>
    </row>
    <row r="1073" spans="17:17" x14ac:dyDescent="0.2">
      <c r="Q1073"/>
    </row>
    <row r="1074" spans="17:17" x14ac:dyDescent="0.2">
      <c r="Q1074"/>
    </row>
    <row r="1075" spans="17:17" x14ac:dyDescent="0.2">
      <c r="Q1075"/>
    </row>
    <row r="1076" spans="17:17" x14ac:dyDescent="0.2">
      <c r="Q1076"/>
    </row>
    <row r="1077" spans="17:17" x14ac:dyDescent="0.2">
      <c r="Q1077"/>
    </row>
    <row r="1078" spans="17:17" x14ac:dyDescent="0.2">
      <c r="Q1078"/>
    </row>
    <row r="1079" spans="17:17" x14ac:dyDescent="0.2">
      <c r="Q1079"/>
    </row>
    <row r="1080" spans="17:17" x14ac:dyDescent="0.2">
      <c r="Q1080"/>
    </row>
    <row r="1081" spans="17:17" x14ac:dyDescent="0.2">
      <c r="Q1081"/>
    </row>
    <row r="1082" spans="17:17" x14ac:dyDescent="0.2">
      <c r="Q1082"/>
    </row>
    <row r="1083" spans="17:17" x14ac:dyDescent="0.2">
      <c r="Q1083"/>
    </row>
    <row r="1084" spans="17:17" x14ac:dyDescent="0.2">
      <c r="Q1084"/>
    </row>
    <row r="1085" spans="17:17" x14ac:dyDescent="0.2">
      <c r="Q1085"/>
    </row>
    <row r="1086" spans="17:17" x14ac:dyDescent="0.2">
      <c r="Q1086"/>
    </row>
    <row r="1087" spans="17:17" x14ac:dyDescent="0.2">
      <c r="Q1087"/>
    </row>
    <row r="1088" spans="17:17" x14ac:dyDescent="0.2">
      <c r="Q1088"/>
    </row>
    <row r="1089" spans="17:17" x14ac:dyDescent="0.2">
      <c r="Q1089"/>
    </row>
    <row r="1090" spans="17:17" x14ac:dyDescent="0.2">
      <c r="Q1090"/>
    </row>
    <row r="1091" spans="17:17" x14ac:dyDescent="0.2">
      <c r="Q1091"/>
    </row>
    <row r="1092" spans="17:17" x14ac:dyDescent="0.2">
      <c r="Q1092"/>
    </row>
    <row r="1093" spans="17:17" x14ac:dyDescent="0.2">
      <c r="Q1093"/>
    </row>
    <row r="1094" spans="17:17" x14ac:dyDescent="0.2">
      <c r="Q1094"/>
    </row>
    <row r="1095" spans="17:17" x14ac:dyDescent="0.2">
      <c r="Q1095"/>
    </row>
    <row r="1096" spans="17:17" x14ac:dyDescent="0.2">
      <c r="Q1096"/>
    </row>
    <row r="1097" spans="17:17" x14ac:dyDescent="0.2">
      <c r="Q1097"/>
    </row>
    <row r="1098" spans="17:17" x14ac:dyDescent="0.2">
      <c r="Q1098"/>
    </row>
    <row r="1099" spans="17:17" x14ac:dyDescent="0.2">
      <c r="Q1099"/>
    </row>
    <row r="1100" spans="17:17" x14ac:dyDescent="0.2">
      <c r="Q1100"/>
    </row>
    <row r="1101" spans="17:17" x14ac:dyDescent="0.2">
      <c r="Q1101"/>
    </row>
    <row r="1102" spans="17:17" x14ac:dyDescent="0.2">
      <c r="Q1102"/>
    </row>
    <row r="1103" spans="17:17" x14ac:dyDescent="0.2">
      <c r="Q1103"/>
    </row>
    <row r="1104" spans="17:17" x14ac:dyDescent="0.2">
      <c r="Q1104"/>
    </row>
    <row r="1105" spans="17:17" x14ac:dyDescent="0.2">
      <c r="Q1105"/>
    </row>
    <row r="1106" spans="17:17" x14ac:dyDescent="0.2">
      <c r="Q1106"/>
    </row>
    <row r="1107" spans="17:17" x14ac:dyDescent="0.2">
      <c r="Q1107"/>
    </row>
    <row r="1108" spans="17:17" x14ac:dyDescent="0.2">
      <c r="Q1108"/>
    </row>
    <row r="1109" spans="17:17" x14ac:dyDescent="0.2">
      <c r="Q1109"/>
    </row>
    <row r="1110" spans="17:17" x14ac:dyDescent="0.2">
      <c r="Q1110"/>
    </row>
    <row r="1111" spans="17:17" x14ac:dyDescent="0.2">
      <c r="Q1111"/>
    </row>
    <row r="1112" spans="17:17" x14ac:dyDescent="0.2">
      <c r="Q1112"/>
    </row>
    <row r="1113" spans="17:17" x14ac:dyDescent="0.2">
      <c r="Q1113"/>
    </row>
    <row r="1114" spans="17:17" x14ac:dyDescent="0.2">
      <c r="Q1114"/>
    </row>
    <row r="1115" spans="17:17" x14ac:dyDescent="0.2">
      <c r="Q1115"/>
    </row>
    <row r="1116" spans="17:17" x14ac:dyDescent="0.2">
      <c r="Q1116"/>
    </row>
    <row r="1117" spans="17:17" x14ac:dyDescent="0.2">
      <c r="Q1117"/>
    </row>
    <row r="1118" spans="17:17" x14ac:dyDescent="0.2">
      <c r="Q1118"/>
    </row>
    <row r="1119" spans="17:17" x14ac:dyDescent="0.2">
      <c r="Q1119"/>
    </row>
    <row r="1120" spans="17:17" x14ac:dyDescent="0.2">
      <c r="Q1120"/>
    </row>
    <row r="1121" spans="17:17" x14ac:dyDescent="0.2">
      <c r="Q1121"/>
    </row>
    <row r="1122" spans="17:17" x14ac:dyDescent="0.2">
      <c r="Q1122"/>
    </row>
    <row r="1123" spans="17:17" x14ac:dyDescent="0.2">
      <c r="Q1123"/>
    </row>
    <row r="1124" spans="17:17" x14ac:dyDescent="0.2">
      <c r="Q1124"/>
    </row>
    <row r="1125" spans="17:17" x14ac:dyDescent="0.2">
      <c r="Q1125"/>
    </row>
    <row r="1126" spans="17:17" x14ac:dyDescent="0.2">
      <c r="Q1126"/>
    </row>
    <row r="1127" spans="17:17" x14ac:dyDescent="0.2">
      <c r="Q1127"/>
    </row>
    <row r="1128" spans="17:17" x14ac:dyDescent="0.2">
      <c r="Q1128"/>
    </row>
    <row r="1129" spans="17:17" x14ac:dyDescent="0.2">
      <c r="Q1129"/>
    </row>
    <row r="1130" spans="17:17" x14ac:dyDescent="0.2">
      <c r="Q1130"/>
    </row>
    <row r="1131" spans="17:17" x14ac:dyDescent="0.2">
      <c r="Q1131"/>
    </row>
    <row r="1132" spans="17:17" x14ac:dyDescent="0.2">
      <c r="Q1132"/>
    </row>
    <row r="1133" spans="17:17" x14ac:dyDescent="0.2">
      <c r="Q1133"/>
    </row>
    <row r="1134" spans="17:17" x14ac:dyDescent="0.2">
      <c r="Q1134"/>
    </row>
    <row r="1135" spans="17:17" x14ac:dyDescent="0.2">
      <c r="Q1135"/>
    </row>
    <row r="1136" spans="17:17" x14ac:dyDescent="0.2">
      <c r="Q1136"/>
    </row>
    <row r="1137" spans="17:17" x14ac:dyDescent="0.2">
      <c r="Q1137"/>
    </row>
    <row r="1138" spans="17:17" x14ac:dyDescent="0.2">
      <c r="Q1138"/>
    </row>
    <row r="1139" spans="17:17" x14ac:dyDescent="0.2">
      <c r="Q1139"/>
    </row>
    <row r="1140" spans="17:17" x14ac:dyDescent="0.2">
      <c r="Q1140"/>
    </row>
    <row r="1141" spans="17:17" x14ac:dyDescent="0.2">
      <c r="Q1141"/>
    </row>
    <row r="1142" spans="17:17" x14ac:dyDescent="0.2">
      <c r="Q1142"/>
    </row>
    <row r="1143" spans="17:17" x14ac:dyDescent="0.2">
      <c r="Q1143"/>
    </row>
    <row r="1144" spans="17:17" x14ac:dyDescent="0.2">
      <c r="Q1144"/>
    </row>
    <row r="1145" spans="17:17" x14ac:dyDescent="0.2">
      <c r="Q1145"/>
    </row>
    <row r="1146" spans="17:17" x14ac:dyDescent="0.2">
      <c r="Q1146"/>
    </row>
    <row r="1147" spans="17:17" x14ac:dyDescent="0.2">
      <c r="Q1147"/>
    </row>
    <row r="1148" spans="17:17" x14ac:dyDescent="0.2">
      <c r="Q1148"/>
    </row>
    <row r="1149" spans="17:17" x14ac:dyDescent="0.2">
      <c r="Q1149"/>
    </row>
    <row r="1150" spans="17:17" x14ac:dyDescent="0.2">
      <c r="Q1150"/>
    </row>
    <row r="1151" spans="17:17" x14ac:dyDescent="0.2">
      <c r="Q1151"/>
    </row>
    <row r="1152" spans="17:17" x14ac:dyDescent="0.2">
      <c r="Q1152"/>
    </row>
    <row r="1153" spans="17:17" x14ac:dyDescent="0.2">
      <c r="Q1153"/>
    </row>
    <row r="1154" spans="17:17" x14ac:dyDescent="0.2">
      <c r="Q1154"/>
    </row>
    <row r="1155" spans="17:17" x14ac:dyDescent="0.2">
      <c r="Q1155"/>
    </row>
    <row r="1156" spans="17:17" x14ac:dyDescent="0.2">
      <c r="Q1156"/>
    </row>
    <row r="1157" spans="17:17" x14ac:dyDescent="0.2">
      <c r="Q1157"/>
    </row>
    <row r="1158" spans="17:17" x14ac:dyDescent="0.2">
      <c r="Q1158"/>
    </row>
    <row r="1159" spans="17:17" x14ac:dyDescent="0.2">
      <c r="Q1159"/>
    </row>
    <row r="1160" spans="17:17" x14ac:dyDescent="0.2">
      <c r="Q1160"/>
    </row>
    <row r="1161" spans="17:17" x14ac:dyDescent="0.2">
      <c r="Q1161"/>
    </row>
    <row r="1162" spans="17:17" x14ac:dyDescent="0.2">
      <c r="Q1162"/>
    </row>
    <row r="1163" spans="17:17" x14ac:dyDescent="0.2">
      <c r="Q1163"/>
    </row>
    <row r="1164" spans="17:17" x14ac:dyDescent="0.2">
      <c r="Q1164"/>
    </row>
    <row r="1165" spans="17:17" x14ac:dyDescent="0.2">
      <c r="Q1165"/>
    </row>
    <row r="1166" spans="17:17" x14ac:dyDescent="0.2">
      <c r="Q1166"/>
    </row>
    <row r="1167" spans="17:17" x14ac:dyDescent="0.2">
      <c r="Q1167"/>
    </row>
    <row r="1168" spans="17:17" x14ac:dyDescent="0.2">
      <c r="Q1168"/>
    </row>
    <row r="1169" spans="17:17" x14ac:dyDescent="0.2">
      <c r="Q1169"/>
    </row>
    <row r="1170" spans="17:17" x14ac:dyDescent="0.2">
      <c r="Q1170"/>
    </row>
    <row r="1171" spans="17:17" x14ac:dyDescent="0.2">
      <c r="Q1171"/>
    </row>
    <row r="1172" spans="17:17" x14ac:dyDescent="0.2">
      <c r="Q1172"/>
    </row>
    <row r="1173" spans="17:17" x14ac:dyDescent="0.2">
      <c r="Q1173"/>
    </row>
    <row r="1174" spans="17:17" x14ac:dyDescent="0.2">
      <c r="Q1174"/>
    </row>
    <row r="1175" spans="17:17" x14ac:dyDescent="0.2">
      <c r="Q1175"/>
    </row>
    <row r="1176" spans="17:17" x14ac:dyDescent="0.2">
      <c r="Q1176"/>
    </row>
    <row r="1177" spans="17:17" x14ac:dyDescent="0.2">
      <c r="Q1177"/>
    </row>
    <row r="1178" spans="17:17" x14ac:dyDescent="0.2">
      <c r="Q1178"/>
    </row>
    <row r="1179" spans="17:17" x14ac:dyDescent="0.2">
      <c r="Q1179"/>
    </row>
    <row r="1180" spans="17:17" x14ac:dyDescent="0.2">
      <c r="Q1180"/>
    </row>
    <row r="1181" spans="17:17" x14ac:dyDescent="0.2">
      <c r="Q1181"/>
    </row>
    <row r="1182" spans="17:17" x14ac:dyDescent="0.2">
      <c r="Q1182"/>
    </row>
    <row r="1183" spans="17:17" x14ac:dyDescent="0.2">
      <c r="Q1183"/>
    </row>
    <row r="1184" spans="17:17" x14ac:dyDescent="0.2">
      <c r="Q1184"/>
    </row>
    <row r="1185" spans="17:17" x14ac:dyDescent="0.2">
      <c r="Q1185"/>
    </row>
    <row r="1186" spans="17:17" x14ac:dyDescent="0.2">
      <c r="Q1186"/>
    </row>
    <row r="1187" spans="17:17" x14ac:dyDescent="0.2">
      <c r="Q1187"/>
    </row>
    <row r="1188" spans="17:17" x14ac:dyDescent="0.2">
      <c r="Q1188"/>
    </row>
    <row r="1189" spans="17:17" x14ac:dyDescent="0.2">
      <c r="Q1189"/>
    </row>
    <row r="1190" spans="17:17" x14ac:dyDescent="0.2">
      <c r="Q1190"/>
    </row>
    <row r="1191" spans="17:17" x14ac:dyDescent="0.2">
      <c r="Q1191"/>
    </row>
    <row r="1192" spans="17:17" x14ac:dyDescent="0.2">
      <c r="Q1192"/>
    </row>
    <row r="1193" spans="17:17" x14ac:dyDescent="0.2">
      <c r="Q1193"/>
    </row>
    <row r="1194" spans="17:17" x14ac:dyDescent="0.2">
      <c r="Q1194"/>
    </row>
    <row r="1195" spans="17:17" x14ac:dyDescent="0.2">
      <c r="Q1195"/>
    </row>
    <row r="1196" spans="17:17" x14ac:dyDescent="0.2">
      <c r="Q1196"/>
    </row>
    <row r="1197" spans="17:17" x14ac:dyDescent="0.2">
      <c r="Q1197"/>
    </row>
    <row r="1198" spans="17:17" x14ac:dyDescent="0.2">
      <c r="Q1198"/>
    </row>
    <row r="1199" spans="17:17" x14ac:dyDescent="0.2">
      <c r="Q1199"/>
    </row>
    <row r="1200" spans="17:17" x14ac:dyDescent="0.2">
      <c r="Q1200"/>
    </row>
    <row r="1201" spans="17:17" x14ac:dyDescent="0.2">
      <c r="Q1201"/>
    </row>
    <row r="1202" spans="17:17" x14ac:dyDescent="0.2">
      <c r="Q1202"/>
    </row>
    <row r="1203" spans="17:17" x14ac:dyDescent="0.2">
      <c r="Q1203"/>
    </row>
    <row r="1204" spans="17:17" x14ac:dyDescent="0.2">
      <c r="Q1204"/>
    </row>
    <row r="1205" spans="17:17" x14ac:dyDescent="0.2">
      <c r="Q1205"/>
    </row>
    <row r="1206" spans="17:17" x14ac:dyDescent="0.2">
      <c r="Q1206"/>
    </row>
    <row r="1207" spans="17:17" x14ac:dyDescent="0.2">
      <c r="Q1207"/>
    </row>
    <row r="1208" spans="17:17" x14ac:dyDescent="0.2">
      <c r="Q1208"/>
    </row>
    <row r="1209" spans="17:17" x14ac:dyDescent="0.2">
      <c r="Q1209"/>
    </row>
    <row r="1210" spans="17:17" x14ac:dyDescent="0.2">
      <c r="Q1210"/>
    </row>
    <row r="1211" spans="17:17" x14ac:dyDescent="0.2">
      <c r="Q1211"/>
    </row>
    <row r="1212" spans="17:17" x14ac:dyDescent="0.2">
      <c r="Q1212"/>
    </row>
    <row r="1213" spans="17:17" x14ac:dyDescent="0.2">
      <c r="Q1213"/>
    </row>
    <row r="1214" spans="17:17" x14ac:dyDescent="0.2">
      <c r="Q1214"/>
    </row>
    <row r="1215" spans="17:17" x14ac:dyDescent="0.2">
      <c r="Q1215"/>
    </row>
    <row r="1216" spans="17:17" x14ac:dyDescent="0.2">
      <c r="Q1216"/>
    </row>
    <row r="1217" spans="17:17" x14ac:dyDescent="0.2">
      <c r="Q1217"/>
    </row>
    <row r="1218" spans="17:17" x14ac:dyDescent="0.2">
      <c r="Q1218"/>
    </row>
    <row r="1219" spans="17:17" x14ac:dyDescent="0.2">
      <c r="Q1219"/>
    </row>
    <row r="1220" spans="17:17" x14ac:dyDescent="0.2">
      <c r="Q1220"/>
    </row>
    <row r="1221" spans="17:17" x14ac:dyDescent="0.2">
      <c r="Q1221"/>
    </row>
    <row r="1222" spans="17:17" x14ac:dyDescent="0.2">
      <c r="Q1222"/>
    </row>
    <row r="1223" spans="17:17" x14ac:dyDescent="0.2">
      <c r="Q1223"/>
    </row>
    <row r="1224" spans="17:17" x14ac:dyDescent="0.2">
      <c r="Q1224"/>
    </row>
    <row r="1225" spans="17:17" x14ac:dyDescent="0.2">
      <c r="Q1225"/>
    </row>
    <row r="1226" spans="17:17" x14ac:dyDescent="0.2">
      <c r="Q1226"/>
    </row>
    <row r="1227" spans="17:17" x14ac:dyDescent="0.2">
      <c r="Q1227"/>
    </row>
    <row r="1228" spans="17:17" x14ac:dyDescent="0.2">
      <c r="Q1228"/>
    </row>
    <row r="1229" spans="17:17" x14ac:dyDescent="0.2">
      <c r="Q1229"/>
    </row>
    <row r="1230" spans="17:17" x14ac:dyDescent="0.2">
      <c r="Q1230"/>
    </row>
    <row r="1231" spans="17:17" x14ac:dyDescent="0.2">
      <c r="Q1231"/>
    </row>
    <row r="1232" spans="17:17" x14ac:dyDescent="0.2">
      <c r="Q1232"/>
    </row>
    <row r="1233" spans="17:17" x14ac:dyDescent="0.2">
      <c r="Q1233"/>
    </row>
    <row r="1234" spans="17:17" x14ac:dyDescent="0.2">
      <c r="Q1234"/>
    </row>
    <row r="1235" spans="17:17" x14ac:dyDescent="0.2">
      <c r="Q1235"/>
    </row>
    <row r="1236" spans="17:17" x14ac:dyDescent="0.2">
      <c r="Q1236"/>
    </row>
    <row r="1237" spans="17:17" x14ac:dyDescent="0.2">
      <c r="Q1237"/>
    </row>
    <row r="1238" spans="17:17" x14ac:dyDescent="0.2">
      <c r="Q1238"/>
    </row>
    <row r="1239" spans="17:17" x14ac:dyDescent="0.2">
      <c r="Q1239"/>
    </row>
    <row r="1240" spans="17:17" x14ac:dyDescent="0.2">
      <c r="Q1240"/>
    </row>
    <row r="1241" spans="17:17" x14ac:dyDescent="0.2">
      <c r="Q1241"/>
    </row>
    <row r="1242" spans="17:17" x14ac:dyDescent="0.2">
      <c r="Q1242"/>
    </row>
    <row r="1243" spans="17:17" x14ac:dyDescent="0.2">
      <c r="Q1243"/>
    </row>
    <row r="1244" spans="17:17" x14ac:dyDescent="0.2">
      <c r="Q1244"/>
    </row>
    <row r="1245" spans="17:17" x14ac:dyDescent="0.2">
      <c r="Q1245"/>
    </row>
    <row r="1246" spans="17:17" x14ac:dyDescent="0.2">
      <c r="Q1246"/>
    </row>
    <row r="1247" spans="17:17" x14ac:dyDescent="0.2">
      <c r="Q1247"/>
    </row>
    <row r="1248" spans="17:17" x14ac:dyDescent="0.2">
      <c r="Q1248"/>
    </row>
    <row r="1249" spans="17:17" x14ac:dyDescent="0.2">
      <c r="Q1249"/>
    </row>
    <row r="1250" spans="17:17" x14ac:dyDescent="0.2">
      <c r="Q1250"/>
    </row>
    <row r="1251" spans="17:17" x14ac:dyDescent="0.2">
      <c r="Q1251"/>
    </row>
    <row r="1252" spans="17:17" x14ac:dyDescent="0.2">
      <c r="Q1252"/>
    </row>
    <row r="1253" spans="17:17" x14ac:dyDescent="0.2">
      <c r="Q1253"/>
    </row>
    <row r="1254" spans="17:17" x14ac:dyDescent="0.2">
      <c r="Q1254"/>
    </row>
    <row r="1255" spans="17:17" x14ac:dyDescent="0.2">
      <c r="Q1255"/>
    </row>
    <row r="1256" spans="17:17" x14ac:dyDescent="0.2">
      <c r="Q1256"/>
    </row>
    <row r="1257" spans="17:17" x14ac:dyDescent="0.2">
      <c r="Q1257"/>
    </row>
    <row r="1258" spans="17:17" x14ac:dyDescent="0.2">
      <c r="Q1258"/>
    </row>
    <row r="1259" spans="17:17" x14ac:dyDescent="0.2">
      <c r="Q1259"/>
    </row>
    <row r="1260" spans="17:17" x14ac:dyDescent="0.2">
      <c r="Q1260"/>
    </row>
    <row r="1261" spans="17:17" x14ac:dyDescent="0.2">
      <c r="Q1261"/>
    </row>
    <row r="1262" spans="17:17" x14ac:dyDescent="0.2">
      <c r="Q1262"/>
    </row>
    <row r="1263" spans="17:17" x14ac:dyDescent="0.2">
      <c r="Q1263"/>
    </row>
    <row r="1264" spans="17:17" x14ac:dyDescent="0.2">
      <c r="Q1264"/>
    </row>
    <row r="1265" spans="17:17" x14ac:dyDescent="0.2">
      <c r="Q1265"/>
    </row>
    <row r="1266" spans="17:17" x14ac:dyDescent="0.2">
      <c r="Q1266"/>
    </row>
    <row r="1267" spans="17:17" x14ac:dyDescent="0.2">
      <c r="Q1267"/>
    </row>
    <row r="1268" spans="17:17" x14ac:dyDescent="0.2">
      <c r="Q1268"/>
    </row>
    <row r="1269" spans="17:17" x14ac:dyDescent="0.2">
      <c r="Q1269"/>
    </row>
    <row r="1270" spans="17:17" x14ac:dyDescent="0.2">
      <c r="Q1270"/>
    </row>
    <row r="1271" spans="17:17" x14ac:dyDescent="0.2">
      <c r="Q1271"/>
    </row>
    <row r="1272" spans="17:17" x14ac:dyDescent="0.2">
      <c r="Q1272"/>
    </row>
    <row r="1273" spans="17:17" x14ac:dyDescent="0.2">
      <c r="Q1273"/>
    </row>
    <row r="1274" spans="17:17" x14ac:dyDescent="0.2">
      <c r="Q1274"/>
    </row>
    <row r="1275" spans="17:17" x14ac:dyDescent="0.2">
      <c r="Q1275"/>
    </row>
    <row r="1276" spans="17:17" x14ac:dyDescent="0.2">
      <c r="Q1276"/>
    </row>
    <row r="1277" spans="17:17" x14ac:dyDescent="0.2">
      <c r="Q1277"/>
    </row>
    <row r="1278" spans="17:17" x14ac:dyDescent="0.2">
      <c r="Q1278"/>
    </row>
    <row r="1279" spans="17:17" x14ac:dyDescent="0.2">
      <c r="Q1279"/>
    </row>
    <row r="1280" spans="17:17" x14ac:dyDescent="0.2">
      <c r="Q1280"/>
    </row>
    <row r="1281" spans="17:17" x14ac:dyDescent="0.2">
      <c r="Q1281"/>
    </row>
    <row r="1282" spans="17:17" x14ac:dyDescent="0.2">
      <c r="Q1282"/>
    </row>
    <row r="1283" spans="17:17" x14ac:dyDescent="0.2">
      <c r="Q1283"/>
    </row>
    <row r="1284" spans="17:17" x14ac:dyDescent="0.2">
      <c r="Q1284"/>
    </row>
    <row r="1285" spans="17:17" x14ac:dyDescent="0.2">
      <c r="Q1285"/>
    </row>
    <row r="1286" spans="17:17" x14ac:dyDescent="0.2">
      <c r="Q1286"/>
    </row>
    <row r="1287" spans="17:17" x14ac:dyDescent="0.2">
      <c r="Q1287"/>
    </row>
    <row r="1288" spans="17:17" x14ac:dyDescent="0.2">
      <c r="Q1288"/>
    </row>
    <row r="1289" spans="17:17" x14ac:dyDescent="0.2">
      <c r="Q1289"/>
    </row>
    <row r="1290" spans="17:17" x14ac:dyDescent="0.2">
      <c r="Q1290"/>
    </row>
    <row r="1291" spans="17:17" x14ac:dyDescent="0.2">
      <c r="Q1291"/>
    </row>
    <row r="1292" spans="17:17" x14ac:dyDescent="0.2">
      <c r="Q1292"/>
    </row>
    <row r="1293" spans="17:17" x14ac:dyDescent="0.2">
      <c r="Q1293"/>
    </row>
    <row r="1294" spans="17:17" x14ac:dyDescent="0.2">
      <c r="Q1294"/>
    </row>
    <row r="1295" spans="17:17" x14ac:dyDescent="0.2">
      <c r="Q1295"/>
    </row>
    <row r="1296" spans="17:17" x14ac:dyDescent="0.2">
      <c r="Q1296"/>
    </row>
    <row r="1297" spans="17:17" x14ac:dyDescent="0.2">
      <c r="Q1297"/>
    </row>
    <row r="1298" spans="17:17" x14ac:dyDescent="0.2">
      <c r="Q1298"/>
    </row>
    <row r="1299" spans="17:17" x14ac:dyDescent="0.2">
      <c r="Q1299"/>
    </row>
    <row r="1300" spans="17:17" x14ac:dyDescent="0.2">
      <c r="Q1300"/>
    </row>
    <row r="1301" spans="17:17" x14ac:dyDescent="0.2">
      <c r="Q1301"/>
    </row>
    <row r="1302" spans="17:17" x14ac:dyDescent="0.2">
      <c r="Q1302"/>
    </row>
    <row r="1303" spans="17:17" x14ac:dyDescent="0.2">
      <c r="Q1303"/>
    </row>
    <row r="1304" spans="17:17" x14ac:dyDescent="0.2">
      <c r="Q1304"/>
    </row>
    <row r="1305" spans="17:17" x14ac:dyDescent="0.2">
      <c r="Q1305"/>
    </row>
    <row r="1306" spans="17:17" x14ac:dyDescent="0.2">
      <c r="Q1306"/>
    </row>
    <row r="1307" spans="17:17" x14ac:dyDescent="0.2">
      <c r="Q1307"/>
    </row>
    <row r="1308" spans="17:17" x14ac:dyDescent="0.2">
      <c r="Q1308"/>
    </row>
    <row r="1309" spans="17:17" x14ac:dyDescent="0.2">
      <c r="Q1309"/>
    </row>
    <row r="1310" spans="17:17" x14ac:dyDescent="0.2">
      <c r="Q1310"/>
    </row>
    <row r="1311" spans="17:17" x14ac:dyDescent="0.2">
      <c r="Q1311"/>
    </row>
    <row r="1312" spans="17:17" x14ac:dyDescent="0.2">
      <c r="Q1312"/>
    </row>
    <row r="1313" spans="17:17" x14ac:dyDescent="0.2">
      <c r="Q1313"/>
    </row>
    <row r="1314" spans="17:17" x14ac:dyDescent="0.2">
      <c r="Q1314"/>
    </row>
    <row r="1315" spans="17:17" x14ac:dyDescent="0.2">
      <c r="Q1315"/>
    </row>
    <row r="1316" spans="17:17" x14ac:dyDescent="0.2">
      <c r="Q1316"/>
    </row>
    <row r="1317" spans="17:17" x14ac:dyDescent="0.2">
      <c r="Q1317"/>
    </row>
    <row r="1318" spans="17:17" x14ac:dyDescent="0.2">
      <c r="Q1318"/>
    </row>
    <row r="1319" spans="17:17" x14ac:dyDescent="0.2">
      <c r="Q1319"/>
    </row>
    <row r="1320" spans="17:17" x14ac:dyDescent="0.2">
      <c r="Q1320"/>
    </row>
    <row r="1321" spans="17:17" x14ac:dyDescent="0.2">
      <c r="Q1321"/>
    </row>
    <row r="1322" spans="17:17" x14ac:dyDescent="0.2">
      <c r="Q1322"/>
    </row>
    <row r="1323" spans="17:17" x14ac:dyDescent="0.2">
      <c r="Q1323"/>
    </row>
    <row r="1324" spans="17:17" x14ac:dyDescent="0.2">
      <c r="Q1324"/>
    </row>
    <row r="1325" spans="17:17" x14ac:dyDescent="0.2">
      <c r="Q1325"/>
    </row>
    <row r="1326" spans="17:17" x14ac:dyDescent="0.2">
      <c r="Q1326"/>
    </row>
    <row r="1327" spans="17:17" x14ac:dyDescent="0.2">
      <c r="Q1327"/>
    </row>
    <row r="1328" spans="17:17" x14ac:dyDescent="0.2">
      <c r="Q1328"/>
    </row>
    <row r="1329" spans="17:17" x14ac:dyDescent="0.2">
      <c r="Q1329"/>
    </row>
    <row r="1330" spans="17:17" x14ac:dyDescent="0.2">
      <c r="Q1330"/>
    </row>
    <row r="1331" spans="17:17" x14ac:dyDescent="0.2">
      <c r="Q1331"/>
    </row>
    <row r="1332" spans="17:17" x14ac:dyDescent="0.2">
      <c r="Q1332"/>
    </row>
    <row r="1333" spans="17:17" x14ac:dyDescent="0.2">
      <c r="Q1333"/>
    </row>
    <row r="1334" spans="17:17" x14ac:dyDescent="0.2">
      <c r="Q1334"/>
    </row>
    <row r="1335" spans="17:17" x14ac:dyDescent="0.2">
      <c r="Q1335"/>
    </row>
    <row r="1336" spans="17:17" x14ac:dyDescent="0.2">
      <c r="Q1336"/>
    </row>
    <row r="1337" spans="17:17" x14ac:dyDescent="0.2">
      <c r="Q1337"/>
    </row>
    <row r="1338" spans="17:17" x14ac:dyDescent="0.2">
      <c r="Q1338"/>
    </row>
    <row r="1339" spans="17:17" x14ac:dyDescent="0.2">
      <c r="Q1339"/>
    </row>
    <row r="1340" spans="17:17" x14ac:dyDescent="0.2">
      <c r="Q1340"/>
    </row>
    <row r="1341" spans="17:17" x14ac:dyDescent="0.2">
      <c r="Q1341"/>
    </row>
    <row r="1342" spans="17:17" x14ac:dyDescent="0.2">
      <c r="Q1342"/>
    </row>
    <row r="1343" spans="17:17" x14ac:dyDescent="0.2">
      <c r="Q1343"/>
    </row>
    <row r="1344" spans="17:17" x14ac:dyDescent="0.2">
      <c r="Q1344"/>
    </row>
    <row r="1345" spans="17:17" x14ac:dyDescent="0.2">
      <c r="Q1345"/>
    </row>
    <row r="1346" spans="17:17" x14ac:dyDescent="0.2">
      <c r="Q1346"/>
    </row>
    <row r="1347" spans="17:17" x14ac:dyDescent="0.2">
      <c r="Q1347"/>
    </row>
    <row r="1348" spans="17:17" x14ac:dyDescent="0.2">
      <c r="Q1348"/>
    </row>
    <row r="1349" spans="17:17" x14ac:dyDescent="0.2">
      <c r="Q1349"/>
    </row>
    <row r="1350" spans="17:17" x14ac:dyDescent="0.2">
      <c r="Q1350"/>
    </row>
    <row r="1351" spans="17:17" x14ac:dyDescent="0.2">
      <c r="Q1351"/>
    </row>
    <row r="1352" spans="17:17" x14ac:dyDescent="0.2">
      <c r="Q1352"/>
    </row>
    <row r="1353" spans="17:17" x14ac:dyDescent="0.2">
      <c r="Q1353"/>
    </row>
    <row r="1354" spans="17:17" x14ac:dyDescent="0.2">
      <c r="Q1354"/>
    </row>
    <row r="1355" spans="17:17" x14ac:dyDescent="0.2">
      <c r="Q1355"/>
    </row>
    <row r="1356" spans="17:17" x14ac:dyDescent="0.2">
      <c r="Q1356"/>
    </row>
    <row r="1357" spans="17:17" x14ac:dyDescent="0.2">
      <c r="Q1357"/>
    </row>
    <row r="1358" spans="17:17" x14ac:dyDescent="0.2">
      <c r="Q1358"/>
    </row>
    <row r="1359" spans="17:17" x14ac:dyDescent="0.2">
      <c r="Q1359"/>
    </row>
    <row r="1360" spans="17:17" x14ac:dyDescent="0.2">
      <c r="Q1360"/>
    </row>
    <row r="1361" spans="17:17" x14ac:dyDescent="0.2">
      <c r="Q1361"/>
    </row>
    <row r="1362" spans="17:17" x14ac:dyDescent="0.2">
      <c r="Q1362"/>
    </row>
    <row r="1363" spans="17:17" x14ac:dyDescent="0.2">
      <c r="Q1363"/>
    </row>
    <row r="1364" spans="17:17" x14ac:dyDescent="0.2">
      <c r="Q1364"/>
    </row>
    <row r="1365" spans="17:17" x14ac:dyDescent="0.2">
      <c r="Q1365"/>
    </row>
    <row r="1366" spans="17:17" x14ac:dyDescent="0.2">
      <c r="Q1366"/>
    </row>
    <row r="1367" spans="17:17" x14ac:dyDescent="0.2">
      <c r="Q1367"/>
    </row>
    <row r="1368" spans="17:17" x14ac:dyDescent="0.2">
      <c r="Q1368"/>
    </row>
    <row r="1369" spans="17:17" x14ac:dyDescent="0.2">
      <c r="Q1369"/>
    </row>
    <row r="1370" spans="17:17" x14ac:dyDescent="0.2">
      <c r="Q1370"/>
    </row>
    <row r="1371" spans="17:17" x14ac:dyDescent="0.2">
      <c r="Q1371"/>
    </row>
    <row r="1372" spans="17:17" x14ac:dyDescent="0.2">
      <c r="Q1372"/>
    </row>
    <row r="1373" spans="17:17" x14ac:dyDescent="0.2">
      <c r="Q1373"/>
    </row>
    <row r="1374" spans="17:17" x14ac:dyDescent="0.2">
      <c r="Q1374"/>
    </row>
    <row r="1375" spans="17:17" x14ac:dyDescent="0.2">
      <c r="Q1375"/>
    </row>
    <row r="1376" spans="17:17" x14ac:dyDescent="0.2">
      <c r="Q1376"/>
    </row>
    <row r="1377" spans="17:17" x14ac:dyDescent="0.2">
      <c r="Q1377"/>
    </row>
    <row r="1378" spans="17:17" x14ac:dyDescent="0.2">
      <c r="Q1378"/>
    </row>
    <row r="1379" spans="17:17" x14ac:dyDescent="0.2">
      <c r="Q1379"/>
    </row>
    <row r="1380" spans="17:17" x14ac:dyDescent="0.2">
      <c r="Q1380"/>
    </row>
    <row r="1381" spans="17:17" x14ac:dyDescent="0.2">
      <c r="Q1381"/>
    </row>
    <row r="1382" spans="17:17" x14ac:dyDescent="0.2">
      <c r="Q1382"/>
    </row>
    <row r="1383" spans="17:17" x14ac:dyDescent="0.2">
      <c r="Q1383"/>
    </row>
    <row r="1384" spans="17:17" x14ac:dyDescent="0.2">
      <c r="Q1384"/>
    </row>
    <row r="1385" spans="17:17" x14ac:dyDescent="0.2">
      <c r="Q1385"/>
    </row>
    <row r="1386" spans="17:17" x14ac:dyDescent="0.2">
      <c r="Q1386"/>
    </row>
    <row r="1387" spans="17:17" x14ac:dyDescent="0.2">
      <c r="Q1387"/>
    </row>
    <row r="1388" spans="17:17" x14ac:dyDescent="0.2">
      <c r="Q1388"/>
    </row>
    <row r="1389" spans="17:17" x14ac:dyDescent="0.2">
      <c r="Q1389"/>
    </row>
    <row r="1390" spans="17:17" x14ac:dyDescent="0.2">
      <c r="Q1390"/>
    </row>
    <row r="1391" spans="17:17" x14ac:dyDescent="0.2">
      <c r="Q1391"/>
    </row>
    <row r="1392" spans="17:17" x14ac:dyDescent="0.2">
      <c r="Q1392"/>
    </row>
    <row r="1393" spans="17:17" x14ac:dyDescent="0.2">
      <c r="Q1393"/>
    </row>
    <row r="1394" spans="17:17" x14ac:dyDescent="0.2">
      <c r="Q1394"/>
    </row>
    <row r="1395" spans="17:17" x14ac:dyDescent="0.2">
      <c r="Q1395"/>
    </row>
    <row r="1396" spans="17:17" x14ac:dyDescent="0.2">
      <c r="Q1396"/>
    </row>
    <row r="1397" spans="17:17" x14ac:dyDescent="0.2">
      <c r="Q1397"/>
    </row>
    <row r="1398" spans="17:17" x14ac:dyDescent="0.2">
      <c r="Q1398"/>
    </row>
    <row r="1399" spans="17:17" x14ac:dyDescent="0.2">
      <c r="Q1399"/>
    </row>
    <row r="1400" spans="17:17" x14ac:dyDescent="0.2">
      <c r="Q1400"/>
    </row>
    <row r="1401" spans="17:17" x14ac:dyDescent="0.2">
      <c r="Q1401"/>
    </row>
    <row r="1402" spans="17:17" x14ac:dyDescent="0.2">
      <c r="Q1402"/>
    </row>
    <row r="1403" spans="17:17" x14ac:dyDescent="0.2">
      <c r="Q1403"/>
    </row>
    <row r="1404" spans="17:17" x14ac:dyDescent="0.2">
      <c r="Q1404"/>
    </row>
    <row r="1405" spans="17:17" x14ac:dyDescent="0.2">
      <c r="Q1405"/>
    </row>
    <row r="1406" spans="17:17" x14ac:dyDescent="0.2">
      <c r="Q1406"/>
    </row>
    <row r="1407" spans="17:17" x14ac:dyDescent="0.2">
      <c r="Q1407"/>
    </row>
    <row r="1408" spans="17:17" x14ac:dyDescent="0.2">
      <c r="Q1408"/>
    </row>
    <row r="1409" spans="17:17" x14ac:dyDescent="0.2">
      <c r="Q1409"/>
    </row>
    <row r="1410" spans="17:17" x14ac:dyDescent="0.2">
      <c r="Q1410"/>
    </row>
    <row r="1411" spans="17:17" x14ac:dyDescent="0.2">
      <c r="Q1411"/>
    </row>
    <row r="1412" spans="17:17" x14ac:dyDescent="0.2">
      <c r="Q1412"/>
    </row>
    <row r="1413" spans="17:17" x14ac:dyDescent="0.2">
      <c r="Q1413"/>
    </row>
    <row r="1414" spans="17:17" x14ac:dyDescent="0.2">
      <c r="Q1414"/>
    </row>
    <row r="1415" spans="17:17" x14ac:dyDescent="0.2">
      <c r="Q1415"/>
    </row>
    <row r="1416" spans="17:17" x14ac:dyDescent="0.2">
      <c r="Q1416"/>
    </row>
    <row r="1417" spans="17:17" x14ac:dyDescent="0.2">
      <c r="Q1417"/>
    </row>
    <row r="1418" spans="17:17" x14ac:dyDescent="0.2">
      <c r="Q1418"/>
    </row>
    <row r="1419" spans="17:17" x14ac:dyDescent="0.2">
      <c r="Q1419"/>
    </row>
    <row r="1420" spans="17:17" x14ac:dyDescent="0.2">
      <c r="Q1420"/>
    </row>
    <row r="1421" spans="17:17" x14ac:dyDescent="0.2">
      <c r="Q1421"/>
    </row>
    <row r="1422" spans="17:17" x14ac:dyDescent="0.2">
      <c r="Q1422"/>
    </row>
    <row r="1423" spans="17:17" x14ac:dyDescent="0.2">
      <c r="Q1423"/>
    </row>
    <row r="1424" spans="17:17" x14ac:dyDescent="0.2">
      <c r="Q1424"/>
    </row>
    <row r="1425" spans="17:17" x14ac:dyDescent="0.2">
      <c r="Q1425"/>
    </row>
    <row r="1426" spans="17:17" x14ac:dyDescent="0.2">
      <c r="Q1426"/>
    </row>
    <row r="1427" spans="17:17" x14ac:dyDescent="0.2">
      <c r="Q1427"/>
    </row>
    <row r="1428" spans="17:17" x14ac:dyDescent="0.2">
      <c r="Q1428"/>
    </row>
    <row r="1429" spans="17:17" x14ac:dyDescent="0.2">
      <c r="Q1429"/>
    </row>
    <row r="1430" spans="17:17" x14ac:dyDescent="0.2">
      <c r="Q1430"/>
    </row>
    <row r="1431" spans="17:17" x14ac:dyDescent="0.2">
      <c r="Q1431"/>
    </row>
    <row r="1432" spans="17:17" x14ac:dyDescent="0.2">
      <c r="Q1432"/>
    </row>
    <row r="1433" spans="17:17" x14ac:dyDescent="0.2">
      <c r="Q1433"/>
    </row>
    <row r="1434" spans="17:17" x14ac:dyDescent="0.2">
      <c r="Q1434"/>
    </row>
    <row r="1435" spans="17:17" x14ac:dyDescent="0.2">
      <c r="Q1435"/>
    </row>
    <row r="1436" spans="17:17" x14ac:dyDescent="0.2">
      <c r="Q1436"/>
    </row>
    <row r="1437" spans="17:17" x14ac:dyDescent="0.2">
      <c r="Q1437"/>
    </row>
    <row r="1438" spans="17:17" x14ac:dyDescent="0.2">
      <c r="Q1438"/>
    </row>
    <row r="1439" spans="17:17" x14ac:dyDescent="0.2">
      <c r="Q1439"/>
    </row>
    <row r="1440" spans="17:17" x14ac:dyDescent="0.2">
      <c r="Q1440"/>
    </row>
    <row r="1441" spans="17:17" x14ac:dyDescent="0.2">
      <c r="Q1441"/>
    </row>
    <row r="1442" spans="17:17" x14ac:dyDescent="0.2">
      <c r="Q1442"/>
    </row>
    <row r="1443" spans="17:17" x14ac:dyDescent="0.2">
      <c r="Q1443"/>
    </row>
    <row r="1444" spans="17:17" x14ac:dyDescent="0.2">
      <c r="Q1444"/>
    </row>
    <row r="1445" spans="17:17" x14ac:dyDescent="0.2">
      <c r="Q1445"/>
    </row>
    <row r="1446" spans="17:17" x14ac:dyDescent="0.2">
      <c r="Q1446"/>
    </row>
    <row r="1447" spans="17:17" x14ac:dyDescent="0.2">
      <c r="Q1447"/>
    </row>
    <row r="1448" spans="17:17" x14ac:dyDescent="0.2">
      <c r="Q1448"/>
    </row>
    <row r="1449" spans="17:17" x14ac:dyDescent="0.2">
      <c r="Q1449"/>
    </row>
    <row r="1450" spans="17:17" x14ac:dyDescent="0.2">
      <c r="Q1450"/>
    </row>
    <row r="1451" spans="17:17" x14ac:dyDescent="0.2">
      <c r="Q1451"/>
    </row>
    <row r="1452" spans="17:17" x14ac:dyDescent="0.2">
      <c r="Q1452"/>
    </row>
    <row r="1453" spans="17:17" x14ac:dyDescent="0.2">
      <c r="Q1453"/>
    </row>
    <row r="1454" spans="17:17" x14ac:dyDescent="0.2">
      <c r="Q1454"/>
    </row>
    <row r="1455" spans="17:17" x14ac:dyDescent="0.2">
      <c r="Q1455"/>
    </row>
    <row r="1456" spans="17:17" x14ac:dyDescent="0.2">
      <c r="Q1456"/>
    </row>
    <row r="1457" spans="17:17" x14ac:dyDescent="0.2">
      <c r="Q1457"/>
    </row>
    <row r="1458" spans="17:17" x14ac:dyDescent="0.2">
      <c r="Q1458"/>
    </row>
    <row r="1459" spans="17:17" x14ac:dyDescent="0.2">
      <c r="Q1459"/>
    </row>
    <row r="1460" spans="17:17" x14ac:dyDescent="0.2">
      <c r="Q1460"/>
    </row>
    <row r="1461" spans="17:17" x14ac:dyDescent="0.2">
      <c r="Q1461"/>
    </row>
    <row r="1462" spans="17:17" x14ac:dyDescent="0.2">
      <c r="Q1462"/>
    </row>
    <row r="1463" spans="17:17" x14ac:dyDescent="0.2">
      <c r="Q1463"/>
    </row>
    <row r="1464" spans="17:17" x14ac:dyDescent="0.2">
      <c r="Q1464"/>
    </row>
    <row r="1465" spans="17:17" x14ac:dyDescent="0.2">
      <c r="Q1465"/>
    </row>
    <row r="1466" spans="17:17" x14ac:dyDescent="0.2">
      <c r="Q1466"/>
    </row>
    <row r="1467" spans="17:17" x14ac:dyDescent="0.2">
      <c r="Q1467"/>
    </row>
    <row r="1468" spans="17:17" x14ac:dyDescent="0.2">
      <c r="Q1468"/>
    </row>
    <row r="1469" spans="17:17" x14ac:dyDescent="0.2">
      <c r="Q1469"/>
    </row>
    <row r="1470" spans="17:17" x14ac:dyDescent="0.2">
      <c r="Q1470"/>
    </row>
    <row r="1471" spans="17:17" x14ac:dyDescent="0.2">
      <c r="Q1471"/>
    </row>
    <row r="1472" spans="17:17" x14ac:dyDescent="0.2">
      <c r="Q1472"/>
    </row>
    <row r="1473" spans="17:17" x14ac:dyDescent="0.2">
      <c r="Q1473"/>
    </row>
    <row r="1474" spans="17:17" x14ac:dyDescent="0.2">
      <c r="Q1474"/>
    </row>
    <row r="1475" spans="17:17" x14ac:dyDescent="0.2">
      <c r="Q1475"/>
    </row>
    <row r="1476" spans="17:17" x14ac:dyDescent="0.2">
      <c r="Q1476"/>
    </row>
    <row r="1477" spans="17:17" x14ac:dyDescent="0.2">
      <c r="Q1477"/>
    </row>
    <row r="1478" spans="17:17" x14ac:dyDescent="0.2">
      <c r="Q1478"/>
    </row>
    <row r="1479" spans="17:17" x14ac:dyDescent="0.2">
      <c r="Q1479"/>
    </row>
    <row r="1480" spans="17:17" x14ac:dyDescent="0.2">
      <c r="Q1480"/>
    </row>
    <row r="1481" spans="17:17" x14ac:dyDescent="0.2">
      <c r="Q1481"/>
    </row>
    <row r="1482" spans="17:17" x14ac:dyDescent="0.2">
      <c r="Q1482"/>
    </row>
    <row r="1483" spans="17:17" x14ac:dyDescent="0.2">
      <c r="Q1483"/>
    </row>
    <row r="1484" spans="17:17" x14ac:dyDescent="0.2">
      <c r="Q1484"/>
    </row>
    <row r="1485" spans="17:17" x14ac:dyDescent="0.2">
      <c r="Q1485"/>
    </row>
    <row r="1486" spans="17:17" x14ac:dyDescent="0.2">
      <c r="Q1486"/>
    </row>
    <row r="1487" spans="17:17" x14ac:dyDescent="0.2">
      <c r="Q1487"/>
    </row>
    <row r="1488" spans="17:17" x14ac:dyDescent="0.2">
      <c r="Q1488"/>
    </row>
    <row r="1489" spans="17:17" x14ac:dyDescent="0.2">
      <c r="Q1489"/>
    </row>
    <row r="1490" spans="17:17" x14ac:dyDescent="0.2">
      <c r="Q1490"/>
    </row>
    <row r="1491" spans="17:17" x14ac:dyDescent="0.2">
      <c r="Q1491"/>
    </row>
    <row r="1492" spans="17:17" x14ac:dyDescent="0.2">
      <c r="Q1492"/>
    </row>
    <row r="1493" spans="17:17" x14ac:dyDescent="0.2">
      <c r="Q1493"/>
    </row>
    <row r="1494" spans="17:17" x14ac:dyDescent="0.2">
      <c r="Q1494"/>
    </row>
    <row r="1495" spans="17:17" x14ac:dyDescent="0.2">
      <c r="Q1495"/>
    </row>
    <row r="1496" spans="17:17" x14ac:dyDescent="0.2">
      <c r="Q1496"/>
    </row>
    <row r="1497" spans="17:17" x14ac:dyDescent="0.2">
      <c r="Q1497"/>
    </row>
    <row r="1498" spans="17:17" x14ac:dyDescent="0.2">
      <c r="Q1498"/>
    </row>
    <row r="1499" spans="17:17" x14ac:dyDescent="0.2">
      <c r="Q1499"/>
    </row>
    <row r="1500" spans="17:17" x14ac:dyDescent="0.2">
      <c r="Q1500"/>
    </row>
    <row r="1501" spans="17:17" x14ac:dyDescent="0.2">
      <c r="Q1501"/>
    </row>
    <row r="1502" spans="17:17" x14ac:dyDescent="0.2">
      <c r="Q1502"/>
    </row>
    <row r="1503" spans="17:17" x14ac:dyDescent="0.2">
      <c r="Q1503"/>
    </row>
    <row r="1504" spans="17:17" x14ac:dyDescent="0.2">
      <c r="Q1504"/>
    </row>
    <row r="1505" spans="17:17" x14ac:dyDescent="0.2">
      <c r="Q1505"/>
    </row>
    <row r="1506" spans="17:17" x14ac:dyDescent="0.2">
      <c r="Q1506"/>
    </row>
    <row r="1507" spans="17:17" x14ac:dyDescent="0.2">
      <c r="Q1507"/>
    </row>
    <row r="1508" spans="17:17" x14ac:dyDescent="0.2">
      <c r="Q1508"/>
    </row>
    <row r="1509" spans="17:17" x14ac:dyDescent="0.2">
      <c r="Q1509"/>
    </row>
    <row r="1510" spans="17:17" x14ac:dyDescent="0.2">
      <c r="Q1510"/>
    </row>
    <row r="1511" spans="17:17" x14ac:dyDescent="0.2">
      <c r="Q1511"/>
    </row>
    <row r="1512" spans="17:17" x14ac:dyDescent="0.2">
      <c r="Q1512"/>
    </row>
    <row r="1513" spans="17:17" x14ac:dyDescent="0.2">
      <c r="Q1513"/>
    </row>
    <row r="1514" spans="17:17" x14ac:dyDescent="0.2">
      <c r="Q1514"/>
    </row>
    <row r="1515" spans="17:17" x14ac:dyDescent="0.2">
      <c r="Q1515"/>
    </row>
    <row r="1516" spans="17:17" x14ac:dyDescent="0.2">
      <c r="Q1516"/>
    </row>
    <row r="1517" spans="17:17" x14ac:dyDescent="0.2">
      <c r="Q1517"/>
    </row>
    <row r="1518" spans="17:17" x14ac:dyDescent="0.2">
      <c r="Q1518"/>
    </row>
    <row r="1519" spans="17:17" x14ac:dyDescent="0.2">
      <c r="Q1519"/>
    </row>
    <row r="1520" spans="17:17" x14ac:dyDescent="0.2">
      <c r="Q1520"/>
    </row>
    <row r="1521" spans="17:17" x14ac:dyDescent="0.2">
      <c r="Q1521"/>
    </row>
    <row r="1522" spans="17:17" x14ac:dyDescent="0.2">
      <c r="Q1522"/>
    </row>
    <row r="1523" spans="17:17" x14ac:dyDescent="0.2">
      <c r="Q1523"/>
    </row>
    <row r="1524" spans="17:17" x14ac:dyDescent="0.2">
      <c r="Q1524"/>
    </row>
    <row r="1525" spans="17:17" x14ac:dyDescent="0.2">
      <c r="Q1525"/>
    </row>
    <row r="1526" spans="17:17" x14ac:dyDescent="0.2">
      <c r="Q1526"/>
    </row>
    <row r="1527" spans="17:17" x14ac:dyDescent="0.2">
      <c r="Q1527"/>
    </row>
    <row r="1528" spans="17:17" x14ac:dyDescent="0.2">
      <c r="Q1528"/>
    </row>
    <row r="1529" spans="17:17" x14ac:dyDescent="0.2">
      <c r="Q1529"/>
    </row>
    <row r="1530" spans="17:17" x14ac:dyDescent="0.2">
      <c r="Q1530"/>
    </row>
    <row r="1531" spans="17:17" x14ac:dyDescent="0.2">
      <c r="Q1531"/>
    </row>
    <row r="1532" spans="17:17" x14ac:dyDescent="0.2">
      <c r="Q1532"/>
    </row>
    <row r="1533" spans="17:17" x14ac:dyDescent="0.2">
      <c r="Q1533"/>
    </row>
    <row r="1534" spans="17:17" x14ac:dyDescent="0.2">
      <c r="Q1534"/>
    </row>
    <row r="1535" spans="17:17" x14ac:dyDescent="0.2">
      <c r="Q1535"/>
    </row>
    <row r="1536" spans="17:17" x14ac:dyDescent="0.2">
      <c r="Q1536"/>
    </row>
    <row r="1537" spans="17:17" x14ac:dyDescent="0.2">
      <c r="Q1537"/>
    </row>
    <row r="1538" spans="17:17" x14ac:dyDescent="0.2">
      <c r="Q1538"/>
    </row>
    <row r="1539" spans="17:17" x14ac:dyDescent="0.2">
      <c r="Q1539"/>
    </row>
    <row r="1540" spans="17:17" x14ac:dyDescent="0.2">
      <c r="Q1540"/>
    </row>
    <row r="1541" spans="17:17" x14ac:dyDescent="0.2">
      <c r="Q1541"/>
    </row>
    <row r="1542" spans="17:17" x14ac:dyDescent="0.2">
      <c r="Q1542"/>
    </row>
    <row r="1543" spans="17:17" x14ac:dyDescent="0.2">
      <c r="Q1543"/>
    </row>
    <row r="1544" spans="17:17" x14ac:dyDescent="0.2">
      <c r="Q1544"/>
    </row>
    <row r="1545" spans="17:17" x14ac:dyDescent="0.2">
      <c r="Q1545"/>
    </row>
    <row r="1546" spans="17:17" x14ac:dyDescent="0.2">
      <c r="Q1546"/>
    </row>
    <row r="1547" spans="17:17" x14ac:dyDescent="0.2">
      <c r="Q1547"/>
    </row>
    <row r="1548" spans="17:17" x14ac:dyDescent="0.2">
      <c r="Q1548"/>
    </row>
    <row r="1549" spans="17:17" x14ac:dyDescent="0.2">
      <c r="Q1549"/>
    </row>
    <row r="1550" spans="17:17" x14ac:dyDescent="0.2">
      <c r="Q1550"/>
    </row>
    <row r="1551" spans="17:17" x14ac:dyDescent="0.2">
      <c r="Q1551"/>
    </row>
    <row r="1552" spans="17:17" x14ac:dyDescent="0.2">
      <c r="Q1552"/>
    </row>
    <row r="1553" spans="17:17" x14ac:dyDescent="0.2">
      <c r="Q1553"/>
    </row>
    <row r="1554" spans="17:17" x14ac:dyDescent="0.2">
      <c r="Q1554"/>
    </row>
    <row r="1555" spans="17:17" x14ac:dyDescent="0.2">
      <c r="Q1555"/>
    </row>
    <row r="1556" spans="17:17" x14ac:dyDescent="0.2">
      <c r="Q1556"/>
    </row>
    <row r="1557" spans="17:17" x14ac:dyDescent="0.2">
      <c r="Q1557"/>
    </row>
    <row r="1558" spans="17:17" x14ac:dyDescent="0.2">
      <c r="Q1558"/>
    </row>
    <row r="1559" spans="17:17" x14ac:dyDescent="0.2">
      <c r="Q1559"/>
    </row>
    <row r="1560" spans="17:17" x14ac:dyDescent="0.2">
      <c r="Q1560"/>
    </row>
    <row r="1561" spans="17:17" x14ac:dyDescent="0.2">
      <c r="Q1561"/>
    </row>
    <row r="1562" spans="17:17" x14ac:dyDescent="0.2">
      <c r="Q1562"/>
    </row>
    <row r="1563" spans="17:17" x14ac:dyDescent="0.2">
      <c r="Q1563"/>
    </row>
    <row r="1564" spans="17:17" x14ac:dyDescent="0.2">
      <c r="Q1564"/>
    </row>
    <row r="1565" spans="17:17" x14ac:dyDescent="0.2">
      <c r="Q1565"/>
    </row>
    <row r="1566" spans="17:17" x14ac:dyDescent="0.2">
      <c r="Q1566"/>
    </row>
    <row r="1567" spans="17:17" x14ac:dyDescent="0.2">
      <c r="Q1567"/>
    </row>
    <row r="1568" spans="17:17" x14ac:dyDescent="0.2">
      <c r="Q1568"/>
    </row>
    <row r="1569" spans="17:17" x14ac:dyDescent="0.2">
      <c r="Q1569"/>
    </row>
    <row r="1570" spans="17:17" x14ac:dyDescent="0.2">
      <c r="Q1570"/>
    </row>
    <row r="1571" spans="17:17" x14ac:dyDescent="0.2">
      <c r="Q1571"/>
    </row>
    <row r="1572" spans="17:17" x14ac:dyDescent="0.2">
      <c r="Q1572"/>
    </row>
    <row r="1573" spans="17:17" x14ac:dyDescent="0.2">
      <c r="Q1573"/>
    </row>
    <row r="1574" spans="17:17" x14ac:dyDescent="0.2">
      <c r="Q1574"/>
    </row>
    <row r="1575" spans="17:17" x14ac:dyDescent="0.2">
      <c r="Q1575"/>
    </row>
    <row r="1576" spans="17:17" x14ac:dyDescent="0.2">
      <c r="Q1576"/>
    </row>
    <row r="1577" spans="17:17" x14ac:dyDescent="0.2">
      <c r="Q1577"/>
    </row>
    <row r="1578" spans="17:17" x14ac:dyDescent="0.2">
      <c r="Q1578"/>
    </row>
    <row r="1579" spans="17:17" x14ac:dyDescent="0.2">
      <c r="Q1579"/>
    </row>
    <row r="1580" spans="17:17" x14ac:dyDescent="0.2">
      <c r="Q1580"/>
    </row>
    <row r="1581" spans="17:17" x14ac:dyDescent="0.2">
      <c r="Q1581"/>
    </row>
    <row r="1582" spans="17:17" x14ac:dyDescent="0.2">
      <c r="Q1582"/>
    </row>
    <row r="1583" spans="17:17" x14ac:dyDescent="0.2">
      <c r="Q1583"/>
    </row>
    <row r="1584" spans="17:17" x14ac:dyDescent="0.2">
      <c r="Q1584"/>
    </row>
    <row r="1585" spans="17:17" x14ac:dyDescent="0.2">
      <c r="Q1585"/>
    </row>
    <row r="1586" spans="17:17" x14ac:dyDescent="0.2">
      <c r="Q1586"/>
    </row>
    <row r="1587" spans="17:17" x14ac:dyDescent="0.2">
      <c r="Q1587"/>
    </row>
    <row r="1588" spans="17:17" x14ac:dyDescent="0.2">
      <c r="Q1588"/>
    </row>
    <row r="1589" spans="17:17" x14ac:dyDescent="0.2">
      <c r="Q1589"/>
    </row>
    <row r="1590" spans="17:17" x14ac:dyDescent="0.2">
      <c r="Q1590"/>
    </row>
    <row r="1591" spans="17:17" x14ac:dyDescent="0.2">
      <c r="Q1591"/>
    </row>
    <row r="1592" spans="17:17" x14ac:dyDescent="0.2">
      <c r="Q1592"/>
    </row>
    <row r="1593" spans="17:17" x14ac:dyDescent="0.2">
      <c r="Q1593"/>
    </row>
    <row r="1594" spans="17:17" x14ac:dyDescent="0.2">
      <c r="Q1594"/>
    </row>
    <row r="1595" spans="17:17" x14ac:dyDescent="0.2">
      <c r="Q1595"/>
    </row>
    <row r="1596" spans="17:17" x14ac:dyDescent="0.2">
      <c r="Q1596"/>
    </row>
    <row r="1597" spans="17:17" x14ac:dyDescent="0.2">
      <c r="Q1597"/>
    </row>
    <row r="1598" spans="17:17" x14ac:dyDescent="0.2">
      <c r="Q1598"/>
    </row>
    <row r="1599" spans="17:17" x14ac:dyDescent="0.2">
      <c r="Q1599"/>
    </row>
    <row r="1600" spans="17:17" x14ac:dyDescent="0.2">
      <c r="Q1600"/>
    </row>
    <row r="1601" spans="17:17" x14ac:dyDescent="0.2">
      <c r="Q1601"/>
    </row>
    <row r="1602" spans="17:17" x14ac:dyDescent="0.2">
      <c r="Q1602"/>
    </row>
    <row r="1603" spans="17:17" x14ac:dyDescent="0.2">
      <c r="Q1603"/>
    </row>
    <row r="1604" spans="17:17" x14ac:dyDescent="0.2">
      <c r="Q1604"/>
    </row>
    <row r="1605" spans="17:17" x14ac:dyDescent="0.2">
      <c r="Q1605"/>
    </row>
    <row r="1606" spans="17:17" x14ac:dyDescent="0.2">
      <c r="Q1606"/>
    </row>
    <row r="1607" spans="17:17" x14ac:dyDescent="0.2">
      <c r="Q1607"/>
    </row>
    <row r="1608" spans="17:17" x14ac:dyDescent="0.2">
      <c r="Q1608"/>
    </row>
    <row r="1609" spans="17:17" x14ac:dyDescent="0.2">
      <c r="Q1609"/>
    </row>
    <row r="1610" spans="17:17" x14ac:dyDescent="0.2">
      <c r="Q1610"/>
    </row>
    <row r="1611" spans="17:17" x14ac:dyDescent="0.2">
      <c r="Q1611"/>
    </row>
    <row r="1612" spans="17:17" x14ac:dyDescent="0.2">
      <c r="Q1612"/>
    </row>
    <row r="1613" spans="17:17" x14ac:dyDescent="0.2">
      <c r="Q1613"/>
    </row>
    <row r="1614" spans="17:17" x14ac:dyDescent="0.2">
      <c r="Q1614"/>
    </row>
    <row r="1615" spans="17:17" x14ac:dyDescent="0.2">
      <c r="Q1615"/>
    </row>
    <row r="1616" spans="17:17" x14ac:dyDescent="0.2">
      <c r="Q1616"/>
    </row>
    <row r="1617" spans="17:17" x14ac:dyDescent="0.2">
      <c r="Q1617"/>
    </row>
    <row r="1618" spans="17:17" x14ac:dyDescent="0.2">
      <c r="Q1618"/>
    </row>
    <row r="1619" spans="17:17" x14ac:dyDescent="0.2">
      <c r="Q1619"/>
    </row>
    <row r="1620" spans="17:17" x14ac:dyDescent="0.2">
      <c r="Q1620"/>
    </row>
    <row r="1621" spans="17:17" x14ac:dyDescent="0.2">
      <c r="Q1621"/>
    </row>
    <row r="1622" spans="17:17" x14ac:dyDescent="0.2">
      <c r="Q1622"/>
    </row>
    <row r="1623" spans="17:17" x14ac:dyDescent="0.2">
      <c r="Q1623"/>
    </row>
    <row r="1624" spans="17:17" x14ac:dyDescent="0.2">
      <c r="Q1624"/>
    </row>
    <row r="1625" spans="17:17" x14ac:dyDescent="0.2">
      <c r="Q1625"/>
    </row>
    <row r="1626" spans="17:17" x14ac:dyDescent="0.2">
      <c r="Q1626"/>
    </row>
    <row r="1627" spans="17:17" x14ac:dyDescent="0.2">
      <c r="Q1627"/>
    </row>
    <row r="1628" spans="17:17" x14ac:dyDescent="0.2">
      <c r="Q1628"/>
    </row>
    <row r="1629" spans="17:17" x14ac:dyDescent="0.2">
      <c r="Q1629"/>
    </row>
    <row r="1630" spans="17:17" x14ac:dyDescent="0.2">
      <c r="Q1630"/>
    </row>
    <row r="1631" spans="17:17" x14ac:dyDescent="0.2">
      <c r="Q1631"/>
    </row>
    <row r="1632" spans="17:17" x14ac:dyDescent="0.2">
      <c r="Q1632"/>
    </row>
    <row r="1633" spans="17:17" x14ac:dyDescent="0.2">
      <c r="Q1633"/>
    </row>
    <row r="1634" spans="17:17" x14ac:dyDescent="0.2">
      <c r="Q1634"/>
    </row>
    <row r="1635" spans="17:17" x14ac:dyDescent="0.2">
      <c r="Q1635"/>
    </row>
    <row r="1636" spans="17:17" x14ac:dyDescent="0.2">
      <c r="Q1636"/>
    </row>
    <row r="1637" spans="17:17" x14ac:dyDescent="0.2">
      <c r="Q1637"/>
    </row>
    <row r="1638" spans="17:17" x14ac:dyDescent="0.2">
      <c r="Q1638"/>
    </row>
    <row r="1639" spans="17:17" x14ac:dyDescent="0.2">
      <c r="Q1639"/>
    </row>
    <row r="1640" spans="17:17" x14ac:dyDescent="0.2">
      <c r="Q1640"/>
    </row>
    <row r="1641" spans="17:17" x14ac:dyDescent="0.2">
      <c r="Q1641"/>
    </row>
    <row r="1642" spans="17:17" x14ac:dyDescent="0.2">
      <c r="Q1642"/>
    </row>
    <row r="1643" spans="17:17" x14ac:dyDescent="0.2">
      <c r="Q1643"/>
    </row>
    <row r="1644" spans="17:17" x14ac:dyDescent="0.2">
      <c r="Q1644"/>
    </row>
    <row r="1645" spans="17:17" x14ac:dyDescent="0.2">
      <c r="Q1645"/>
    </row>
    <row r="1646" spans="17:17" x14ac:dyDescent="0.2">
      <c r="Q1646"/>
    </row>
    <row r="1647" spans="17:17" x14ac:dyDescent="0.2">
      <c r="Q1647"/>
    </row>
    <row r="1648" spans="17:17" x14ac:dyDescent="0.2">
      <c r="Q1648"/>
    </row>
    <row r="1649" spans="17:17" x14ac:dyDescent="0.2">
      <c r="Q1649"/>
    </row>
    <row r="1650" spans="17:17" x14ac:dyDescent="0.2">
      <c r="Q1650"/>
    </row>
    <row r="1651" spans="17:17" x14ac:dyDescent="0.2">
      <c r="Q1651"/>
    </row>
    <row r="1652" spans="17:17" x14ac:dyDescent="0.2">
      <c r="Q1652"/>
    </row>
    <row r="1653" spans="17:17" x14ac:dyDescent="0.2">
      <c r="Q1653"/>
    </row>
    <row r="1654" spans="17:17" x14ac:dyDescent="0.2">
      <c r="Q1654"/>
    </row>
    <row r="1655" spans="17:17" x14ac:dyDescent="0.2">
      <c r="Q1655"/>
    </row>
    <row r="1656" spans="17:17" x14ac:dyDescent="0.2">
      <c r="Q1656"/>
    </row>
    <row r="1657" spans="17:17" x14ac:dyDescent="0.2">
      <c r="Q1657"/>
    </row>
    <row r="1658" spans="17:17" x14ac:dyDescent="0.2">
      <c r="Q1658"/>
    </row>
    <row r="1659" spans="17:17" x14ac:dyDescent="0.2">
      <c r="Q1659"/>
    </row>
    <row r="1660" spans="17:17" x14ac:dyDescent="0.2">
      <c r="Q1660"/>
    </row>
    <row r="1661" spans="17:17" x14ac:dyDescent="0.2">
      <c r="Q1661"/>
    </row>
    <row r="1662" spans="17:17" x14ac:dyDescent="0.2">
      <c r="Q1662"/>
    </row>
    <row r="1663" spans="17:17" x14ac:dyDescent="0.2">
      <c r="Q1663"/>
    </row>
    <row r="1664" spans="17:17" x14ac:dyDescent="0.2">
      <c r="Q1664"/>
    </row>
    <row r="1665" spans="17:17" x14ac:dyDescent="0.2">
      <c r="Q1665"/>
    </row>
    <row r="1666" spans="17:17" x14ac:dyDescent="0.2">
      <c r="Q1666"/>
    </row>
    <row r="1667" spans="17:17" x14ac:dyDescent="0.2">
      <c r="Q1667"/>
    </row>
    <row r="1668" spans="17:17" x14ac:dyDescent="0.2">
      <c r="Q1668"/>
    </row>
    <row r="1669" spans="17:17" x14ac:dyDescent="0.2">
      <c r="Q1669"/>
    </row>
    <row r="1670" spans="17:17" x14ac:dyDescent="0.2">
      <c r="Q1670"/>
    </row>
    <row r="1671" spans="17:17" x14ac:dyDescent="0.2">
      <c r="Q1671"/>
    </row>
    <row r="1672" spans="17:17" x14ac:dyDescent="0.2">
      <c r="Q1672"/>
    </row>
    <row r="1673" spans="17:17" x14ac:dyDescent="0.2">
      <c r="Q1673"/>
    </row>
    <row r="1674" spans="17:17" x14ac:dyDescent="0.2">
      <c r="Q1674"/>
    </row>
    <row r="1675" spans="17:17" x14ac:dyDescent="0.2">
      <c r="Q1675"/>
    </row>
    <row r="1676" spans="17:17" x14ac:dyDescent="0.2">
      <c r="Q1676"/>
    </row>
    <row r="1677" spans="17:17" x14ac:dyDescent="0.2">
      <c r="Q1677"/>
    </row>
    <row r="1678" spans="17:17" x14ac:dyDescent="0.2">
      <c r="Q1678"/>
    </row>
    <row r="1679" spans="17:17" x14ac:dyDescent="0.2">
      <c r="Q1679"/>
    </row>
    <row r="1680" spans="17:17" x14ac:dyDescent="0.2">
      <c r="Q1680"/>
    </row>
    <row r="1681" spans="17:17" x14ac:dyDescent="0.2">
      <c r="Q1681"/>
    </row>
    <row r="1682" spans="17:17" x14ac:dyDescent="0.2">
      <c r="Q1682"/>
    </row>
    <row r="1683" spans="17:17" x14ac:dyDescent="0.2">
      <c r="Q1683"/>
    </row>
    <row r="1684" spans="17:17" x14ac:dyDescent="0.2">
      <c r="Q1684"/>
    </row>
    <row r="1685" spans="17:17" x14ac:dyDescent="0.2">
      <c r="Q1685"/>
    </row>
    <row r="1686" spans="17:17" x14ac:dyDescent="0.2">
      <c r="Q1686"/>
    </row>
    <row r="1687" spans="17:17" x14ac:dyDescent="0.2">
      <c r="Q1687"/>
    </row>
    <row r="1688" spans="17:17" x14ac:dyDescent="0.2">
      <c r="Q1688"/>
    </row>
    <row r="1689" spans="17:17" x14ac:dyDescent="0.2">
      <c r="Q1689"/>
    </row>
    <row r="1690" spans="17:17" x14ac:dyDescent="0.2">
      <c r="Q1690"/>
    </row>
    <row r="1691" spans="17:17" x14ac:dyDescent="0.2">
      <c r="Q1691"/>
    </row>
    <row r="1692" spans="17:17" x14ac:dyDescent="0.2">
      <c r="Q1692"/>
    </row>
    <row r="1693" spans="17:17" x14ac:dyDescent="0.2">
      <c r="Q1693"/>
    </row>
    <row r="1694" spans="17:17" x14ac:dyDescent="0.2">
      <c r="Q1694"/>
    </row>
    <row r="1695" spans="17:17" x14ac:dyDescent="0.2">
      <c r="Q1695"/>
    </row>
    <row r="1696" spans="17:17" x14ac:dyDescent="0.2">
      <c r="Q1696"/>
    </row>
    <row r="1697" spans="17:17" x14ac:dyDescent="0.2">
      <c r="Q1697"/>
    </row>
    <row r="1698" spans="17:17" x14ac:dyDescent="0.2">
      <c r="Q1698"/>
    </row>
    <row r="1699" spans="17:17" x14ac:dyDescent="0.2">
      <c r="Q1699"/>
    </row>
    <row r="1700" spans="17:17" x14ac:dyDescent="0.2">
      <c r="Q1700"/>
    </row>
    <row r="1701" spans="17:17" x14ac:dyDescent="0.2">
      <c r="Q1701"/>
    </row>
    <row r="1702" spans="17:17" x14ac:dyDescent="0.2">
      <c r="Q1702"/>
    </row>
    <row r="1703" spans="17:17" x14ac:dyDescent="0.2">
      <c r="Q1703"/>
    </row>
    <row r="1704" spans="17:17" x14ac:dyDescent="0.2">
      <c r="Q1704"/>
    </row>
    <row r="1705" spans="17:17" x14ac:dyDescent="0.2">
      <c r="Q1705"/>
    </row>
    <row r="1706" spans="17:17" x14ac:dyDescent="0.2">
      <c r="Q1706"/>
    </row>
    <row r="1707" spans="17:17" x14ac:dyDescent="0.2">
      <c r="Q1707"/>
    </row>
    <row r="1708" spans="17:17" x14ac:dyDescent="0.2">
      <c r="Q1708"/>
    </row>
    <row r="1709" spans="17:17" x14ac:dyDescent="0.2">
      <c r="Q1709"/>
    </row>
    <row r="1710" spans="17:17" x14ac:dyDescent="0.2">
      <c r="Q1710"/>
    </row>
    <row r="1711" spans="17:17" x14ac:dyDescent="0.2">
      <c r="Q1711"/>
    </row>
    <row r="1712" spans="17:17" x14ac:dyDescent="0.2">
      <c r="Q1712"/>
    </row>
    <row r="1713" spans="17:17" x14ac:dyDescent="0.2">
      <c r="Q1713"/>
    </row>
    <row r="1714" spans="17:17" x14ac:dyDescent="0.2">
      <c r="Q1714"/>
    </row>
    <row r="1715" spans="17:17" x14ac:dyDescent="0.2">
      <c r="Q1715"/>
    </row>
    <row r="1716" spans="17:17" x14ac:dyDescent="0.2">
      <c r="Q1716"/>
    </row>
    <row r="1717" spans="17:17" x14ac:dyDescent="0.2">
      <c r="Q1717"/>
    </row>
    <row r="1718" spans="17:17" x14ac:dyDescent="0.2">
      <c r="Q1718"/>
    </row>
    <row r="1719" spans="17:17" x14ac:dyDescent="0.2">
      <c r="Q1719"/>
    </row>
    <row r="1720" spans="17:17" x14ac:dyDescent="0.2">
      <c r="Q1720"/>
    </row>
    <row r="1721" spans="17:17" x14ac:dyDescent="0.2">
      <c r="Q1721"/>
    </row>
    <row r="1722" spans="17:17" x14ac:dyDescent="0.2">
      <c r="Q1722"/>
    </row>
    <row r="1723" spans="17:17" x14ac:dyDescent="0.2">
      <c r="Q1723"/>
    </row>
    <row r="1724" spans="17:17" x14ac:dyDescent="0.2">
      <c r="Q1724"/>
    </row>
    <row r="1725" spans="17:17" x14ac:dyDescent="0.2">
      <c r="Q1725"/>
    </row>
    <row r="1726" spans="17:17" x14ac:dyDescent="0.2">
      <c r="Q1726"/>
    </row>
    <row r="1727" spans="17:17" x14ac:dyDescent="0.2">
      <c r="Q1727"/>
    </row>
    <row r="1728" spans="17:17" x14ac:dyDescent="0.2">
      <c r="Q1728"/>
    </row>
    <row r="1729" spans="17:17" x14ac:dyDescent="0.2">
      <c r="Q1729"/>
    </row>
    <row r="1730" spans="17:17" x14ac:dyDescent="0.2">
      <c r="Q1730"/>
    </row>
    <row r="1731" spans="17:17" x14ac:dyDescent="0.2">
      <c r="Q1731"/>
    </row>
    <row r="1732" spans="17:17" x14ac:dyDescent="0.2">
      <c r="Q1732"/>
    </row>
    <row r="1733" spans="17:17" x14ac:dyDescent="0.2">
      <c r="Q1733"/>
    </row>
    <row r="1734" spans="17:17" x14ac:dyDescent="0.2">
      <c r="Q1734"/>
    </row>
    <row r="1735" spans="17:17" x14ac:dyDescent="0.2">
      <c r="Q1735"/>
    </row>
    <row r="1736" spans="17:17" x14ac:dyDescent="0.2">
      <c r="Q1736"/>
    </row>
    <row r="1737" spans="17:17" x14ac:dyDescent="0.2">
      <c r="Q1737"/>
    </row>
    <row r="1738" spans="17:17" x14ac:dyDescent="0.2">
      <c r="Q1738"/>
    </row>
    <row r="1739" spans="17:17" x14ac:dyDescent="0.2">
      <c r="Q1739"/>
    </row>
    <row r="1740" spans="17:17" x14ac:dyDescent="0.2">
      <c r="Q1740"/>
    </row>
    <row r="1741" spans="17:17" x14ac:dyDescent="0.2">
      <c r="Q1741"/>
    </row>
    <row r="1742" spans="17:17" x14ac:dyDescent="0.2">
      <c r="Q1742"/>
    </row>
    <row r="1743" spans="17:17" x14ac:dyDescent="0.2">
      <c r="Q1743"/>
    </row>
    <row r="1744" spans="17:17" x14ac:dyDescent="0.2">
      <c r="Q1744"/>
    </row>
    <row r="1745" spans="17:17" x14ac:dyDescent="0.2">
      <c r="Q1745"/>
    </row>
    <row r="1746" spans="17:17" x14ac:dyDescent="0.2">
      <c r="Q1746"/>
    </row>
    <row r="1747" spans="17:17" x14ac:dyDescent="0.2">
      <c r="Q1747"/>
    </row>
    <row r="1748" spans="17:17" x14ac:dyDescent="0.2">
      <c r="Q1748"/>
    </row>
    <row r="1749" spans="17:17" x14ac:dyDescent="0.2">
      <c r="Q1749"/>
    </row>
    <row r="1750" spans="17:17" x14ac:dyDescent="0.2">
      <c r="Q1750"/>
    </row>
    <row r="1751" spans="17:17" x14ac:dyDescent="0.2">
      <c r="Q1751"/>
    </row>
    <row r="1752" spans="17:17" x14ac:dyDescent="0.2">
      <c r="Q1752"/>
    </row>
    <row r="1753" spans="17:17" x14ac:dyDescent="0.2">
      <c r="Q1753"/>
    </row>
    <row r="1754" spans="17:17" x14ac:dyDescent="0.2">
      <c r="Q1754"/>
    </row>
    <row r="1755" spans="17:17" x14ac:dyDescent="0.2">
      <c r="Q1755"/>
    </row>
    <row r="1756" spans="17:17" x14ac:dyDescent="0.2">
      <c r="Q1756"/>
    </row>
    <row r="1757" spans="17:17" x14ac:dyDescent="0.2">
      <c r="Q1757"/>
    </row>
    <row r="1758" spans="17:17" x14ac:dyDescent="0.2">
      <c r="Q1758"/>
    </row>
    <row r="1759" spans="17:17" x14ac:dyDescent="0.2">
      <c r="Q1759"/>
    </row>
    <row r="1760" spans="17:17" x14ac:dyDescent="0.2">
      <c r="Q1760"/>
    </row>
    <row r="1761" spans="17:17" x14ac:dyDescent="0.2">
      <c r="Q1761"/>
    </row>
    <row r="1762" spans="17:17" x14ac:dyDescent="0.2">
      <c r="Q1762"/>
    </row>
    <row r="1763" spans="17:17" x14ac:dyDescent="0.2">
      <c r="Q1763"/>
    </row>
    <row r="1764" spans="17:17" x14ac:dyDescent="0.2">
      <c r="Q1764"/>
    </row>
    <row r="1765" spans="17:17" x14ac:dyDescent="0.2">
      <c r="Q1765"/>
    </row>
    <row r="1766" spans="17:17" x14ac:dyDescent="0.2">
      <c r="Q1766"/>
    </row>
    <row r="1767" spans="17:17" x14ac:dyDescent="0.2">
      <c r="Q1767"/>
    </row>
    <row r="1768" spans="17:17" x14ac:dyDescent="0.2">
      <c r="Q1768"/>
    </row>
    <row r="1769" spans="17:17" x14ac:dyDescent="0.2">
      <c r="Q1769"/>
    </row>
    <row r="1770" spans="17:17" x14ac:dyDescent="0.2">
      <c r="Q1770"/>
    </row>
    <row r="1771" spans="17:17" x14ac:dyDescent="0.2">
      <c r="Q1771"/>
    </row>
    <row r="1772" spans="17:17" x14ac:dyDescent="0.2">
      <c r="Q1772"/>
    </row>
    <row r="1773" spans="17:17" x14ac:dyDescent="0.2">
      <c r="Q1773"/>
    </row>
    <row r="1774" spans="17:17" x14ac:dyDescent="0.2">
      <c r="Q1774"/>
    </row>
    <row r="1775" spans="17:17" x14ac:dyDescent="0.2">
      <c r="Q1775"/>
    </row>
    <row r="1776" spans="17:17" x14ac:dyDescent="0.2">
      <c r="Q1776"/>
    </row>
    <row r="1777" spans="17:17" x14ac:dyDescent="0.2">
      <c r="Q1777"/>
    </row>
    <row r="1778" spans="17:17" x14ac:dyDescent="0.2">
      <c r="Q1778"/>
    </row>
    <row r="1779" spans="17:17" x14ac:dyDescent="0.2">
      <c r="Q1779"/>
    </row>
    <row r="1780" spans="17:17" x14ac:dyDescent="0.2">
      <c r="Q1780"/>
    </row>
    <row r="1781" spans="17:17" x14ac:dyDescent="0.2">
      <c r="Q1781"/>
    </row>
    <row r="1782" spans="17:17" x14ac:dyDescent="0.2">
      <c r="Q1782"/>
    </row>
    <row r="1783" spans="17:17" x14ac:dyDescent="0.2">
      <c r="Q1783"/>
    </row>
    <row r="1784" spans="17:17" x14ac:dyDescent="0.2">
      <c r="Q1784"/>
    </row>
    <row r="1785" spans="17:17" x14ac:dyDescent="0.2">
      <c r="Q1785"/>
    </row>
    <row r="1786" spans="17:17" x14ac:dyDescent="0.2">
      <c r="Q1786"/>
    </row>
    <row r="1787" spans="17:17" x14ac:dyDescent="0.2">
      <c r="Q1787"/>
    </row>
    <row r="1788" spans="17:17" x14ac:dyDescent="0.2">
      <c r="Q1788"/>
    </row>
    <row r="1789" spans="17:17" x14ac:dyDescent="0.2">
      <c r="Q1789"/>
    </row>
    <row r="1790" spans="17:17" x14ac:dyDescent="0.2">
      <c r="Q1790"/>
    </row>
    <row r="1791" spans="17:17" x14ac:dyDescent="0.2">
      <c r="Q1791"/>
    </row>
    <row r="1792" spans="17:17" x14ac:dyDescent="0.2">
      <c r="Q1792"/>
    </row>
    <row r="1793" spans="17:17" x14ac:dyDescent="0.2">
      <c r="Q1793"/>
    </row>
    <row r="1794" spans="17:17" x14ac:dyDescent="0.2">
      <c r="Q1794"/>
    </row>
    <row r="1795" spans="17:17" x14ac:dyDescent="0.2">
      <c r="Q1795"/>
    </row>
    <row r="1796" spans="17:17" x14ac:dyDescent="0.2">
      <c r="Q1796"/>
    </row>
    <row r="1797" spans="17:17" x14ac:dyDescent="0.2">
      <c r="Q1797"/>
    </row>
    <row r="1798" spans="17:17" x14ac:dyDescent="0.2">
      <c r="Q1798"/>
    </row>
    <row r="1799" spans="17:17" x14ac:dyDescent="0.2">
      <c r="Q1799"/>
    </row>
    <row r="1800" spans="17:17" x14ac:dyDescent="0.2">
      <c r="Q1800"/>
    </row>
    <row r="1801" spans="17:17" x14ac:dyDescent="0.2">
      <c r="Q1801"/>
    </row>
    <row r="1802" spans="17:17" x14ac:dyDescent="0.2">
      <c r="Q1802"/>
    </row>
    <row r="1803" spans="17:17" x14ac:dyDescent="0.2">
      <c r="Q1803"/>
    </row>
    <row r="1804" spans="17:17" x14ac:dyDescent="0.2">
      <c r="Q1804"/>
    </row>
    <row r="1805" spans="17:17" x14ac:dyDescent="0.2">
      <c r="Q1805"/>
    </row>
    <row r="1806" spans="17:17" x14ac:dyDescent="0.2">
      <c r="Q1806"/>
    </row>
    <row r="1807" spans="17:17" x14ac:dyDescent="0.2">
      <c r="Q1807"/>
    </row>
    <row r="1808" spans="17:17" x14ac:dyDescent="0.2">
      <c r="Q1808"/>
    </row>
    <row r="1809" spans="17:17" x14ac:dyDescent="0.2">
      <c r="Q1809"/>
    </row>
    <row r="1810" spans="17:17" x14ac:dyDescent="0.2">
      <c r="Q1810"/>
    </row>
    <row r="1811" spans="17:17" x14ac:dyDescent="0.2">
      <c r="Q1811"/>
    </row>
    <row r="1812" spans="17:17" x14ac:dyDescent="0.2">
      <c r="Q1812"/>
    </row>
    <row r="1813" spans="17:17" x14ac:dyDescent="0.2">
      <c r="Q1813"/>
    </row>
    <row r="1814" spans="17:17" x14ac:dyDescent="0.2">
      <c r="Q1814"/>
    </row>
    <row r="1815" spans="17:17" x14ac:dyDescent="0.2">
      <c r="Q1815"/>
    </row>
    <row r="1816" spans="17:17" x14ac:dyDescent="0.2">
      <c r="Q1816"/>
    </row>
    <row r="1817" spans="17:17" x14ac:dyDescent="0.2">
      <c r="Q1817"/>
    </row>
    <row r="1818" spans="17:17" x14ac:dyDescent="0.2">
      <c r="Q1818"/>
    </row>
    <row r="1819" spans="17:17" x14ac:dyDescent="0.2">
      <c r="Q1819"/>
    </row>
    <row r="1820" spans="17:17" x14ac:dyDescent="0.2">
      <c r="Q1820"/>
    </row>
    <row r="1821" spans="17:17" x14ac:dyDescent="0.2">
      <c r="Q1821"/>
    </row>
    <row r="1822" spans="17:17" x14ac:dyDescent="0.2">
      <c r="Q1822"/>
    </row>
    <row r="1823" spans="17:17" x14ac:dyDescent="0.2">
      <c r="Q1823"/>
    </row>
    <row r="1824" spans="17:17" x14ac:dyDescent="0.2">
      <c r="Q1824"/>
    </row>
    <row r="1825" spans="17:17" x14ac:dyDescent="0.2">
      <c r="Q1825"/>
    </row>
    <row r="1826" spans="17:17" x14ac:dyDescent="0.2">
      <c r="Q1826"/>
    </row>
    <row r="1827" spans="17:17" x14ac:dyDescent="0.2">
      <c r="Q1827"/>
    </row>
    <row r="1828" spans="17:17" x14ac:dyDescent="0.2">
      <c r="Q1828"/>
    </row>
    <row r="1829" spans="17:17" x14ac:dyDescent="0.2">
      <c r="Q1829"/>
    </row>
    <row r="1830" spans="17:17" x14ac:dyDescent="0.2">
      <c r="Q1830"/>
    </row>
    <row r="1831" spans="17:17" x14ac:dyDescent="0.2">
      <c r="Q1831"/>
    </row>
    <row r="1832" spans="17:17" x14ac:dyDescent="0.2">
      <c r="Q1832"/>
    </row>
    <row r="1833" spans="17:17" x14ac:dyDescent="0.2">
      <c r="Q1833"/>
    </row>
    <row r="1834" spans="17:17" x14ac:dyDescent="0.2">
      <c r="Q1834"/>
    </row>
    <row r="1835" spans="17:17" x14ac:dyDescent="0.2">
      <c r="Q1835"/>
    </row>
    <row r="1836" spans="17:17" x14ac:dyDescent="0.2">
      <c r="Q1836"/>
    </row>
    <row r="1837" spans="17:17" x14ac:dyDescent="0.2">
      <c r="Q1837"/>
    </row>
    <row r="1838" spans="17:17" x14ac:dyDescent="0.2">
      <c r="Q1838"/>
    </row>
    <row r="1839" spans="17:17" x14ac:dyDescent="0.2">
      <c r="Q1839"/>
    </row>
    <row r="1840" spans="17:17" x14ac:dyDescent="0.2">
      <c r="Q1840"/>
    </row>
    <row r="1841" spans="17:17" x14ac:dyDescent="0.2">
      <c r="Q1841"/>
    </row>
    <row r="1842" spans="17:17" x14ac:dyDescent="0.2">
      <c r="Q1842"/>
    </row>
    <row r="1843" spans="17:17" x14ac:dyDescent="0.2">
      <c r="Q1843"/>
    </row>
    <row r="1844" spans="17:17" x14ac:dyDescent="0.2">
      <c r="Q1844"/>
    </row>
    <row r="1845" spans="17:17" x14ac:dyDescent="0.2">
      <c r="Q1845"/>
    </row>
    <row r="1846" spans="17:17" x14ac:dyDescent="0.2">
      <c r="Q1846"/>
    </row>
    <row r="1847" spans="17:17" x14ac:dyDescent="0.2">
      <c r="Q1847"/>
    </row>
    <row r="1848" spans="17:17" x14ac:dyDescent="0.2">
      <c r="Q1848"/>
    </row>
    <row r="1849" spans="17:17" x14ac:dyDescent="0.2">
      <c r="Q1849"/>
    </row>
    <row r="1850" spans="17:17" x14ac:dyDescent="0.2">
      <c r="Q1850"/>
    </row>
    <row r="1851" spans="17:17" x14ac:dyDescent="0.2">
      <c r="Q1851"/>
    </row>
    <row r="1852" spans="17:17" x14ac:dyDescent="0.2">
      <c r="Q1852"/>
    </row>
    <row r="1853" spans="17:17" x14ac:dyDescent="0.2">
      <c r="Q1853"/>
    </row>
    <row r="1854" spans="17:17" x14ac:dyDescent="0.2">
      <c r="Q1854"/>
    </row>
    <row r="1855" spans="17:17" x14ac:dyDescent="0.2">
      <c r="Q1855"/>
    </row>
    <row r="1856" spans="17:17" x14ac:dyDescent="0.2">
      <c r="Q1856"/>
    </row>
    <row r="1857" spans="17:17" x14ac:dyDescent="0.2">
      <c r="Q1857"/>
    </row>
    <row r="1858" spans="17:17" x14ac:dyDescent="0.2">
      <c r="Q1858"/>
    </row>
    <row r="1859" spans="17:17" x14ac:dyDescent="0.2">
      <c r="Q1859"/>
    </row>
    <row r="1860" spans="17:17" x14ac:dyDescent="0.2">
      <c r="Q1860"/>
    </row>
    <row r="1861" spans="17:17" x14ac:dyDescent="0.2">
      <c r="Q1861"/>
    </row>
    <row r="1862" spans="17:17" x14ac:dyDescent="0.2">
      <c r="Q1862"/>
    </row>
    <row r="1863" spans="17:17" x14ac:dyDescent="0.2">
      <c r="Q1863"/>
    </row>
    <row r="1864" spans="17:17" x14ac:dyDescent="0.2">
      <c r="Q1864"/>
    </row>
    <row r="1865" spans="17:17" x14ac:dyDescent="0.2">
      <c r="Q1865"/>
    </row>
    <row r="1866" spans="17:17" x14ac:dyDescent="0.2">
      <c r="Q1866"/>
    </row>
    <row r="1867" spans="17:17" x14ac:dyDescent="0.2">
      <c r="Q1867"/>
    </row>
    <row r="1868" spans="17:17" x14ac:dyDescent="0.2">
      <c r="Q1868"/>
    </row>
    <row r="1869" spans="17:17" x14ac:dyDescent="0.2">
      <c r="Q1869"/>
    </row>
    <row r="1870" spans="17:17" x14ac:dyDescent="0.2">
      <c r="Q1870"/>
    </row>
    <row r="1871" spans="17:17" x14ac:dyDescent="0.2">
      <c r="Q1871"/>
    </row>
    <row r="1872" spans="17:17" x14ac:dyDescent="0.2">
      <c r="Q1872"/>
    </row>
    <row r="1873" spans="17:17" x14ac:dyDescent="0.2">
      <c r="Q1873"/>
    </row>
    <row r="1874" spans="17:17" x14ac:dyDescent="0.2">
      <c r="Q1874"/>
    </row>
    <row r="1875" spans="17:17" x14ac:dyDescent="0.2">
      <c r="Q1875"/>
    </row>
    <row r="1876" spans="17:17" x14ac:dyDescent="0.2">
      <c r="Q1876"/>
    </row>
    <row r="1877" spans="17:17" x14ac:dyDescent="0.2">
      <c r="Q1877"/>
    </row>
    <row r="1878" spans="17:17" x14ac:dyDescent="0.2">
      <c r="Q1878"/>
    </row>
    <row r="1879" spans="17:17" x14ac:dyDescent="0.2">
      <c r="Q1879"/>
    </row>
    <row r="1880" spans="17:17" x14ac:dyDescent="0.2">
      <c r="Q1880"/>
    </row>
    <row r="1881" spans="17:17" x14ac:dyDescent="0.2">
      <c r="Q1881"/>
    </row>
    <row r="1882" spans="17:17" x14ac:dyDescent="0.2">
      <c r="Q1882"/>
    </row>
    <row r="1883" spans="17:17" x14ac:dyDescent="0.2">
      <c r="Q1883"/>
    </row>
    <row r="1884" spans="17:17" x14ac:dyDescent="0.2">
      <c r="Q1884"/>
    </row>
    <row r="1885" spans="17:17" x14ac:dyDescent="0.2">
      <c r="Q1885"/>
    </row>
    <row r="1886" spans="17:17" x14ac:dyDescent="0.2">
      <c r="Q1886"/>
    </row>
    <row r="1887" spans="17:17" x14ac:dyDescent="0.2">
      <c r="Q1887"/>
    </row>
    <row r="1888" spans="17:17" x14ac:dyDescent="0.2">
      <c r="Q1888"/>
    </row>
    <row r="1889" spans="17:17" x14ac:dyDescent="0.2">
      <c r="Q1889"/>
    </row>
    <row r="1890" spans="17:17" x14ac:dyDescent="0.2">
      <c r="Q1890"/>
    </row>
    <row r="1891" spans="17:17" x14ac:dyDescent="0.2">
      <c r="Q1891"/>
    </row>
    <row r="1892" spans="17:17" x14ac:dyDescent="0.2">
      <c r="Q1892"/>
    </row>
    <row r="1893" spans="17:17" x14ac:dyDescent="0.2">
      <c r="Q1893"/>
    </row>
    <row r="1894" spans="17:17" x14ac:dyDescent="0.2">
      <c r="Q1894"/>
    </row>
    <row r="1895" spans="17:17" x14ac:dyDescent="0.2">
      <c r="Q1895"/>
    </row>
    <row r="1896" spans="17:17" x14ac:dyDescent="0.2">
      <c r="Q1896"/>
    </row>
    <row r="1897" spans="17:17" x14ac:dyDescent="0.2">
      <c r="Q1897"/>
    </row>
    <row r="1898" spans="17:17" x14ac:dyDescent="0.2">
      <c r="Q1898"/>
    </row>
    <row r="1899" spans="17:17" x14ac:dyDescent="0.2">
      <c r="Q1899"/>
    </row>
    <row r="1900" spans="17:17" x14ac:dyDescent="0.2">
      <c r="Q1900"/>
    </row>
    <row r="1901" spans="17:17" x14ac:dyDescent="0.2">
      <c r="Q1901"/>
    </row>
    <row r="1902" spans="17:17" x14ac:dyDescent="0.2">
      <c r="Q1902"/>
    </row>
    <row r="1903" spans="17:17" x14ac:dyDescent="0.2">
      <c r="Q1903"/>
    </row>
    <row r="1904" spans="17:17" x14ac:dyDescent="0.2">
      <c r="Q1904"/>
    </row>
    <row r="1905" spans="17:17" x14ac:dyDescent="0.2">
      <c r="Q1905"/>
    </row>
    <row r="1906" spans="17:17" x14ac:dyDescent="0.2">
      <c r="Q1906"/>
    </row>
    <row r="1907" spans="17:17" x14ac:dyDescent="0.2">
      <c r="Q1907"/>
    </row>
    <row r="1908" spans="17:17" x14ac:dyDescent="0.2">
      <c r="Q1908"/>
    </row>
    <row r="1909" spans="17:17" x14ac:dyDescent="0.2">
      <c r="Q1909"/>
    </row>
    <row r="1910" spans="17:17" x14ac:dyDescent="0.2">
      <c r="Q1910"/>
    </row>
    <row r="1911" spans="17:17" x14ac:dyDescent="0.2">
      <c r="Q1911"/>
    </row>
    <row r="1912" spans="17:17" x14ac:dyDescent="0.2">
      <c r="Q1912"/>
    </row>
    <row r="1913" spans="17:17" x14ac:dyDescent="0.2">
      <c r="Q1913"/>
    </row>
    <row r="1914" spans="17:17" x14ac:dyDescent="0.2">
      <c r="Q1914"/>
    </row>
    <row r="1915" spans="17:17" x14ac:dyDescent="0.2">
      <c r="Q1915"/>
    </row>
    <row r="1916" spans="17:17" x14ac:dyDescent="0.2">
      <c r="Q1916"/>
    </row>
    <row r="1917" spans="17:17" x14ac:dyDescent="0.2">
      <c r="Q1917"/>
    </row>
    <row r="1918" spans="17:17" x14ac:dyDescent="0.2">
      <c r="Q1918"/>
    </row>
    <row r="1919" spans="17:17" x14ac:dyDescent="0.2">
      <c r="Q1919"/>
    </row>
    <row r="1920" spans="17:17" x14ac:dyDescent="0.2">
      <c r="Q1920"/>
    </row>
    <row r="1921" spans="17:17" x14ac:dyDescent="0.2">
      <c r="Q1921"/>
    </row>
    <row r="1922" spans="17:17" x14ac:dyDescent="0.2">
      <c r="Q1922"/>
    </row>
    <row r="1923" spans="17:17" x14ac:dyDescent="0.2">
      <c r="Q1923"/>
    </row>
    <row r="1924" spans="17:17" x14ac:dyDescent="0.2">
      <c r="Q1924"/>
    </row>
    <row r="1925" spans="17:17" x14ac:dyDescent="0.2">
      <c r="Q1925"/>
    </row>
    <row r="1926" spans="17:17" x14ac:dyDescent="0.2">
      <c r="Q1926"/>
    </row>
    <row r="1927" spans="17:17" x14ac:dyDescent="0.2">
      <c r="Q1927"/>
    </row>
    <row r="1928" spans="17:17" x14ac:dyDescent="0.2">
      <c r="Q1928"/>
    </row>
    <row r="1929" spans="17:17" x14ac:dyDescent="0.2">
      <c r="Q1929"/>
    </row>
    <row r="1930" spans="17:17" x14ac:dyDescent="0.2">
      <c r="Q1930"/>
    </row>
    <row r="1931" spans="17:17" x14ac:dyDescent="0.2">
      <c r="Q1931"/>
    </row>
    <row r="1932" spans="17:17" x14ac:dyDescent="0.2">
      <c r="Q1932"/>
    </row>
    <row r="1933" spans="17:17" x14ac:dyDescent="0.2">
      <c r="Q1933"/>
    </row>
    <row r="1934" spans="17:17" x14ac:dyDescent="0.2">
      <c r="Q1934"/>
    </row>
    <row r="1935" spans="17:17" x14ac:dyDescent="0.2">
      <c r="Q1935"/>
    </row>
    <row r="1936" spans="17:17" x14ac:dyDescent="0.2">
      <c r="Q1936"/>
    </row>
    <row r="1937" spans="17:17" x14ac:dyDescent="0.2">
      <c r="Q1937"/>
    </row>
    <row r="1938" spans="17:17" x14ac:dyDescent="0.2">
      <c r="Q1938"/>
    </row>
    <row r="1939" spans="17:17" x14ac:dyDescent="0.2">
      <c r="Q1939"/>
    </row>
    <row r="1940" spans="17:17" x14ac:dyDescent="0.2">
      <c r="Q1940"/>
    </row>
    <row r="1941" spans="17:17" x14ac:dyDescent="0.2">
      <c r="Q1941"/>
    </row>
    <row r="1942" spans="17:17" x14ac:dyDescent="0.2">
      <c r="Q1942"/>
    </row>
    <row r="1943" spans="17:17" x14ac:dyDescent="0.2">
      <c r="Q1943"/>
    </row>
    <row r="1944" spans="17:17" x14ac:dyDescent="0.2">
      <c r="Q1944"/>
    </row>
    <row r="1945" spans="17:17" x14ac:dyDescent="0.2">
      <c r="Q1945"/>
    </row>
    <row r="1946" spans="17:17" x14ac:dyDescent="0.2">
      <c r="Q1946"/>
    </row>
    <row r="1947" spans="17:17" x14ac:dyDescent="0.2">
      <c r="Q1947"/>
    </row>
    <row r="1948" spans="17:17" x14ac:dyDescent="0.2">
      <c r="Q1948"/>
    </row>
    <row r="1949" spans="17:17" x14ac:dyDescent="0.2">
      <c r="Q1949"/>
    </row>
    <row r="1950" spans="17:17" x14ac:dyDescent="0.2">
      <c r="Q1950"/>
    </row>
    <row r="1951" spans="17:17" x14ac:dyDescent="0.2">
      <c r="Q1951"/>
    </row>
    <row r="1952" spans="17:17" x14ac:dyDescent="0.2">
      <c r="Q1952"/>
    </row>
    <row r="1953" spans="17:17" x14ac:dyDescent="0.2">
      <c r="Q1953"/>
    </row>
    <row r="1954" spans="17:17" x14ac:dyDescent="0.2">
      <c r="Q1954"/>
    </row>
    <row r="1955" spans="17:17" x14ac:dyDescent="0.2">
      <c r="Q1955"/>
    </row>
    <row r="1956" spans="17:17" x14ac:dyDescent="0.2">
      <c r="Q1956"/>
    </row>
    <row r="1957" spans="17:17" x14ac:dyDescent="0.2">
      <c r="Q1957"/>
    </row>
    <row r="1958" spans="17:17" x14ac:dyDescent="0.2">
      <c r="Q1958"/>
    </row>
    <row r="1959" spans="17:17" x14ac:dyDescent="0.2">
      <c r="Q1959"/>
    </row>
    <row r="1960" spans="17:17" x14ac:dyDescent="0.2">
      <c r="Q1960"/>
    </row>
    <row r="1961" spans="17:17" x14ac:dyDescent="0.2">
      <c r="Q1961"/>
    </row>
    <row r="1962" spans="17:17" x14ac:dyDescent="0.2">
      <c r="Q1962"/>
    </row>
    <row r="1963" spans="17:17" x14ac:dyDescent="0.2">
      <c r="Q1963"/>
    </row>
    <row r="1964" spans="17:17" x14ac:dyDescent="0.2">
      <c r="Q1964"/>
    </row>
    <row r="1965" spans="17:17" x14ac:dyDescent="0.2">
      <c r="Q1965"/>
    </row>
    <row r="1966" spans="17:17" x14ac:dyDescent="0.2">
      <c r="Q1966"/>
    </row>
    <row r="1967" spans="17:17" x14ac:dyDescent="0.2">
      <c r="Q1967"/>
    </row>
    <row r="1968" spans="17:17" x14ac:dyDescent="0.2">
      <c r="Q1968"/>
    </row>
    <row r="1969" spans="17:17" x14ac:dyDescent="0.2">
      <c r="Q1969"/>
    </row>
    <row r="1970" spans="17:17" x14ac:dyDescent="0.2">
      <c r="Q1970"/>
    </row>
    <row r="1971" spans="17:17" x14ac:dyDescent="0.2">
      <c r="Q1971"/>
    </row>
    <row r="1972" spans="17:17" x14ac:dyDescent="0.2">
      <c r="Q1972"/>
    </row>
    <row r="1973" spans="17:17" x14ac:dyDescent="0.2">
      <c r="Q1973"/>
    </row>
    <row r="1974" spans="17:17" x14ac:dyDescent="0.2">
      <c r="Q1974"/>
    </row>
    <row r="1975" spans="17:17" x14ac:dyDescent="0.2">
      <c r="Q1975"/>
    </row>
    <row r="1976" spans="17:17" x14ac:dyDescent="0.2">
      <c r="Q1976"/>
    </row>
    <row r="1977" spans="17:17" x14ac:dyDescent="0.2">
      <c r="Q1977"/>
    </row>
    <row r="1978" spans="17:17" x14ac:dyDescent="0.2">
      <c r="Q1978"/>
    </row>
    <row r="1979" spans="17:17" x14ac:dyDescent="0.2">
      <c r="Q1979"/>
    </row>
    <row r="1980" spans="17:17" x14ac:dyDescent="0.2">
      <c r="Q1980"/>
    </row>
    <row r="1981" spans="17:17" x14ac:dyDescent="0.2">
      <c r="Q1981"/>
    </row>
    <row r="1982" spans="17:17" x14ac:dyDescent="0.2">
      <c r="Q1982"/>
    </row>
    <row r="1983" spans="17:17" x14ac:dyDescent="0.2">
      <c r="Q1983"/>
    </row>
    <row r="1984" spans="17:17" x14ac:dyDescent="0.2">
      <c r="Q1984"/>
    </row>
    <row r="1985" spans="17:17" x14ac:dyDescent="0.2">
      <c r="Q1985"/>
    </row>
    <row r="1986" spans="17:17" x14ac:dyDescent="0.2">
      <c r="Q1986"/>
    </row>
    <row r="1987" spans="17:17" x14ac:dyDescent="0.2">
      <c r="Q1987"/>
    </row>
    <row r="1988" spans="17:17" x14ac:dyDescent="0.2">
      <c r="Q1988"/>
    </row>
    <row r="1989" spans="17:17" x14ac:dyDescent="0.2">
      <c r="Q1989"/>
    </row>
    <row r="1990" spans="17:17" x14ac:dyDescent="0.2">
      <c r="Q1990"/>
    </row>
    <row r="1991" spans="17:17" x14ac:dyDescent="0.2">
      <c r="Q1991"/>
    </row>
    <row r="1992" spans="17:17" x14ac:dyDescent="0.2">
      <c r="Q1992"/>
    </row>
    <row r="1993" spans="17:17" x14ac:dyDescent="0.2">
      <c r="Q1993"/>
    </row>
    <row r="1994" spans="17:17" x14ac:dyDescent="0.2">
      <c r="Q1994"/>
    </row>
    <row r="1995" spans="17:17" x14ac:dyDescent="0.2">
      <c r="Q1995"/>
    </row>
    <row r="1996" spans="17:17" x14ac:dyDescent="0.2">
      <c r="Q1996"/>
    </row>
    <row r="1997" spans="17:17" x14ac:dyDescent="0.2">
      <c r="Q1997"/>
    </row>
    <row r="1998" spans="17:17" x14ac:dyDescent="0.2">
      <c r="Q1998"/>
    </row>
    <row r="1999" spans="17:17" x14ac:dyDescent="0.2">
      <c r="Q1999"/>
    </row>
    <row r="2000" spans="17:17" x14ac:dyDescent="0.2">
      <c r="Q2000"/>
    </row>
    <row r="2001" spans="17:17" x14ac:dyDescent="0.2">
      <c r="Q2001"/>
    </row>
    <row r="2002" spans="17:17" x14ac:dyDescent="0.2">
      <c r="Q2002" s="95"/>
    </row>
    <row r="2003" spans="17:17" x14ac:dyDescent="0.2">
      <c r="Q2003" s="95"/>
    </row>
    <row r="2004" spans="17:17" x14ac:dyDescent="0.2">
      <c r="Q2004" s="95"/>
    </row>
    <row r="2005" spans="17:17" x14ac:dyDescent="0.2">
      <c r="Q2005" s="95"/>
    </row>
    <row r="2006" spans="17:17" x14ac:dyDescent="0.2">
      <c r="Q2006" s="95"/>
    </row>
    <row r="2007" spans="17:17" x14ac:dyDescent="0.2">
      <c r="Q2007" s="95"/>
    </row>
    <row r="2008" spans="17:17" x14ac:dyDescent="0.2">
      <c r="Q2008" s="95"/>
    </row>
    <row r="2009" spans="17:17" x14ac:dyDescent="0.2">
      <c r="Q2009" s="95"/>
    </row>
    <row r="2010" spans="17:17" x14ac:dyDescent="0.2">
      <c r="Q2010" s="95"/>
    </row>
    <row r="2011" spans="17:17" x14ac:dyDescent="0.2">
      <c r="Q2011" s="95"/>
    </row>
    <row r="2012" spans="17:17" x14ac:dyDescent="0.2">
      <c r="Q2012" s="95"/>
    </row>
    <row r="2013" spans="17:17" x14ac:dyDescent="0.2">
      <c r="Q2013" s="95"/>
    </row>
    <row r="2014" spans="17:17" x14ac:dyDescent="0.2">
      <c r="Q2014" s="95"/>
    </row>
    <row r="2015" spans="17:17" x14ac:dyDescent="0.2">
      <c r="Q2015" s="95"/>
    </row>
    <row r="2016" spans="17:17" x14ac:dyDescent="0.2">
      <c r="Q2016" s="95"/>
    </row>
    <row r="2017" spans="17:17" x14ac:dyDescent="0.2">
      <c r="Q2017" s="95"/>
    </row>
    <row r="2018" spans="17:17" x14ac:dyDescent="0.2">
      <c r="Q2018" s="95"/>
    </row>
    <row r="2019" spans="17:17" x14ac:dyDescent="0.2">
      <c r="Q2019" s="95"/>
    </row>
    <row r="2020" spans="17:17" x14ac:dyDescent="0.2">
      <c r="Q2020" s="95"/>
    </row>
    <row r="2021" spans="17:17" x14ac:dyDescent="0.2">
      <c r="Q2021" s="95"/>
    </row>
    <row r="2022" spans="17:17" x14ac:dyDescent="0.2">
      <c r="Q2022" s="95"/>
    </row>
    <row r="2023" spans="17:17" x14ac:dyDescent="0.2">
      <c r="Q2023" s="95"/>
    </row>
    <row r="2024" spans="17:17" x14ac:dyDescent="0.2">
      <c r="Q2024" s="95"/>
    </row>
    <row r="2025" spans="17:17" x14ac:dyDescent="0.2">
      <c r="Q2025" s="95"/>
    </row>
    <row r="2026" spans="17:17" x14ac:dyDescent="0.2">
      <c r="Q2026" s="95"/>
    </row>
    <row r="2027" spans="17:17" x14ac:dyDescent="0.2">
      <c r="Q2027" s="95"/>
    </row>
    <row r="2028" spans="17:17" x14ac:dyDescent="0.2">
      <c r="Q2028" s="95"/>
    </row>
    <row r="2029" spans="17:17" x14ac:dyDescent="0.2">
      <c r="Q2029" s="95"/>
    </row>
    <row r="2030" spans="17:17" x14ac:dyDescent="0.2">
      <c r="Q2030" s="95"/>
    </row>
    <row r="2031" spans="17:17" x14ac:dyDescent="0.2">
      <c r="Q2031" s="95"/>
    </row>
    <row r="2032" spans="17:17" x14ac:dyDescent="0.2">
      <c r="Q2032" s="95"/>
    </row>
    <row r="2033" spans="17:17" x14ac:dyDescent="0.2">
      <c r="Q2033" s="95"/>
    </row>
    <row r="2034" spans="17:17" x14ac:dyDescent="0.2">
      <c r="Q2034" s="95"/>
    </row>
    <row r="2035" spans="17:17" x14ac:dyDescent="0.2">
      <c r="Q2035" s="95"/>
    </row>
    <row r="2036" spans="17:17" x14ac:dyDescent="0.2">
      <c r="Q2036" s="95"/>
    </row>
    <row r="2037" spans="17:17" x14ac:dyDescent="0.2">
      <c r="Q2037" s="95"/>
    </row>
    <row r="2038" spans="17:17" x14ac:dyDescent="0.2">
      <c r="Q2038" s="95"/>
    </row>
    <row r="2039" spans="17:17" x14ac:dyDescent="0.2">
      <c r="Q2039" s="95"/>
    </row>
    <row r="2040" spans="17:17" x14ac:dyDescent="0.2">
      <c r="Q2040" s="95"/>
    </row>
    <row r="2041" spans="17:17" x14ac:dyDescent="0.2">
      <c r="Q2041" s="95"/>
    </row>
    <row r="2042" spans="17:17" x14ac:dyDescent="0.2">
      <c r="Q2042" s="95"/>
    </row>
    <row r="2043" spans="17:17" x14ac:dyDescent="0.2">
      <c r="Q2043" s="95"/>
    </row>
    <row r="2044" spans="17:17" x14ac:dyDescent="0.2">
      <c r="Q2044" s="95"/>
    </row>
    <row r="2045" spans="17:17" x14ac:dyDescent="0.2">
      <c r="Q2045" s="95"/>
    </row>
    <row r="2046" spans="17:17" x14ac:dyDescent="0.2">
      <c r="Q2046" s="95"/>
    </row>
    <row r="2047" spans="17:17" x14ac:dyDescent="0.2">
      <c r="Q2047" s="95"/>
    </row>
    <row r="2048" spans="17:17" x14ac:dyDescent="0.2">
      <c r="Q2048" s="95"/>
    </row>
    <row r="2049" spans="17:17" x14ac:dyDescent="0.2">
      <c r="Q2049" s="95"/>
    </row>
    <row r="2050" spans="17:17" x14ac:dyDescent="0.2">
      <c r="Q2050" s="95"/>
    </row>
    <row r="2051" spans="17:17" x14ac:dyDescent="0.2">
      <c r="Q2051" s="95"/>
    </row>
    <row r="2052" spans="17:17" x14ac:dyDescent="0.2">
      <c r="Q2052" s="95"/>
    </row>
    <row r="2053" spans="17:17" x14ac:dyDescent="0.2">
      <c r="Q2053" s="95"/>
    </row>
    <row r="2054" spans="17:17" x14ac:dyDescent="0.2">
      <c r="Q2054" s="95"/>
    </row>
    <row r="2055" spans="17:17" x14ac:dyDescent="0.2">
      <c r="Q2055" s="95"/>
    </row>
    <row r="2056" spans="17:17" x14ac:dyDescent="0.2">
      <c r="Q2056" s="95"/>
    </row>
    <row r="2057" spans="17:17" x14ac:dyDescent="0.2">
      <c r="Q2057" s="95"/>
    </row>
    <row r="2058" spans="17:17" x14ac:dyDescent="0.2">
      <c r="Q2058" s="95"/>
    </row>
    <row r="2059" spans="17:17" x14ac:dyDescent="0.2">
      <c r="Q2059" s="95"/>
    </row>
    <row r="2060" spans="17:17" x14ac:dyDescent="0.2">
      <c r="Q2060" s="95"/>
    </row>
    <row r="2061" spans="17:17" x14ac:dyDescent="0.2">
      <c r="Q2061" s="95"/>
    </row>
    <row r="2062" spans="17:17" x14ac:dyDescent="0.2">
      <c r="Q2062" s="95"/>
    </row>
    <row r="2063" spans="17:17" x14ac:dyDescent="0.2">
      <c r="Q2063" s="95"/>
    </row>
    <row r="2064" spans="17:17" x14ac:dyDescent="0.2">
      <c r="Q2064" s="95"/>
    </row>
    <row r="2065" spans="17:17" x14ac:dyDescent="0.2">
      <c r="Q2065" s="95"/>
    </row>
    <row r="2066" spans="17:17" x14ac:dyDescent="0.2">
      <c r="Q2066" s="95"/>
    </row>
    <row r="2067" spans="17:17" x14ac:dyDescent="0.2">
      <c r="Q2067" s="95"/>
    </row>
    <row r="2068" spans="17:17" x14ac:dyDescent="0.2">
      <c r="Q2068" s="95"/>
    </row>
    <row r="2069" spans="17:17" x14ac:dyDescent="0.2">
      <c r="Q2069" s="95"/>
    </row>
    <row r="2070" spans="17:17" x14ac:dyDescent="0.2">
      <c r="Q2070" s="95"/>
    </row>
    <row r="2071" spans="17:17" x14ac:dyDescent="0.2">
      <c r="Q2071" s="95"/>
    </row>
    <row r="2072" spans="17:17" x14ac:dyDescent="0.2">
      <c r="Q2072" s="95"/>
    </row>
    <row r="2073" spans="17:17" x14ac:dyDescent="0.2">
      <c r="Q2073" s="95"/>
    </row>
    <row r="2074" spans="17:17" x14ac:dyDescent="0.2">
      <c r="Q2074" s="95"/>
    </row>
    <row r="2075" spans="17:17" x14ac:dyDescent="0.2">
      <c r="Q2075" s="95"/>
    </row>
    <row r="2076" spans="17:17" x14ac:dyDescent="0.2">
      <c r="Q2076" s="95"/>
    </row>
    <row r="2077" spans="17:17" x14ac:dyDescent="0.2">
      <c r="Q2077" s="95"/>
    </row>
    <row r="2078" spans="17:17" x14ac:dyDescent="0.2">
      <c r="Q2078" s="95"/>
    </row>
    <row r="2079" spans="17:17" x14ac:dyDescent="0.2">
      <c r="Q2079" s="95"/>
    </row>
    <row r="2080" spans="17:17" x14ac:dyDescent="0.2">
      <c r="Q2080" s="95"/>
    </row>
    <row r="2081" spans="17:17" x14ac:dyDescent="0.2">
      <c r="Q2081" s="95"/>
    </row>
    <row r="2082" spans="17:17" x14ac:dyDescent="0.2">
      <c r="Q2082" s="95"/>
    </row>
    <row r="2083" spans="17:17" x14ac:dyDescent="0.2">
      <c r="Q2083" s="95"/>
    </row>
    <row r="2084" spans="17:17" x14ac:dyDescent="0.2">
      <c r="Q2084" s="95"/>
    </row>
    <row r="2085" spans="17:17" x14ac:dyDescent="0.2">
      <c r="Q2085" s="95"/>
    </row>
    <row r="2086" spans="17:17" x14ac:dyDescent="0.2">
      <c r="Q2086" s="95"/>
    </row>
    <row r="2087" spans="17:17" x14ac:dyDescent="0.2">
      <c r="Q2087" s="95"/>
    </row>
    <row r="2088" spans="17:17" x14ac:dyDescent="0.2">
      <c r="Q2088" s="95"/>
    </row>
    <row r="2089" spans="17:17" x14ac:dyDescent="0.2">
      <c r="Q2089" s="95"/>
    </row>
    <row r="2090" spans="17:17" x14ac:dyDescent="0.2">
      <c r="Q2090" s="95"/>
    </row>
    <row r="2091" spans="17:17" x14ac:dyDescent="0.2">
      <c r="Q2091" s="95"/>
    </row>
    <row r="2092" spans="17:17" x14ac:dyDescent="0.2">
      <c r="Q2092" s="95"/>
    </row>
    <row r="2093" spans="17:17" x14ac:dyDescent="0.2">
      <c r="Q2093" s="95"/>
    </row>
    <row r="2094" spans="17:17" x14ac:dyDescent="0.2">
      <c r="Q2094" s="95"/>
    </row>
    <row r="2095" spans="17:17" x14ac:dyDescent="0.2">
      <c r="Q2095" s="95"/>
    </row>
    <row r="2096" spans="17:17" x14ac:dyDescent="0.2">
      <c r="Q2096" s="95"/>
    </row>
    <row r="2097" spans="17:17" x14ac:dyDescent="0.2">
      <c r="Q2097" s="95"/>
    </row>
    <row r="2098" spans="17:17" x14ac:dyDescent="0.2">
      <c r="Q2098" s="95"/>
    </row>
    <row r="2099" spans="17:17" x14ac:dyDescent="0.2">
      <c r="Q2099" s="95"/>
    </row>
    <row r="2100" spans="17:17" x14ac:dyDescent="0.2">
      <c r="Q2100" s="95"/>
    </row>
    <row r="2101" spans="17:17" x14ac:dyDescent="0.2">
      <c r="Q2101" s="95"/>
    </row>
    <row r="2102" spans="17:17" x14ac:dyDescent="0.2">
      <c r="Q2102" s="95"/>
    </row>
    <row r="2103" spans="17:17" x14ac:dyDescent="0.2">
      <c r="Q2103" s="95"/>
    </row>
    <row r="2104" spans="17:17" x14ac:dyDescent="0.2">
      <c r="Q2104" s="95"/>
    </row>
    <row r="2105" spans="17:17" x14ac:dyDescent="0.2">
      <c r="Q2105" s="95"/>
    </row>
    <row r="2106" spans="17:17" x14ac:dyDescent="0.2">
      <c r="Q2106" s="95"/>
    </row>
    <row r="2107" spans="17:17" x14ac:dyDescent="0.2">
      <c r="Q2107" s="95"/>
    </row>
    <row r="2108" spans="17:17" x14ac:dyDescent="0.2">
      <c r="Q2108" s="95"/>
    </row>
    <row r="2109" spans="17:17" x14ac:dyDescent="0.2">
      <c r="Q2109" s="95"/>
    </row>
    <row r="2110" spans="17:17" x14ac:dyDescent="0.2">
      <c r="Q2110" s="95"/>
    </row>
    <row r="2111" spans="17:17" x14ac:dyDescent="0.2">
      <c r="Q2111" s="95"/>
    </row>
    <row r="2112" spans="17:17" x14ac:dyDescent="0.2">
      <c r="Q2112" s="95"/>
    </row>
    <row r="2113" spans="17:17" x14ac:dyDescent="0.2">
      <c r="Q2113" s="95"/>
    </row>
    <row r="2114" spans="17:17" x14ac:dyDescent="0.2">
      <c r="Q2114" s="95"/>
    </row>
    <row r="2115" spans="17:17" x14ac:dyDescent="0.2">
      <c r="Q2115" s="95"/>
    </row>
    <row r="2116" spans="17:17" x14ac:dyDescent="0.2">
      <c r="Q2116" s="95"/>
    </row>
    <row r="2117" spans="17:17" x14ac:dyDescent="0.2">
      <c r="Q2117" s="95"/>
    </row>
    <row r="2118" spans="17:17" x14ac:dyDescent="0.2">
      <c r="Q2118" s="95"/>
    </row>
    <row r="2119" spans="17:17" x14ac:dyDescent="0.2">
      <c r="Q2119" s="95"/>
    </row>
    <row r="2120" spans="17:17" x14ac:dyDescent="0.2">
      <c r="Q2120" s="95"/>
    </row>
    <row r="2121" spans="17:17" x14ac:dyDescent="0.2">
      <c r="Q2121" s="95"/>
    </row>
    <row r="2122" spans="17:17" x14ac:dyDescent="0.2">
      <c r="Q2122" s="95"/>
    </row>
    <row r="2123" spans="17:17" x14ac:dyDescent="0.2">
      <c r="Q2123" s="95"/>
    </row>
    <row r="2124" spans="17:17" x14ac:dyDescent="0.2">
      <c r="Q2124" s="95"/>
    </row>
    <row r="2125" spans="17:17" x14ac:dyDescent="0.2">
      <c r="Q2125" s="95"/>
    </row>
    <row r="2126" spans="17:17" x14ac:dyDescent="0.2">
      <c r="Q2126" s="95"/>
    </row>
    <row r="2127" spans="17:17" x14ac:dyDescent="0.2">
      <c r="Q2127" s="95"/>
    </row>
    <row r="2128" spans="17:17" x14ac:dyDescent="0.2">
      <c r="Q2128" s="95"/>
    </row>
    <row r="2129" spans="17:17" x14ac:dyDescent="0.2">
      <c r="Q2129" s="95"/>
    </row>
    <row r="2130" spans="17:17" x14ac:dyDescent="0.2">
      <c r="Q2130" s="95"/>
    </row>
    <row r="2131" spans="17:17" x14ac:dyDescent="0.2">
      <c r="Q2131" s="95"/>
    </row>
    <row r="2132" spans="17:17" x14ac:dyDescent="0.2">
      <c r="Q2132" s="95"/>
    </row>
    <row r="2133" spans="17:17" x14ac:dyDescent="0.2">
      <c r="Q2133" s="95"/>
    </row>
    <row r="2134" spans="17:17" x14ac:dyDescent="0.2">
      <c r="Q2134" s="95"/>
    </row>
    <row r="2135" spans="17:17" x14ac:dyDescent="0.2">
      <c r="Q2135" s="95"/>
    </row>
    <row r="2136" spans="17:17" x14ac:dyDescent="0.2">
      <c r="Q2136" s="95"/>
    </row>
    <row r="2137" spans="17:17" x14ac:dyDescent="0.2">
      <c r="Q2137" s="95"/>
    </row>
    <row r="2138" spans="17:17" x14ac:dyDescent="0.2">
      <c r="Q2138" s="95"/>
    </row>
    <row r="2139" spans="17:17" x14ac:dyDescent="0.2">
      <c r="Q2139" s="95"/>
    </row>
    <row r="2140" spans="17:17" x14ac:dyDescent="0.2">
      <c r="Q2140" s="95"/>
    </row>
    <row r="2141" spans="17:17" x14ac:dyDescent="0.2">
      <c r="Q2141" s="95"/>
    </row>
    <row r="2142" spans="17:17" x14ac:dyDescent="0.2">
      <c r="Q2142" s="95"/>
    </row>
    <row r="2143" spans="17:17" x14ac:dyDescent="0.2">
      <c r="Q2143" s="95"/>
    </row>
    <row r="2144" spans="17:17" x14ac:dyDescent="0.2">
      <c r="Q2144" s="95"/>
    </row>
    <row r="2145" spans="17:17" x14ac:dyDescent="0.2">
      <c r="Q2145" s="95"/>
    </row>
    <row r="2146" spans="17:17" x14ac:dyDescent="0.2">
      <c r="Q2146" s="95"/>
    </row>
    <row r="2147" spans="17:17" x14ac:dyDescent="0.2">
      <c r="Q2147" s="95"/>
    </row>
    <row r="2148" spans="17:17" x14ac:dyDescent="0.2">
      <c r="Q2148" s="95"/>
    </row>
    <row r="2149" spans="17:17" x14ac:dyDescent="0.2">
      <c r="Q2149" s="95"/>
    </row>
    <row r="2150" spans="17:17" x14ac:dyDescent="0.2">
      <c r="Q2150" s="95"/>
    </row>
    <row r="2151" spans="17:17" x14ac:dyDescent="0.2">
      <c r="Q2151" s="95"/>
    </row>
    <row r="2152" spans="17:17" x14ac:dyDescent="0.2">
      <c r="Q2152" s="95"/>
    </row>
    <row r="2153" spans="17:17" x14ac:dyDescent="0.2">
      <c r="Q2153" s="95"/>
    </row>
    <row r="2154" spans="17:17" x14ac:dyDescent="0.2">
      <c r="Q2154" s="95"/>
    </row>
    <row r="2155" spans="17:17" x14ac:dyDescent="0.2">
      <c r="Q2155" s="95"/>
    </row>
    <row r="2156" spans="17:17" x14ac:dyDescent="0.2">
      <c r="Q2156" s="95"/>
    </row>
    <row r="2157" spans="17:17" x14ac:dyDescent="0.2">
      <c r="Q2157" s="95"/>
    </row>
    <row r="2158" spans="17:17" x14ac:dyDescent="0.2">
      <c r="Q2158" s="95"/>
    </row>
    <row r="2159" spans="17:17" x14ac:dyDescent="0.2">
      <c r="Q2159" s="95"/>
    </row>
    <row r="2160" spans="17:17" x14ac:dyDescent="0.2">
      <c r="Q2160" s="95"/>
    </row>
    <row r="2161" spans="17:17" x14ac:dyDescent="0.2">
      <c r="Q2161" s="95"/>
    </row>
    <row r="2162" spans="17:17" x14ac:dyDescent="0.2">
      <c r="Q2162" s="95"/>
    </row>
    <row r="2163" spans="17:17" x14ac:dyDescent="0.2">
      <c r="Q2163" s="95"/>
    </row>
    <row r="2164" spans="17:17" x14ac:dyDescent="0.2">
      <c r="Q2164" s="95"/>
    </row>
    <row r="2165" spans="17:17" x14ac:dyDescent="0.2">
      <c r="Q2165" s="95"/>
    </row>
    <row r="2166" spans="17:17" x14ac:dyDescent="0.2">
      <c r="Q2166" s="95"/>
    </row>
    <row r="2167" spans="17:17" x14ac:dyDescent="0.2">
      <c r="Q2167" s="95"/>
    </row>
    <row r="2168" spans="17:17" x14ac:dyDescent="0.2">
      <c r="Q2168" s="95"/>
    </row>
    <row r="2169" spans="17:17" x14ac:dyDescent="0.2">
      <c r="Q2169" s="95"/>
    </row>
    <row r="2170" spans="17:17" x14ac:dyDescent="0.2">
      <c r="Q2170" s="95"/>
    </row>
    <row r="2171" spans="17:17" x14ac:dyDescent="0.2">
      <c r="Q2171" s="95"/>
    </row>
    <row r="2172" spans="17:17" x14ac:dyDescent="0.2">
      <c r="Q2172" s="95"/>
    </row>
    <row r="2173" spans="17:17" x14ac:dyDescent="0.2">
      <c r="Q2173" s="95"/>
    </row>
    <row r="2174" spans="17:17" x14ac:dyDescent="0.2">
      <c r="Q2174" s="95"/>
    </row>
    <row r="2175" spans="17:17" x14ac:dyDescent="0.2">
      <c r="Q2175" s="95"/>
    </row>
    <row r="2176" spans="17:17" x14ac:dyDescent="0.2">
      <c r="Q2176" s="95"/>
    </row>
    <row r="2177" spans="17:17" x14ac:dyDescent="0.2">
      <c r="Q2177" s="95"/>
    </row>
    <row r="2178" spans="17:17" x14ac:dyDescent="0.2">
      <c r="Q2178" s="95"/>
    </row>
    <row r="2179" spans="17:17" x14ac:dyDescent="0.2">
      <c r="Q2179" s="95"/>
    </row>
    <row r="2180" spans="17:17" x14ac:dyDescent="0.2">
      <c r="Q2180" s="95"/>
    </row>
    <row r="2181" spans="17:17" x14ac:dyDescent="0.2">
      <c r="Q2181" s="95"/>
    </row>
    <row r="2182" spans="17:17" x14ac:dyDescent="0.2">
      <c r="Q2182" s="95"/>
    </row>
    <row r="2183" spans="17:17" x14ac:dyDescent="0.2">
      <c r="Q2183" s="95"/>
    </row>
    <row r="2184" spans="17:17" x14ac:dyDescent="0.2">
      <c r="Q2184" s="95"/>
    </row>
    <row r="2185" spans="17:17" x14ac:dyDescent="0.2">
      <c r="Q2185" s="95"/>
    </row>
    <row r="2186" spans="17:17" x14ac:dyDescent="0.2">
      <c r="Q2186" s="95"/>
    </row>
    <row r="2187" spans="17:17" x14ac:dyDescent="0.2">
      <c r="Q2187" s="95"/>
    </row>
    <row r="2188" spans="17:17" x14ac:dyDescent="0.2">
      <c r="Q2188" s="95"/>
    </row>
    <row r="2189" spans="17:17" x14ac:dyDescent="0.2">
      <c r="Q2189" s="95"/>
    </row>
    <row r="2190" spans="17:17" x14ac:dyDescent="0.2">
      <c r="Q2190" s="95"/>
    </row>
    <row r="2191" spans="17:17" x14ac:dyDescent="0.2">
      <c r="Q2191" s="95"/>
    </row>
    <row r="2192" spans="17:17" x14ac:dyDescent="0.2">
      <c r="Q2192" s="95"/>
    </row>
    <row r="2193" spans="17:17" x14ac:dyDescent="0.2">
      <c r="Q2193" s="95"/>
    </row>
    <row r="2194" spans="17:17" x14ac:dyDescent="0.2">
      <c r="Q2194" s="95"/>
    </row>
    <row r="2195" spans="17:17" x14ac:dyDescent="0.2">
      <c r="Q2195" s="95"/>
    </row>
    <row r="2196" spans="17:17" x14ac:dyDescent="0.2">
      <c r="Q2196" s="95"/>
    </row>
    <row r="2197" spans="17:17" x14ac:dyDescent="0.2">
      <c r="Q2197" s="95"/>
    </row>
    <row r="2198" spans="17:17" x14ac:dyDescent="0.2">
      <c r="Q2198" s="95"/>
    </row>
    <row r="2199" spans="17:17" x14ac:dyDescent="0.2">
      <c r="Q2199" s="95"/>
    </row>
    <row r="2200" spans="17:17" x14ac:dyDescent="0.2">
      <c r="Q2200" s="95"/>
    </row>
    <row r="2201" spans="17:17" x14ac:dyDescent="0.2">
      <c r="Q2201" s="95"/>
    </row>
    <row r="2202" spans="17:17" x14ac:dyDescent="0.2">
      <c r="Q2202" s="95"/>
    </row>
    <row r="2203" spans="17:17" x14ac:dyDescent="0.2">
      <c r="Q2203" s="95"/>
    </row>
    <row r="2204" spans="17:17" x14ac:dyDescent="0.2">
      <c r="Q2204" s="95"/>
    </row>
    <row r="2205" spans="17:17" x14ac:dyDescent="0.2">
      <c r="Q2205" s="95"/>
    </row>
    <row r="2206" spans="17:17" x14ac:dyDescent="0.2">
      <c r="Q2206" s="95"/>
    </row>
    <row r="2207" spans="17:17" x14ac:dyDescent="0.2">
      <c r="Q2207" s="95"/>
    </row>
    <row r="2208" spans="17:17" x14ac:dyDescent="0.2">
      <c r="Q2208" s="95"/>
    </row>
    <row r="2209" spans="17:17" x14ac:dyDescent="0.2">
      <c r="Q2209" s="95"/>
    </row>
    <row r="2210" spans="17:17" x14ac:dyDescent="0.2">
      <c r="Q2210" s="95"/>
    </row>
    <row r="2211" spans="17:17" x14ac:dyDescent="0.2">
      <c r="Q2211" s="95"/>
    </row>
    <row r="2212" spans="17:17" x14ac:dyDescent="0.2">
      <c r="Q2212" s="95"/>
    </row>
    <row r="2213" spans="17:17" x14ac:dyDescent="0.2">
      <c r="Q2213" s="95"/>
    </row>
    <row r="2214" spans="17:17" x14ac:dyDescent="0.2">
      <c r="Q2214" s="95"/>
    </row>
    <row r="2215" spans="17:17" x14ac:dyDescent="0.2">
      <c r="Q2215" s="95"/>
    </row>
    <row r="2216" spans="17:17" x14ac:dyDescent="0.2">
      <c r="Q2216" s="95"/>
    </row>
    <row r="2217" spans="17:17" x14ac:dyDescent="0.2">
      <c r="Q2217" s="95"/>
    </row>
    <row r="2218" spans="17:17" x14ac:dyDescent="0.2">
      <c r="Q2218" s="95"/>
    </row>
    <row r="2219" spans="17:17" x14ac:dyDescent="0.2">
      <c r="Q2219" s="95"/>
    </row>
    <row r="2220" spans="17:17" x14ac:dyDescent="0.2">
      <c r="Q2220" s="95"/>
    </row>
    <row r="2221" spans="17:17" x14ac:dyDescent="0.2">
      <c r="Q2221" s="95"/>
    </row>
    <row r="2222" spans="17:17" x14ac:dyDescent="0.2">
      <c r="Q2222" s="95"/>
    </row>
    <row r="2223" spans="17:17" x14ac:dyDescent="0.2">
      <c r="Q2223" s="95"/>
    </row>
    <row r="2224" spans="17:17" x14ac:dyDescent="0.2">
      <c r="Q2224" s="95"/>
    </row>
    <row r="2225" spans="17:17" x14ac:dyDescent="0.2">
      <c r="Q2225" s="95"/>
    </row>
    <row r="2226" spans="17:17" x14ac:dyDescent="0.2">
      <c r="Q2226" s="95"/>
    </row>
    <row r="2227" spans="17:17" x14ac:dyDescent="0.2">
      <c r="Q2227" s="95"/>
    </row>
    <row r="2228" spans="17:17" x14ac:dyDescent="0.2">
      <c r="Q2228" s="95"/>
    </row>
    <row r="2229" spans="17:17" x14ac:dyDescent="0.2">
      <c r="Q2229" s="95"/>
    </row>
    <row r="2230" spans="17:17" x14ac:dyDescent="0.2">
      <c r="Q2230" s="95"/>
    </row>
    <row r="2231" spans="17:17" x14ac:dyDescent="0.2">
      <c r="Q2231" s="95"/>
    </row>
    <row r="2232" spans="17:17" x14ac:dyDescent="0.2">
      <c r="Q2232" s="95"/>
    </row>
    <row r="2233" spans="17:17" x14ac:dyDescent="0.2">
      <c r="Q2233" s="95"/>
    </row>
    <row r="2234" spans="17:17" x14ac:dyDescent="0.2">
      <c r="Q2234" s="95"/>
    </row>
    <row r="2235" spans="17:17" x14ac:dyDescent="0.2">
      <c r="Q2235" s="95"/>
    </row>
    <row r="2236" spans="17:17" x14ac:dyDescent="0.2">
      <c r="Q2236" s="95"/>
    </row>
    <row r="2237" spans="17:17" x14ac:dyDescent="0.2">
      <c r="Q2237" s="95"/>
    </row>
    <row r="2238" spans="17:17" x14ac:dyDescent="0.2">
      <c r="Q2238" s="95"/>
    </row>
    <row r="2239" spans="17:17" x14ac:dyDescent="0.2">
      <c r="Q2239" s="95"/>
    </row>
    <row r="2240" spans="17:17" x14ac:dyDescent="0.2">
      <c r="Q2240" s="95"/>
    </row>
    <row r="2241" spans="17:17" x14ac:dyDescent="0.2">
      <c r="Q2241" s="95"/>
    </row>
    <row r="2242" spans="17:17" x14ac:dyDescent="0.2">
      <c r="Q2242" s="95"/>
    </row>
    <row r="2243" spans="17:17" x14ac:dyDescent="0.2">
      <c r="Q2243" s="95"/>
    </row>
    <row r="2244" spans="17:17" x14ac:dyDescent="0.2">
      <c r="Q2244" s="95"/>
    </row>
    <row r="2245" spans="17:17" x14ac:dyDescent="0.2">
      <c r="Q2245" s="95"/>
    </row>
    <row r="2246" spans="17:17" x14ac:dyDescent="0.2">
      <c r="Q2246" s="95"/>
    </row>
    <row r="2247" spans="17:17" x14ac:dyDescent="0.2">
      <c r="Q2247" s="95"/>
    </row>
    <row r="2248" spans="17:17" x14ac:dyDescent="0.2">
      <c r="Q2248" s="95"/>
    </row>
    <row r="2249" spans="17:17" x14ac:dyDescent="0.2">
      <c r="Q2249" s="95"/>
    </row>
    <row r="2250" spans="17:17" x14ac:dyDescent="0.2">
      <c r="Q2250" s="95"/>
    </row>
    <row r="2251" spans="17:17" x14ac:dyDescent="0.2">
      <c r="Q2251" s="95"/>
    </row>
    <row r="2252" spans="17:17" x14ac:dyDescent="0.2">
      <c r="Q2252" s="95"/>
    </row>
    <row r="2253" spans="17:17" x14ac:dyDescent="0.2">
      <c r="Q2253" s="95"/>
    </row>
    <row r="2254" spans="17:17" x14ac:dyDescent="0.2">
      <c r="Q2254" s="95"/>
    </row>
    <row r="2255" spans="17:17" x14ac:dyDescent="0.2">
      <c r="Q2255" s="95"/>
    </row>
    <row r="2256" spans="17:17" x14ac:dyDescent="0.2">
      <c r="Q2256" s="95"/>
    </row>
    <row r="2257" spans="17:17" x14ac:dyDescent="0.2">
      <c r="Q2257" s="95"/>
    </row>
    <row r="2258" spans="17:17" x14ac:dyDescent="0.2">
      <c r="Q2258" s="95"/>
    </row>
    <row r="2259" spans="17:17" x14ac:dyDescent="0.2">
      <c r="Q2259" s="95"/>
    </row>
    <row r="2260" spans="17:17" x14ac:dyDescent="0.2">
      <c r="Q2260" s="95"/>
    </row>
    <row r="2261" spans="17:17" x14ac:dyDescent="0.2">
      <c r="Q2261" s="95"/>
    </row>
    <row r="2262" spans="17:17" x14ac:dyDescent="0.2">
      <c r="Q2262" s="95"/>
    </row>
    <row r="2263" spans="17:17" x14ac:dyDescent="0.2">
      <c r="Q2263" s="95"/>
    </row>
    <row r="2264" spans="17:17" x14ac:dyDescent="0.2">
      <c r="Q2264" s="95"/>
    </row>
    <row r="2265" spans="17:17" x14ac:dyDescent="0.2">
      <c r="Q2265" s="95"/>
    </row>
    <row r="2266" spans="17:17" x14ac:dyDescent="0.2">
      <c r="Q2266" s="95"/>
    </row>
    <row r="2267" spans="17:17" x14ac:dyDescent="0.2">
      <c r="Q2267" s="95"/>
    </row>
    <row r="2268" spans="17:17" x14ac:dyDescent="0.2">
      <c r="Q2268" s="95"/>
    </row>
    <row r="2269" spans="17:17" x14ac:dyDescent="0.2">
      <c r="Q2269" s="95"/>
    </row>
    <row r="2270" spans="17:17" x14ac:dyDescent="0.2">
      <c r="Q2270" s="95"/>
    </row>
    <row r="2271" spans="17:17" x14ac:dyDescent="0.2">
      <c r="Q2271" s="95"/>
    </row>
    <row r="2272" spans="17:17" x14ac:dyDescent="0.2">
      <c r="Q2272" s="95"/>
    </row>
    <row r="2273" spans="17:17" x14ac:dyDescent="0.2">
      <c r="Q2273" s="95"/>
    </row>
    <row r="2274" spans="17:17" x14ac:dyDescent="0.2">
      <c r="Q2274" s="95"/>
    </row>
    <row r="2275" spans="17:17" x14ac:dyDescent="0.2">
      <c r="Q2275" s="95"/>
    </row>
    <row r="2276" spans="17:17" x14ac:dyDescent="0.2">
      <c r="Q2276" s="95"/>
    </row>
    <row r="2277" spans="17:17" x14ac:dyDescent="0.2">
      <c r="Q2277" s="95"/>
    </row>
    <row r="2278" spans="17:17" x14ac:dyDescent="0.2">
      <c r="Q2278" s="95"/>
    </row>
    <row r="2279" spans="17:17" x14ac:dyDescent="0.2">
      <c r="Q2279" s="95"/>
    </row>
    <row r="2280" spans="17:17" x14ac:dyDescent="0.2">
      <c r="Q2280" s="95"/>
    </row>
    <row r="2281" spans="17:17" x14ac:dyDescent="0.2">
      <c r="Q2281" s="95"/>
    </row>
    <row r="2282" spans="17:17" x14ac:dyDescent="0.2">
      <c r="Q2282" s="95"/>
    </row>
    <row r="2283" spans="17:17" x14ac:dyDescent="0.2">
      <c r="Q2283" s="95"/>
    </row>
    <row r="2284" spans="17:17" x14ac:dyDescent="0.2">
      <c r="Q2284" s="95"/>
    </row>
    <row r="2285" spans="17:17" x14ac:dyDescent="0.2">
      <c r="Q2285" s="95"/>
    </row>
    <row r="2286" spans="17:17" x14ac:dyDescent="0.2">
      <c r="Q2286" s="95"/>
    </row>
    <row r="2287" spans="17:17" x14ac:dyDescent="0.2">
      <c r="Q2287" s="95"/>
    </row>
    <row r="2288" spans="17:17" x14ac:dyDescent="0.2">
      <c r="Q2288" s="95"/>
    </row>
    <row r="2289" spans="17:17" x14ac:dyDescent="0.2">
      <c r="Q2289" s="95"/>
    </row>
    <row r="2290" spans="17:17" x14ac:dyDescent="0.2">
      <c r="Q2290" s="95"/>
    </row>
    <row r="2291" spans="17:17" x14ac:dyDescent="0.2">
      <c r="Q2291" s="95"/>
    </row>
    <row r="2292" spans="17:17" x14ac:dyDescent="0.2">
      <c r="Q2292" s="95"/>
    </row>
    <row r="2293" spans="17:17" x14ac:dyDescent="0.2">
      <c r="Q2293" s="95"/>
    </row>
    <row r="2294" spans="17:17" x14ac:dyDescent="0.2">
      <c r="Q2294" s="95"/>
    </row>
    <row r="2295" spans="17:17" x14ac:dyDescent="0.2">
      <c r="Q2295" s="95"/>
    </row>
    <row r="2296" spans="17:17" x14ac:dyDescent="0.2">
      <c r="Q2296" s="95"/>
    </row>
    <row r="2297" spans="17:17" x14ac:dyDescent="0.2">
      <c r="Q2297" s="95"/>
    </row>
    <row r="2298" spans="17:17" x14ac:dyDescent="0.2">
      <c r="Q2298" s="95"/>
    </row>
    <row r="2299" spans="17:17" x14ac:dyDescent="0.2">
      <c r="Q2299" s="95"/>
    </row>
    <row r="2300" spans="17:17" x14ac:dyDescent="0.2">
      <c r="Q2300" s="95"/>
    </row>
    <row r="2301" spans="17:17" x14ac:dyDescent="0.2">
      <c r="Q2301" s="95"/>
    </row>
    <row r="2302" spans="17:17" x14ac:dyDescent="0.2">
      <c r="Q2302" s="95"/>
    </row>
    <row r="2303" spans="17:17" x14ac:dyDescent="0.2">
      <c r="Q2303" s="95"/>
    </row>
    <row r="2304" spans="17:17" x14ac:dyDescent="0.2">
      <c r="Q2304" s="95"/>
    </row>
    <row r="2305" spans="17:17" x14ac:dyDescent="0.2">
      <c r="Q2305" s="95"/>
    </row>
    <row r="2306" spans="17:17" x14ac:dyDescent="0.2">
      <c r="Q2306" s="95"/>
    </row>
    <row r="2307" spans="17:17" x14ac:dyDescent="0.2">
      <c r="Q2307" s="95"/>
    </row>
    <row r="2308" spans="17:17" x14ac:dyDescent="0.2">
      <c r="Q2308" s="95"/>
    </row>
    <row r="2309" spans="17:17" x14ac:dyDescent="0.2">
      <c r="Q2309" s="95"/>
    </row>
    <row r="2310" spans="17:17" x14ac:dyDescent="0.2">
      <c r="Q2310" s="95"/>
    </row>
    <row r="2311" spans="17:17" x14ac:dyDescent="0.2">
      <c r="Q2311" s="95"/>
    </row>
    <row r="2312" spans="17:17" x14ac:dyDescent="0.2">
      <c r="Q2312" s="95"/>
    </row>
    <row r="2313" spans="17:17" x14ac:dyDescent="0.2">
      <c r="Q2313" s="95"/>
    </row>
    <row r="2314" spans="17:17" x14ac:dyDescent="0.2">
      <c r="Q2314" s="95"/>
    </row>
    <row r="2315" spans="17:17" x14ac:dyDescent="0.2">
      <c r="Q2315" s="95"/>
    </row>
    <row r="2316" spans="17:17" x14ac:dyDescent="0.2">
      <c r="Q2316" s="95"/>
    </row>
    <row r="2317" spans="17:17" x14ac:dyDescent="0.2">
      <c r="Q2317" s="95"/>
    </row>
    <row r="2318" spans="17:17" x14ac:dyDescent="0.2">
      <c r="Q2318" s="95"/>
    </row>
    <row r="2319" spans="17:17" x14ac:dyDescent="0.2">
      <c r="Q2319" s="95"/>
    </row>
    <row r="2320" spans="17:17" x14ac:dyDescent="0.2">
      <c r="Q2320" s="95"/>
    </row>
    <row r="2321" spans="17:17" x14ac:dyDescent="0.2">
      <c r="Q2321" s="95"/>
    </row>
    <row r="2322" spans="17:17" x14ac:dyDescent="0.2">
      <c r="Q2322" s="95"/>
    </row>
    <row r="2323" spans="17:17" x14ac:dyDescent="0.2">
      <c r="Q2323" s="95"/>
    </row>
    <row r="2324" spans="17:17" x14ac:dyDescent="0.2">
      <c r="Q2324" s="95"/>
    </row>
    <row r="2325" spans="17:17" x14ac:dyDescent="0.2">
      <c r="Q2325" s="95"/>
    </row>
    <row r="2326" spans="17:17" x14ac:dyDescent="0.2">
      <c r="Q2326" s="95"/>
    </row>
    <row r="2327" spans="17:17" x14ac:dyDescent="0.2">
      <c r="Q2327" s="95"/>
    </row>
    <row r="2328" spans="17:17" x14ac:dyDescent="0.2">
      <c r="Q2328" s="95"/>
    </row>
    <row r="2329" spans="17:17" x14ac:dyDescent="0.2">
      <c r="Q2329" s="95"/>
    </row>
    <row r="2330" spans="17:17" x14ac:dyDescent="0.2">
      <c r="Q2330" s="95"/>
    </row>
    <row r="2331" spans="17:17" x14ac:dyDescent="0.2">
      <c r="Q2331" s="95"/>
    </row>
    <row r="2332" spans="17:17" x14ac:dyDescent="0.2">
      <c r="Q2332" s="95"/>
    </row>
    <row r="2333" spans="17:17" x14ac:dyDescent="0.2">
      <c r="Q2333" s="95"/>
    </row>
    <row r="2334" spans="17:17" x14ac:dyDescent="0.2">
      <c r="Q2334" s="95"/>
    </row>
    <row r="2335" spans="17:17" x14ac:dyDescent="0.2">
      <c r="Q2335" s="95"/>
    </row>
    <row r="2336" spans="17:17" x14ac:dyDescent="0.2">
      <c r="Q2336" s="95"/>
    </row>
    <row r="2337" spans="17:17" x14ac:dyDescent="0.2">
      <c r="Q2337" s="95"/>
    </row>
    <row r="2338" spans="17:17" x14ac:dyDescent="0.2">
      <c r="Q2338" s="95"/>
    </row>
    <row r="2339" spans="17:17" x14ac:dyDescent="0.2">
      <c r="Q2339" s="95"/>
    </row>
    <row r="2340" spans="17:17" x14ac:dyDescent="0.2">
      <c r="Q2340" s="95"/>
    </row>
    <row r="2341" spans="17:17" x14ac:dyDescent="0.2">
      <c r="Q2341" s="95"/>
    </row>
    <row r="2342" spans="17:17" x14ac:dyDescent="0.2">
      <c r="Q2342" s="95"/>
    </row>
    <row r="2343" spans="17:17" x14ac:dyDescent="0.2">
      <c r="Q2343" s="95"/>
    </row>
    <row r="2344" spans="17:17" x14ac:dyDescent="0.2">
      <c r="Q2344" s="95"/>
    </row>
    <row r="2345" spans="17:17" x14ac:dyDescent="0.2">
      <c r="Q2345" s="95"/>
    </row>
    <row r="2346" spans="17:17" x14ac:dyDescent="0.2">
      <c r="Q2346" s="95"/>
    </row>
    <row r="2347" spans="17:17" x14ac:dyDescent="0.2">
      <c r="Q2347" s="95"/>
    </row>
    <row r="2348" spans="17:17" x14ac:dyDescent="0.2">
      <c r="Q2348" s="95"/>
    </row>
    <row r="2349" spans="17:17" x14ac:dyDescent="0.2">
      <c r="Q2349" s="95"/>
    </row>
    <row r="2350" spans="17:17" x14ac:dyDescent="0.2">
      <c r="Q2350" s="95"/>
    </row>
    <row r="2351" spans="17:17" x14ac:dyDescent="0.2">
      <c r="Q2351" s="95"/>
    </row>
    <row r="2352" spans="17:17" x14ac:dyDescent="0.2">
      <c r="Q2352" s="95"/>
    </row>
    <row r="2353" spans="17:17" x14ac:dyDescent="0.2">
      <c r="Q2353" s="95"/>
    </row>
    <row r="2354" spans="17:17" x14ac:dyDescent="0.2">
      <c r="Q2354" s="95"/>
    </row>
    <row r="2355" spans="17:17" x14ac:dyDescent="0.2">
      <c r="Q2355" s="95"/>
    </row>
    <row r="2356" spans="17:17" x14ac:dyDescent="0.2">
      <c r="Q2356" s="95"/>
    </row>
    <row r="2357" spans="17:17" x14ac:dyDescent="0.2">
      <c r="Q2357" s="95"/>
    </row>
    <row r="2358" spans="17:17" x14ac:dyDescent="0.2">
      <c r="Q2358" s="95"/>
    </row>
    <row r="2359" spans="17:17" x14ac:dyDescent="0.2">
      <c r="Q2359" s="95"/>
    </row>
    <row r="2360" spans="17:17" x14ac:dyDescent="0.2">
      <c r="Q2360" s="95"/>
    </row>
    <row r="2361" spans="17:17" x14ac:dyDescent="0.2">
      <c r="Q2361" s="95"/>
    </row>
    <row r="2362" spans="17:17" x14ac:dyDescent="0.2">
      <c r="Q2362" s="95"/>
    </row>
    <row r="2363" spans="17:17" x14ac:dyDescent="0.2">
      <c r="Q2363" s="95"/>
    </row>
    <row r="2364" spans="17:17" x14ac:dyDescent="0.2">
      <c r="Q2364" s="95"/>
    </row>
    <row r="2365" spans="17:17" x14ac:dyDescent="0.2">
      <c r="Q2365" s="95"/>
    </row>
    <row r="2366" spans="17:17" x14ac:dyDescent="0.2">
      <c r="Q2366" s="95"/>
    </row>
    <row r="2367" spans="17:17" x14ac:dyDescent="0.2">
      <c r="Q2367" s="95"/>
    </row>
    <row r="2368" spans="17:17" x14ac:dyDescent="0.2">
      <c r="Q2368" s="95"/>
    </row>
    <row r="2369" spans="17:17" x14ac:dyDescent="0.2">
      <c r="Q2369" s="95"/>
    </row>
    <row r="2370" spans="17:17" x14ac:dyDescent="0.2">
      <c r="Q2370" s="95"/>
    </row>
    <row r="2371" spans="17:17" x14ac:dyDescent="0.2">
      <c r="Q2371" s="95"/>
    </row>
    <row r="2372" spans="17:17" x14ac:dyDescent="0.2">
      <c r="Q2372" s="95"/>
    </row>
    <row r="2373" spans="17:17" x14ac:dyDescent="0.2">
      <c r="Q2373" s="95"/>
    </row>
    <row r="2374" spans="17:17" x14ac:dyDescent="0.2">
      <c r="Q2374" s="95"/>
    </row>
    <row r="2375" spans="17:17" x14ac:dyDescent="0.2">
      <c r="Q2375" s="95"/>
    </row>
    <row r="2376" spans="17:17" x14ac:dyDescent="0.2">
      <c r="Q2376" s="95"/>
    </row>
    <row r="2377" spans="17:17" x14ac:dyDescent="0.2">
      <c r="Q2377" s="95"/>
    </row>
    <row r="2378" spans="17:17" x14ac:dyDescent="0.2">
      <c r="Q2378" s="95"/>
    </row>
    <row r="2379" spans="17:17" x14ac:dyDescent="0.2">
      <c r="Q2379" s="95"/>
    </row>
    <row r="2380" spans="17:17" x14ac:dyDescent="0.2">
      <c r="Q2380" s="95"/>
    </row>
    <row r="2381" spans="17:17" x14ac:dyDescent="0.2">
      <c r="Q2381" s="95"/>
    </row>
    <row r="2382" spans="17:17" x14ac:dyDescent="0.2">
      <c r="Q2382" s="95"/>
    </row>
    <row r="2383" spans="17:17" x14ac:dyDescent="0.2">
      <c r="Q2383" s="95"/>
    </row>
    <row r="2384" spans="17:17" x14ac:dyDescent="0.2">
      <c r="Q2384" s="95"/>
    </row>
    <row r="2385" spans="17:17" x14ac:dyDescent="0.2">
      <c r="Q2385" s="95"/>
    </row>
    <row r="2386" spans="17:17" x14ac:dyDescent="0.2">
      <c r="Q2386" s="95"/>
    </row>
    <row r="2387" spans="17:17" x14ac:dyDescent="0.2">
      <c r="Q2387" s="95"/>
    </row>
    <row r="2388" spans="17:17" x14ac:dyDescent="0.2">
      <c r="Q2388" s="95"/>
    </row>
    <row r="2389" spans="17:17" x14ac:dyDescent="0.2">
      <c r="Q2389" s="95"/>
    </row>
    <row r="2390" spans="17:17" x14ac:dyDescent="0.2">
      <c r="Q2390" s="95"/>
    </row>
    <row r="2391" spans="17:17" x14ac:dyDescent="0.2">
      <c r="Q2391" s="95"/>
    </row>
    <row r="2392" spans="17:17" x14ac:dyDescent="0.2">
      <c r="Q2392" s="95"/>
    </row>
    <row r="2393" spans="17:17" x14ac:dyDescent="0.2">
      <c r="Q2393" s="95"/>
    </row>
    <row r="2394" spans="17:17" x14ac:dyDescent="0.2">
      <c r="Q2394" s="95"/>
    </row>
    <row r="2395" spans="17:17" x14ac:dyDescent="0.2">
      <c r="Q2395" s="95"/>
    </row>
    <row r="2396" spans="17:17" x14ac:dyDescent="0.2">
      <c r="Q2396" s="95"/>
    </row>
    <row r="2397" spans="17:17" x14ac:dyDescent="0.2">
      <c r="Q2397" s="95"/>
    </row>
    <row r="2398" spans="17:17" x14ac:dyDescent="0.2">
      <c r="Q2398" s="95"/>
    </row>
    <row r="2399" spans="17:17" x14ac:dyDescent="0.2">
      <c r="Q2399" s="95"/>
    </row>
    <row r="2400" spans="17:17" x14ac:dyDescent="0.2">
      <c r="Q2400" s="95"/>
    </row>
    <row r="2401" spans="17:17" x14ac:dyDescent="0.2">
      <c r="Q2401" s="95"/>
    </row>
    <row r="2402" spans="17:17" x14ac:dyDescent="0.2">
      <c r="Q2402" s="95"/>
    </row>
    <row r="2403" spans="17:17" x14ac:dyDescent="0.2">
      <c r="Q2403" s="95"/>
    </row>
    <row r="2404" spans="17:17" x14ac:dyDescent="0.2">
      <c r="Q2404" s="95"/>
    </row>
    <row r="2405" spans="17:17" x14ac:dyDescent="0.2">
      <c r="Q2405" s="95"/>
    </row>
    <row r="2406" spans="17:17" x14ac:dyDescent="0.2">
      <c r="Q2406" s="95"/>
    </row>
    <row r="2407" spans="17:17" x14ac:dyDescent="0.2">
      <c r="Q2407" s="95"/>
    </row>
    <row r="2408" spans="17:17" x14ac:dyDescent="0.2">
      <c r="Q2408" s="95"/>
    </row>
    <row r="2409" spans="17:17" x14ac:dyDescent="0.2">
      <c r="Q2409" s="95"/>
    </row>
    <row r="2410" spans="17:17" x14ac:dyDescent="0.2">
      <c r="Q2410" s="95"/>
    </row>
    <row r="2411" spans="17:17" x14ac:dyDescent="0.2">
      <c r="Q2411" s="95"/>
    </row>
    <row r="2412" spans="17:17" x14ac:dyDescent="0.2">
      <c r="Q2412" s="95"/>
    </row>
    <row r="2413" spans="17:17" x14ac:dyDescent="0.2">
      <c r="Q2413" s="95"/>
    </row>
    <row r="2414" spans="17:17" x14ac:dyDescent="0.2">
      <c r="Q2414" s="95"/>
    </row>
    <row r="2415" spans="17:17" x14ac:dyDescent="0.2">
      <c r="Q2415" s="95"/>
    </row>
    <row r="2416" spans="17:17" x14ac:dyDescent="0.2">
      <c r="Q2416" s="95"/>
    </row>
    <row r="2417" spans="17:17" x14ac:dyDescent="0.2">
      <c r="Q2417" s="95"/>
    </row>
    <row r="2418" spans="17:17" x14ac:dyDescent="0.2">
      <c r="Q2418" s="95"/>
    </row>
    <row r="2419" spans="17:17" x14ac:dyDescent="0.2">
      <c r="Q2419" s="95"/>
    </row>
    <row r="2420" spans="17:17" x14ac:dyDescent="0.2">
      <c r="Q2420" s="95"/>
    </row>
    <row r="2421" spans="17:17" x14ac:dyDescent="0.2">
      <c r="Q2421" s="95"/>
    </row>
    <row r="2422" spans="17:17" x14ac:dyDescent="0.2">
      <c r="Q2422" s="95"/>
    </row>
    <row r="2423" spans="17:17" x14ac:dyDescent="0.2">
      <c r="Q2423" s="95"/>
    </row>
    <row r="2424" spans="17:17" x14ac:dyDescent="0.2">
      <c r="Q2424" s="95"/>
    </row>
    <row r="2425" spans="17:17" x14ac:dyDescent="0.2">
      <c r="Q2425" s="95"/>
    </row>
    <row r="2426" spans="17:17" x14ac:dyDescent="0.2">
      <c r="Q2426" s="95"/>
    </row>
    <row r="2427" spans="17:17" x14ac:dyDescent="0.2">
      <c r="Q2427" s="95"/>
    </row>
    <row r="2428" spans="17:17" x14ac:dyDescent="0.2">
      <c r="Q2428" s="95"/>
    </row>
    <row r="2429" spans="17:17" x14ac:dyDescent="0.2">
      <c r="Q2429" s="95"/>
    </row>
    <row r="2430" spans="17:17" x14ac:dyDescent="0.2">
      <c r="Q2430" s="95"/>
    </row>
    <row r="2431" spans="17:17" x14ac:dyDescent="0.2">
      <c r="Q2431" s="95"/>
    </row>
    <row r="2432" spans="17:17" x14ac:dyDescent="0.2">
      <c r="Q2432" s="95"/>
    </row>
    <row r="2433" spans="17:17" x14ac:dyDescent="0.2">
      <c r="Q2433" s="95"/>
    </row>
    <row r="2434" spans="17:17" x14ac:dyDescent="0.2">
      <c r="Q2434" s="95"/>
    </row>
    <row r="2435" spans="17:17" x14ac:dyDescent="0.2">
      <c r="Q2435" s="95"/>
    </row>
    <row r="2436" spans="17:17" x14ac:dyDescent="0.2">
      <c r="Q2436" s="95"/>
    </row>
    <row r="2437" spans="17:17" x14ac:dyDescent="0.2">
      <c r="Q2437" s="95"/>
    </row>
    <row r="2438" spans="17:17" x14ac:dyDescent="0.2">
      <c r="Q2438" s="95"/>
    </row>
    <row r="2439" spans="17:17" x14ac:dyDescent="0.2">
      <c r="Q2439" s="95"/>
    </row>
    <row r="2440" spans="17:17" x14ac:dyDescent="0.2">
      <c r="Q2440" s="95"/>
    </row>
    <row r="2441" spans="17:17" x14ac:dyDescent="0.2">
      <c r="Q2441" s="95"/>
    </row>
    <row r="2442" spans="17:17" x14ac:dyDescent="0.2">
      <c r="Q2442" s="95"/>
    </row>
    <row r="2443" spans="17:17" x14ac:dyDescent="0.2">
      <c r="Q2443" s="95"/>
    </row>
    <row r="2444" spans="17:17" x14ac:dyDescent="0.2">
      <c r="Q2444" s="95"/>
    </row>
    <row r="2445" spans="17:17" x14ac:dyDescent="0.2">
      <c r="Q2445" s="95"/>
    </row>
    <row r="2446" spans="17:17" x14ac:dyDescent="0.2">
      <c r="Q2446" s="95"/>
    </row>
    <row r="2447" spans="17:17" x14ac:dyDescent="0.2">
      <c r="Q2447" s="95"/>
    </row>
    <row r="2448" spans="17:17" x14ac:dyDescent="0.2">
      <c r="Q2448" s="95"/>
    </row>
    <row r="2449" spans="17:17" x14ac:dyDescent="0.2">
      <c r="Q2449" s="95"/>
    </row>
    <row r="2450" spans="17:17" x14ac:dyDescent="0.2">
      <c r="Q2450" s="95"/>
    </row>
    <row r="2451" spans="17:17" x14ac:dyDescent="0.2">
      <c r="Q2451" s="95"/>
    </row>
    <row r="2452" spans="17:17" x14ac:dyDescent="0.2">
      <c r="Q2452" s="95"/>
    </row>
    <row r="2453" spans="17:17" x14ac:dyDescent="0.2">
      <c r="Q2453" s="95"/>
    </row>
    <row r="2454" spans="17:17" x14ac:dyDescent="0.2">
      <c r="Q2454" s="95"/>
    </row>
    <row r="2455" spans="17:17" x14ac:dyDescent="0.2">
      <c r="Q2455" s="95"/>
    </row>
    <row r="2456" spans="17:17" x14ac:dyDescent="0.2">
      <c r="Q2456" s="95"/>
    </row>
    <row r="2457" spans="17:17" x14ac:dyDescent="0.2">
      <c r="Q2457" s="95"/>
    </row>
    <row r="2458" spans="17:17" x14ac:dyDescent="0.2">
      <c r="Q2458" s="95"/>
    </row>
    <row r="2459" spans="17:17" x14ac:dyDescent="0.2">
      <c r="Q2459" s="95"/>
    </row>
    <row r="2460" spans="17:17" x14ac:dyDescent="0.2">
      <c r="Q2460" s="95"/>
    </row>
    <row r="2461" spans="17:17" x14ac:dyDescent="0.2">
      <c r="Q2461" s="95"/>
    </row>
    <row r="2462" spans="17:17" x14ac:dyDescent="0.2">
      <c r="Q2462" s="95"/>
    </row>
    <row r="2463" spans="17:17" x14ac:dyDescent="0.2">
      <c r="Q2463" s="95"/>
    </row>
    <row r="2464" spans="17:17" x14ac:dyDescent="0.2">
      <c r="Q2464" s="95"/>
    </row>
    <row r="2465" spans="17:17" x14ac:dyDescent="0.2">
      <c r="Q2465" s="95"/>
    </row>
    <row r="2466" spans="17:17" x14ac:dyDescent="0.2">
      <c r="Q2466" s="95"/>
    </row>
    <row r="2467" spans="17:17" x14ac:dyDescent="0.2">
      <c r="Q2467" s="95"/>
    </row>
    <row r="2468" spans="17:17" x14ac:dyDescent="0.2">
      <c r="Q2468" s="95"/>
    </row>
    <row r="2469" spans="17:17" x14ac:dyDescent="0.2">
      <c r="Q2469" s="95"/>
    </row>
    <row r="2470" spans="17:17" x14ac:dyDescent="0.2">
      <c r="Q2470" s="95"/>
    </row>
    <row r="2471" spans="17:17" x14ac:dyDescent="0.2">
      <c r="Q2471" s="95"/>
    </row>
    <row r="2472" spans="17:17" x14ac:dyDescent="0.2">
      <c r="Q2472" s="95"/>
    </row>
    <row r="2473" spans="17:17" x14ac:dyDescent="0.2">
      <c r="Q2473" s="95"/>
    </row>
    <row r="2474" spans="17:17" x14ac:dyDescent="0.2">
      <c r="Q2474" s="95"/>
    </row>
    <row r="2475" spans="17:17" x14ac:dyDescent="0.2">
      <c r="Q2475" s="95"/>
    </row>
    <row r="2476" spans="17:17" x14ac:dyDescent="0.2">
      <c r="Q2476" s="95"/>
    </row>
    <row r="2477" spans="17:17" x14ac:dyDescent="0.2">
      <c r="Q2477" s="95"/>
    </row>
    <row r="2478" spans="17:17" x14ac:dyDescent="0.2">
      <c r="Q2478" s="95"/>
    </row>
    <row r="2479" spans="17:17" x14ac:dyDescent="0.2">
      <c r="Q2479" s="95"/>
    </row>
    <row r="2480" spans="17:17" x14ac:dyDescent="0.2">
      <c r="Q2480" s="95"/>
    </row>
    <row r="2481" spans="17:17" x14ac:dyDescent="0.2">
      <c r="Q2481" s="95"/>
    </row>
    <row r="2482" spans="17:17" x14ac:dyDescent="0.2">
      <c r="Q2482" s="95"/>
    </row>
    <row r="2483" spans="17:17" x14ac:dyDescent="0.2">
      <c r="Q2483" s="95"/>
    </row>
    <row r="2484" spans="17:17" x14ac:dyDescent="0.2">
      <c r="Q2484" s="95"/>
    </row>
    <row r="2485" spans="17:17" x14ac:dyDescent="0.2">
      <c r="Q2485" s="95"/>
    </row>
    <row r="2486" spans="17:17" x14ac:dyDescent="0.2">
      <c r="Q2486" s="95"/>
    </row>
    <row r="2487" spans="17:17" x14ac:dyDescent="0.2">
      <c r="Q2487" s="95"/>
    </row>
    <row r="2488" spans="17:17" x14ac:dyDescent="0.2">
      <c r="Q2488" s="95"/>
    </row>
    <row r="2489" spans="17:17" x14ac:dyDescent="0.2">
      <c r="Q2489" s="95"/>
    </row>
    <row r="2490" spans="17:17" x14ac:dyDescent="0.2">
      <c r="Q2490" s="95"/>
    </row>
    <row r="2491" spans="17:17" x14ac:dyDescent="0.2">
      <c r="Q2491" s="95"/>
    </row>
    <row r="2492" spans="17:17" x14ac:dyDescent="0.2">
      <c r="Q2492" s="95"/>
    </row>
    <row r="2493" spans="17:17" x14ac:dyDescent="0.2">
      <c r="Q2493" s="95"/>
    </row>
    <row r="2494" spans="17:17" x14ac:dyDescent="0.2">
      <c r="Q2494" s="95"/>
    </row>
    <row r="2495" spans="17:17" x14ac:dyDescent="0.2">
      <c r="Q2495" s="95"/>
    </row>
    <row r="2496" spans="17:17" x14ac:dyDescent="0.2">
      <c r="Q2496" s="95"/>
    </row>
    <row r="2497" spans="17:17" x14ac:dyDescent="0.2">
      <c r="Q2497" s="95"/>
    </row>
    <row r="2498" spans="17:17" x14ac:dyDescent="0.2">
      <c r="Q2498" s="95"/>
    </row>
    <row r="2499" spans="17:17" x14ac:dyDescent="0.2">
      <c r="Q2499" s="95"/>
    </row>
    <row r="2500" spans="17:17" x14ac:dyDescent="0.2">
      <c r="Q2500" s="95"/>
    </row>
    <row r="2501" spans="17:17" x14ac:dyDescent="0.2">
      <c r="Q2501" s="95"/>
    </row>
    <row r="2502" spans="17:17" x14ac:dyDescent="0.2">
      <c r="Q2502" s="95"/>
    </row>
    <row r="2503" spans="17:17" x14ac:dyDescent="0.2">
      <c r="Q2503" s="95"/>
    </row>
    <row r="2504" spans="17:17" x14ac:dyDescent="0.2">
      <c r="Q2504" s="95"/>
    </row>
    <row r="2505" spans="17:17" x14ac:dyDescent="0.2">
      <c r="Q2505" s="95"/>
    </row>
    <row r="2506" spans="17:17" x14ac:dyDescent="0.2">
      <c r="Q2506" s="95"/>
    </row>
    <row r="2507" spans="17:17" x14ac:dyDescent="0.2">
      <c r="Q2507" s="95"/>
    </row>
    <row r="2508" spans="17:17" x14ac:dyDescent="0.2">
      <c r="Q2508" s="95"/>
    </row>
    <row r="2509" spans="17:17" x14ac:dyDescent="0.2">
      <c r="Q2509" s="95"/>
    </row>
    <row r="2510" spans="17:17" x14ac:dyDescent="0.2">
      <c r="Q2510" s="95"/>
    </row>
    <row r="2511" spans="17:17" x14ac:dyDescent="0.2">
      <c r="Q2511" s="95"/>
    </row>
    <row r="2512" spans="17:17" x14ac:dyDescent="0.2">
      <c r="Q2512" s="95"/>
    </row>
    <row r="2513" spans="17:17" x14ac:dyDescent="0.2">
      <c r="Q2513" s="95"/>
    </row>
    <row r="2514" spans="17:17" x14ac:dyDescent="0.2">
      <c r="Q2514" s="95"/>
    </row>
    <row r="2515" spans="17:17" x14ac:dyDescent="0.2">
      <c r="Q2515" s="95"/>
    </row>
    <row r="2516" spans="17:17" x14ac:dyDescent="0.2">
      <c r="Q2516" s="95"/>
    </row>
    <row r="2517" spans="17:17" x14ac:dyDescent="0.2">
      <c r="Q2517" s="95"/>
    </row>
    <row r="2518" spans="17:17" x14ac:dyDescent="0.2">
      <c r="Q2518" s="95"/>
    </row>
    <row r="2519" spans="17:17" x14ac:dyDescent="0.2">
      <c r="Q2519" s="95"/>
    </row>
    <row r="2520" spans="17:17" x14ac:dyDescent="0.2">
      <c r="Q2520" s="95"/>
    </row>
    <row r="2521" spans="17:17" x14ac:dyDescent="0.2">
      <c r="Q2521" s="95"/>
    </row>
    <row r="2522" spans="17:17" x14ac:dyDescent="0.2">
      <c r="Q2522" s="95"/>
    </row>
    <row r="2523" spans="17:17" x14ac:dyDescent="0.2">
      <c r="Q2523" s="95"/>
    </row>
    <row r="2524" spans="17:17" x14ac:dyDescent="0.2">
      <c r="Q2524" s="95"/>
    </row>
    <row r="2525" spans="17:17" x14ac:dyDescent="0.2">
      <c r="Q2525" s="95"/>
    </row>
    <row r="2526" spans="17:17" x14ac:dyDescent="0.2">
      <c r="Q2526" s="95"/>
    </row>
    <row r="2527" spans="17:17" x14ac:dyDescent="0.2">
      <c r="Q2527" s="95"/>
    </row>
    <row r="2528" spans="17:17" x14ac:dyDescent="0.2">
      <c r="Q2528" s="95"/>
    </row>
    <row r="2529" spans="17:17" x14ac:dyDescent="0.2">
      <c r="Q2529" s="95"/>
    </row>
    <row r="2530" spans="17:17" x14ac:dyDescent="0.2">
      <c r="Q2530" s="95"/>
    </row>
    <row r="2531" spans="17:17" x14ac:dyDescent="0.2">
      <c r="Q2531" s="95"/>
    </row>
    <row r="2532" spans="17:17" x14ac:dyDescent="0.2">
      <c r="Q2532" s="95"/>
    </row>
    <row r="2533" spans="17:17" x14ac:dyDescent="0.2">
      <c r="Q2533" s="95"/>
    </row>
    <row r="2534" spans="17:17" x14ac:dyDescent="0.2">
      <c r="Q2534" s="95"/>
    </row>
    <row r="2535" spans="17:17" x14ac:dyDescent="0.2">
      <c r="Q2535" s="95"/>
    </row>
    <row r="2536" spans="17:17" x14ac:dyDescent="0.2">
      <c r="Q2536" s="95"/>
    </row>
    <row r="2537" spans="17:17" x14ac:dyDescent="0.2">
      <c r="Q2537" s="95"/>
    </row>
    <row r="2538" spans="17:17" x14ac:dyDescent="0.2">
      <c r="Q2538" s="95"/>
    </row>
    <row r="2539" spans="17:17" x14ac:dyDescent="0.2">
      <c r="Q2539" s="95"/>
    </row>
    <row r="2540" spans="17:17" x14ac:dyDescent="0.2">
      <c r="Q2540" s="95"/>
    </row>
    <row r="2541" spans="17:17" x14ac:dyDescent="0.2">
      <c r="Q2541" s="95"/>
    </row>
    <row r="2542" spans="17:17" x14ac:dyDescent="0.2">
      <c r="Q2542" s="95"/>
    </row>
    <row r="2543" spans="17:17" x14ac:dyDescent="0.2">
      <c r="Q2543" s="95"/>
    </row>
    <row r="2544" spans="17:17" x14ac:dyDescent="0.2">
      <c r="Q2544" s="95"/>
    </row>
    <row r="2545" spans="17:17" x14ac:dyDescent="0.2">
      <c r="Q2545" s="95"/>
    </row>
    <row r="2546" spans="17:17" x14ac:dyDescent="0.2">
      <c r="Q2546" s="95"/>
    </row>
    <row r="2547" spans="17:17" x14ac:dyDescent="0.2">
      <c r="Q2547" s="95"/>
    </row>
    <row r="2548" spans="17:17" x14ac:dyDescent="0.2">
      <c r="Q2548" s="95"/>
    </row>
    <row r="2549" spans="17:17" x14ac:dyDescent="0.2">
      <c r="Q2549" s="95"/>
    </row>
    <row r="2550" spans="17:17" x14ac:dyDescent="0.2">
      <c r="Q2550" s="95"/>
    </row>
    <row r="2551" spans="17:17" x14ac:dyDescent="0.2">
      <c r="Q2551" s="95"/>
    </row>
    <row r="2552" spans="17:17" x14ac:dyDescent="0.2">
      <c r="Q2552" s="95"/>
    </row>
    <row r="2553" spans="17:17" x14ac:dyDescent="0.2">
      <c r="Q2553" s="95"/>
    </row>
    <row r="2554" spans="17:17" x14ac:dyDescent="0.2">
      <c r="Q2554" s="95"/>
    </row>
    <row r="2555" spans="17:17" x14ac:dyDescent="0.2">
      <c r="Q2555" s="95"/>
    </row>
    <row r="2556" spans="17:17" x14ac:dyDescent="0.2">
      <c r="Q2556" s="95"/>
    </row>
    <row r="2557" spans="17:17" x14ac:dyDescent="0.2">
      <c r="Q2557" s="95"/>
    </row>
    <row r="2558" spans="17:17" x14ac:dyDescent="0.2">
      <c r="Q2558" s="95"/>
    </row>
    <row r="2559" spans="17:17" x14ac:dyDescent="0.2">
      <c r="Q2559" s="95"/>
    </row>
    <row r="2560" spans="17:17" x14ac:dyDescent="0.2">
      <c r="Q2560" s="95"/>
    </row>
    <row r="2561" spans="17:17" x14ac:dyDescent="0.2">
      <c r="Q2561" s="95"/>
    </row>
    <row r="2562" spans="17:17" x14ac:dyDescent="0.2">
      <c r="Q2562" s="95"/>
    </row>
    <row r="2563" spans="17:17" x14ac:dyDescent="0.2">
      <c r="Q2563" s="95"/>
    </row>
    <row r="2564" spans="17:17" x14ac:dyDescent="0.2">
      <c r="Q2564" s="95"/>
    </row>
    <row r="2565" spans="17:17" x14ac:dyDescent="0.2">
      <c r="Q2565" s="95"/>
    </row>
    <row r="2566" spans="17:17" x14ac:dyDescent="0.2">
      <c r="Q2566" s="95"/>
    </row>
    <row r="2567" spans="17:17" x14ac:dyDescent="0.2">
      <c r="Q2567" s="95"/>
    </row>
    <row r="2568" spans="17:17" x14ac:dyDescent="0.2">
      <c r="Q2568" s="95"/>
    </row>
    <row r="2569" spans="17:17" x14ac:dyDescent="0.2">
      <c r="Q2569" s="95"/>
    </row>
    <row r="2570" spans="17:17" x14ac:dyDescent="0.2">
      <c r="Q2570" s="95"/>
    </row>
    <row r="2571" spans="17:17" x14ac:dyDescent="0.2">
      <c r="Q2571" s="95"/>
    </row>
    <row r="2572" spans="17:17" x14ac:dyDescent="0.2">
      <c r="Q2572" s="95"/>
    </row>
    <row r="2573" spans="17:17" x14ac:dyDescent="0.2">
      <c r="Q2573" s="95"/>
    </row>
    <row r="2574" spans="17:17" x14ac:dyDescent="0.2">
      <c r="Q2574" s="95"/>
    </row>
    <row r="2575" spans="17:17" x14ac:dyDescent="0.2">
      <c r="Q2575" s="95"/>
    </row>
    <row r="2576" spans="17:17" x14ac:dyDescent="0.2">
      <c r="Q2576" s="95"/>
    </row>
    <row r="2577" spans="17:17" x14ac:dyDescent="0.2">
      <c r="Q2577" s="95"/>
    </row>
    <row r="2578" spans="17:17" x14ac:dyDescent="0.2">
      <c r="Q2578" s="95"/>
    </row>
    <row r="2579" spans="17:17" x14ac:dyDescent="0.2">
      <c r="Q2579" s="95"/>
    </row>
    <row r="2580" spans="17:17" x14ac:dyDescent="0.2">
      <c r="Q2580" s="95"/>
    </row>
    <row r="2581" spans="17:17" x14ac:dyDescent="0.2">
      <c r="Q2581" s="95"/>
    </row>
    <row r="2582" spans="17:17" x14ac:dyDescent="0.2">
      <c r="Q2582" s="95"/>
    </row>
    <row r="2583" spans="17:17" x14ac:dyDescent="0.2">
      <c r="Q2583" s="95"/>
    </row>
    <row r="2584" spans="17:17" x14ac:dyDescent="0.2">
      <c r="Q2584" s="95"/>
    </row>
    <row r="2585" spans="17:17" x14ac:dyDescent="0.2">
      <c r="Q2585" s="95"/>
    </row>
    <row r="2586" spans="17:17" x14ac:dyDescent="0.2">
      <c r="Q2586" s="95"/>
    </row>
    <row r="2587" spans="17:17" x14ac:dyDescent="0.2">
      <c r="Q2587" s="95"/>
    </row>
    <row r="2588" spans="17:17" x14ac:dyDescent="0.2">
      <c r="Q2588" s="95"/>
    </row>
    <row r="2589" spans="17:17" x14ac:dyDescent="0.2">
      <c r="Q2589" s="95"/>
    </row>
    <row r="2590" spans="17:17" x14ac:dyDescent="0.2">
      <c r="Q2590" s="95"/>
    </row>
    <row r="2591" spans="17:17" x14ac:dyDescent="0.2">
      <c r="Q2591" s="95"/>
    </row>
    <row r="2592" spans="17:17" x14ac:dyDescent="0.2">
      <c r="Q2592" s="95"/>
    </row>
    <row r="2593" spans="17:17" x14ac:dyDescent="0.2">
      <c r="Q2593" s="95"/>
    </row>
    <row r="2594" spans="17:17" x14ac:dyDescent="0.2">
      <c r="Q2594" s="95"/>
    </row>
    <row r="2595" spans="17:17" x14ac:dyDescent="0.2">
      <c r="Q2595" s="95"/>
    </row>
    <row r="2596" spans="17:17" x14ac:dyDescent="0.2">
      <c r="Q2596" s="95"/>
    </row>
    <row r="2597" spans="17:17" x14ac:dyDescent="0.2">
      <c r="Q2597" s="95"/>
    </row>
    <row r="2598" spans="17:17" x14ac:dyDescent="0.2">
      <c r="Q2598" s="95"/>
    </row>
    <row r="2599" spans="17:17" x14ac:dyDescent="0.2">
      <c r="Q2599" s="95"/>
    </row>
    <row r="2600" spans="17:17" x14ac:dyDescent="0.2">
      <c r="Q2600" s="95"/>
    </row>
    <row r="2601" spans="17:17" x14ac:dyDescent="0.2">
      <c r="Q2601" s="95"/>
    </row>
    <row r="2602" spans="17:17" x14ac:dyDescent="0.2">
      <c r="Q2602" s="95"/>
    </row>
    <row r="2603" spans="17:17" x14ac:dyDescent="0.2">
      <c r="Q2603" s="95"/>
    </row>
    <row r="2604" spans="17:17" x14ac:dyDescent="0.2">
      <c r="Q2604" s="95"/>
    </row>
    <row r="2605" spans="17:17" x14ac:dyDescent="0.2">
      <c r="Q2605" s="95"/>
    </row>
    <row r="2606" spans="17:17" x14ac:dyDescent="0.2">
      <c r="Q2606" s="95"/>
    </row>
    <row r="2607" spans="17:17" x14ac:dyDescent="0.2">
      <c r="Q2607" s="95"/>
    </row>
    <row r="2608" spans="17:17" x14ac:dyDescent="0.2">
      <c r="Q2608" s="95"/>
    </row>
    <row r="2609" spans="17:17" x14ac:dyDescent="0.2">
      <c r="Q2609" s="95"/>
    </row>
    <row r="2610" spans="17:17" x14ac:dyDescent="0.2">
      <c r="Q2610" s="95"/>
    </row>
    <row r="2611" spans="17:17" x14ac:dyDescent="0.2">
      <c r="Q2611" s="95"/>
    </row>
    <row r="2612" spans="17:17" x14ac:dyDescent="0.2">
      <c r="Q2612" s="95"/>
    </row>
    <row r="2613" spans="17:17" x14ac:dyDescent="0.2">
      <c r="Q2613" s="95"/>
    </row>
    <row r="2614" spans="17:17" x14ac:dyDescent="0.2">
      <c r="Q2614" s="95"/>
    </row>
    <row r="2615" spans="17:17" x14ac:dyDescent="0.2">
      <c r="Q2615" s="95"/>
    </row>
    <row r="2616" spans="17:17" x14ac:dyDescent="0.2">
      <c r="Q2616" s="95"/>
    </row>
    <row r="2617" spans="17:17" x14ac:dyDescent="0.2">
      <c r="Q2617" s="95"/>
    </row>
    <row r="2618" spans="17:17" x14ac:dyDescent="0.2">
      <c r="Q2618" s="95"/>
    </row>
    <row r="2619" spans="17:17" x14ac:dyDescent="0.2">
      <c r="Q2619" s="95"/>
    </row>
    <row r="2620" spans="17:17" x14ac:dyDescent="0.2">
      <c r="Q2620" s="95"/>
    </row>
    <row r="2621" spans="17:17" x14ac:dyDescent="0.2">
      <c r="Q2621" s="95"/>
    </row>
    <row r="2622" spans="17:17" x14ac:dyDescent="0.2">
      <c r="Q2622" s="95"/>
    </row>
    <row r="2623" spans="17:17" x14ac:dyDescent="0.2">
      <c r="Q2623" s="95"/>
    </row>
    <row r="2624" spans="17:17" x14ac:dyDescent="0.2">
      <c r="Q2624" s="95"/>
    </row>
    <row r="2625" spans="17:17" x14ac:dyDescent="0.2">
      <c r="Q2625" s="95"/>
    </row>
    <row r="2626" spans="17:17" x14ac:dyDescent="0.2">
      <c r="Q2626" s="95"/>
    </row>
    <row r="2627" spans="17:17" x14ac:dyDescent="0.2">
      <c r="Q2627" s="95"/>
    </row>
    <row r="2628" spans="17:17" x14ac:dyDescent="0.2">
      <c r="Q2628" s="95"/>
    </row>
    <row r="2629" spans="17:17" x14ac:dyDescent="0.2">
      <c r="Q2629" s="95"/>
    </row>
    <row r="2630" spans="17:17" x14ac:dyDescent="0.2">
      <c r="Q2630" s="95"/>
    </row>
    <row r="2631" spans="17:17" x14ac:dyDescent="0.2">
      <c r="Q2631" s="95"/>
    </row>
    <row r="2632" spans="17:17" x14ac:dyDescent="0.2">
      <c r="Q2632" s="95"/>
    </row>
    <row r="2633" spans="17:17" x14ac:dyDescent="0.2">
      <c r="Q2633" s="95"/>
    </row>
    <row r="2634" spans="17:17" x14ac:dyDescent="0.2">
      <c r="Q2634" s="95"/>
    </row>
    <row r="2635" spans="17:17" x14ac:dyDescent="0.2">
      <c r="Q2635" s="95"/>
    </row>
    <row r="2636" spans="17:17" x14ac:dyDescent="0.2">
      <c r="Q2636" s="95"/>
    </row>
    <row r="2637" spans="17:17" x14ac:dyDescent="0.2">
      <c r="Q2637" s="95"/>
    </row>
    <row r="2638" spans="17:17" x14ac:dyDescent="0.2">
      <c r="Q2638" s="95"/>
    </row>
    <row r="2639" spans="17:17" x14ac:dyDescent="0.2">
      <c r="Q2639" s="95"/>
    </row>
    <row r="2640" spans="17:17" x14ac:dyDescent="0.2">
      <c r="Q2640" s="95"/>
    </row>
    <row r="2641" spans="17:17" x14ac:dyDescent="0.2">
      <c r="Q2641" s="95"/>
    </row>
    <row r="2642" spans="17:17" x14ac:dyDescent="0.2">
      <c r="Q2642" s="95"/>
    </row>
    <row r="2643" spans="17:17" x14ac:dyDescent="0.2">
      <c r="Q2643" s="95"/>
    </row>
    <row r="2644" spans="17:17" x14ac:dyDescent="0.2">
      <c r="Q2644" s="95"/>
    </row>
    <row r="2645" spans="17:17" x14ac:dyDescent="0.2">
      <c r="Q2645" s="95"/>
    </row>
    <row r="2646" spans="17:17" x14ac:dyDescent="0.2">
      <c r="Q2646" s="95"/>
    </row>
    <row r="2647" spans="17:17" x14ac:dyDescent="0.2">
      <c r="Q2647" s="95"/>
    </row>
    <row r="2648" spans="17:17" x14ac:dyDescent="0.2">
      <c r="Q2648" s="95"/>
    </row>
    <row r="2649" spans="17:17" x14ac:dyDescent="0.2">
      <c r="Q2649" s="95"/>
    </row>
    <row r="2650" spans="17:17" x14ac:dyDescent="0.2">
      <c r="Q2650" s="95"/>
    </row>
    <row r="2651" spans="17:17" x14ac:dyDescent="0.2">
      <c r="Q2651" s="95"/>
    </row>
    <row r="2652" spans="17:17" x14ac:dyDescent="0.2">
      <c r="Q2652" s="95"/>
    </row>
    <row r="2653" spans="17:17" x14ac:dyDescent="0.2">
      <c r="Q2653" s="95"/>
    </row>
    <row r="2654" spans="17:17" x14ac:dyDescent="0.2">
      <c r="Q2654" s="95"/>
    </row>
    <row r="2655" spans="17:17" x14ac:dyDescent="0.2">
      <c r="Q2655" s="95"/>
    </row>
    <row r="2656" spans="17:17" x14ac:dyDescent="0.2">
      <c r="Q2656" s="95"/>
    </row>
    <row r="2657" spans="17:17" x14ac:dyDescent="0.2">
      <c r="Q2657" s="95"/>
    </row>
    <row r="2658" spans="17:17" x14ac:dyDescent="0.2">
      <c r="Q2658" s="95"/>
    </row>
    <row r="2659" spans="17:17" x14ac:dyDescent="0.2">
      <c r="Q2659" s="95"/>
    </row>
    <row r="2660" spans="17:17" x14ac:dyDescent="0.2">
      <c r="Q2660" s="95"/>
    </row>
    <row r="2661" spans="17:17" x14ac:dyDescent="0.2">
      <c r="Q2661" s="95"/>
    </row>
    <row r="2662" spans="17:17" x14ac:dyDescent="0.2">
      <c r="Q2662" s="95"/>
    </row>
    <row r="2663" spans="17:17" x14ac:dyDescent="0.2">
      <c r="Q2663" s="95"/>
    </row>
    <row r="2664" spans="17:17" x14ac:dyDescent="0.2">
      <c r="Q2664" s="95"/>
    </row>
    <row r="2665" spans="17:17" x14ac:dyDescent="0.2">
      <c r="Q2665" s="95"/>
    </row>
    <row r="2666" spans="17:17" x14ac:dyDescent="0.2">
      <c r="Q2666" s="95"/>
    </row>
    <row r="2667" spans="17:17" x14ac:dyDescent="0.2">
      <c r="Q2667" s="95"/>
    </row>
    <row r="2668" spans="17:17" x14ac:dyDescent="0.2">
      <c r="Q2668" s="95"/>
    </row>
    <row r="2669" spans="17:17" x14ac:dyDescent="0.2">
      <c r="Q2669" s="95"/>
    </row>
    <row r="2670" spans="17:17" x14ac:dyDescent="0.2">
      <c r="Q2670" s="95"/>
    </row>
    <row r="2671" spans="17:17" x14ac:dyDescent="0.2">
      <c r="Q2671" s="95"/>
    </row>
    <row r="2672" spans="17:17" x14ac:dyDescent="0.2">
      <c r="Q2672" s="95"/>
    </row>
    <row r="2673" spans="17:17" x14ac:dyDescent="0.2">
      <c r="Q2673" s="95"/>
    </row>
    <row r="2674" spans="17:17" x14ac:dyDescent="0.2">
      <c r="Q2674" s="95"/>
    </row>
    <row r="2675" spans="17:17" x14ac:dyDescent="0.2">
      <c r="Q2675" s="95"/>
    </row>
    <row r="2676" spans="17:17" x14ac:dyDescent="0.2">
      <c r="Q2676" s="95"/>
    </row>
    <row r="2677" spans="17:17" x14ac:dyDescent="0.2">
      <c r="Q2677" s="95"/>
    </row>
    <row r="2678" spans="17:17" x14ac:dyDescent="0.2">
      <c r="Q2678" s="95"/>
    </row>
    <row r="2679" spans="17:17" x14ac:dyDescent="0.2">
      <c r="Q2679" s="95"/>
    </row>
    <row r="2680" spans="17:17" x14ac:dyDescent="0.2">
      <c r="Q2680" s="95"/>
    </row>
    <row r="2681" spans="17:17" x14ac:dyDescent="0.2">
      <c r="Q2681" s="95"/>
    </row>
    <row r="2682" spans="17:17" x14ac:dyDescent="0.2">
      <c r="Q2682" s="95"/>
    </row>
    <row r="2683" spans="17:17" x14ac:dyDescent="0.2">
      <c r="Q2683" s="95"/>
    </row>
    <row r="2684" spans="17:17" x14ac:dyDescent="0.2">
      <c r="Q2684" s="95"/>
    </row>
    <row r="2685" spans="17:17" x14ac:dyDescent="0.2">
      <c r="Q2685" s="95"/>
    </row>
    <row r="2686" spans="17:17" x14ac:dyDescent="0.2">
      <c r="Q2686" s="95"/>
    </row>
    <row r="2687" spans="17:17" x14ac:dyDescent="0.2">
      <c r="Q2687" s="95"/>
    </row>
    <row r="2688" spans="17:17" x14ac:dyDescent="0.2">
      <c r="Q2688" s="95"/>
    </row>
    <row r="2689" spans="17:17" x14ac:dyDescent="0.2">
      <c r="Q2689" s="95"/>
    </row>
    <row r="2690" spans="17:17" x14ac:dyDescent="0.2">
      <c r="Q2690" s="95"/>
    </row>
    <row r="2691" spans="17:17" x14ac:dyDescent="0.2">
      <c r="Q2691" s="95"/>
    </row>
    <row r="2692" spans="17:17" x14ac:dyDescent="0.2">
      <c r="Q2692" s="95"/>
    </row>
    <row r="2693" spans="17:17" x14ac:dyDescent="0.2">
      <c r="Q2693" s="95"/>
    </row>
    <row r="2694" spans="17:17" x14ac:dyDescent="0.2">
      <c r="Q2694" s="95"/>
    </row>
    <row r="2695" spans="17:17" x14ac:dyDescent="0.2">
      <c r="Q2695" s="95"/>
    </row>
    <row r="2696" spans="17:17" x14ac:dyDescent="0.2">
      <c r="Q2696" s="95"/>
    </row>
    <row r="2697" spans="17:17" x14ac:dyDescent="0.2">
      <c r="Q2697" s="95"/>
    </row>
    <row r="2698" spans="17:17" x14ac:dyDescent="0.2">
      <c r="Q2698" s="95"/>
    </row>
    <row r="2699" spans="17:17" x14ac:dyDescent="0.2">
      <c r="Q2699" s="95"/>
    </row>
    <row r="2700" spans="17:17" x14ac:dyDescent="0.2">
      <c r="Q2700" s="95"/>
    </row>
    <row r="2701" spans="17:17" x14ac:dyDescent="0.2">
      <c r="Q2701" s="95"/>
    </row>
    <row r="2702" spans="17:17" x14ac:dyDescent="0.2">
      <c r="Q2702" s="95"/>
    </row>
    <row r="2703" spans="17:17" x14ac:dyDescent="0.2">
      <c r="Q2703" s="95"/>
    </row>
    <row r="2704" spans="17:17" x14ac:dyDescent="0.2">
      <c r="Q2704" s="95"/>
    </row>
    <row r="2705" spans="17:17" x14ac:dyDescent="0.2">
      <c r="Q2705" s="95"/>
    </row>
    <row r="2706" spans="17:17" x14ac:dyDescent="0.2">
      <c r="Q2706" s="95"/>
    </row>
    <row r="2707" spans="17:17" x14ac:dyDescent="0.2">
      <c r="Q2707" s="95"/>
    </row>
    <row r="2708" spans="17:17" x14ac:dyDescent="0.2">
      <c r="Q2708" s="95"/>
    </row>
    <row r="2709" spans="17:17" x14ac:dyDescent="0.2">
      <c r="Q2709" s="95"/>
    </row>
    <row r="2710" spans="17:17" x14ac:dyDescent="0.2">
      <c r="Q2710" s="95"/>
    </row>
    <row r="2711" spans="17:17" x14ac:dyDescent="0.2">
      <c r="Q2711" s="95"/>
    </row>
    <row r="2712" spans="17:17" x14ac:dyDescent="0.2">
      <c r="Q2712" s="95"/>
    </row>
    <row r="2713" spans="17:17" x14ac:dyDescent="0.2">
      <c r="Q2713" s="95"/>
    </row>
    <row r="2714" spans="17:17" x14ac:dyDescent="0.2">
      <c r="Q2714" s="95"/>
    </row>
    <row r="2715" spans="17:17" x14ac:dyDescent="0.2">
      <c r="Q2715" s="95"/>
    </row>
    <row r="2716" spans="17:17" x14ac:dyDescent="0.2">
      <c r="Q2716" s="95"/>
    </row>
    <row r="2717" spans="17:17" x14ac:dyDescent="0.2">
      <c r="Q2717" s="95"/>
    </row>
    <row r="2718" spans="17:17" x14ac:dyDescent="0.2">
      <c r="Q2718" s="95"/>
    </row>
    <row r="2719" spans="17:17" x14ac:dyDescent="0.2">
      <c r="Q2719" s="95"/>
    </row>
    <row r="2720" spans="17:17" x14ac:dyDescent="0.2">
      <c r="Q2720" s="95"/>
    </row>
    <row r="2721" spans="17:17" x14ac:dyDescent="0.2">
      <c r="Q2721" s="95"/>
    </row>
    <row r="2722" spans="17:17" x14ac:dyDescent="0.2">
      <c r="Q2722" s="95"/>
    </row>
    <row r="2723" spans="17:17" x14ac:dyDescent="0.2">
      <c r="Q2723" s="95"/>
    </row>
    <row r="2724" spans="17:17" x14ac:dyDescent="0.2">
      <c r="Q2724" s="95"/>
    </row>
    <row r="2725" spans="17:17" x14ac:dyDescent="0.2">
      <c r="Q2725" s="95"/>
    </row>
    <row r="2726" spans="17:17" x14ac:dyDescent="0.2">
      <c r="Q2726" s="95"/>
    </row>
    <row r="2727" spans="17:17" x14ac:dyDescent="0.2">
      <c r="Q2727" s="95"/>
    </row>
    <row r="2728" spans="17:17" x14ac:dyDescent="0.2">
      <c r="Q2728" s="95"/>
    </row>
    <row r="2729" spans="17:17" x14ac:dyDescent="0.2">
      <c r="Q2729" s="95"/>
    </row>
    <row r="2730" spans="17:17" x14ac:dyDescent="0.2">
      <c r="Q2730" s="95"/>
    </row>
    <row r="2731" spans="17:17" x14ac:dyDescent="0.2">
      <c r="Q2731" s="95"/>
    </row>
    <row r="2732" spans="17:17" x14ac:dyDescent="0.2">
      <c r="Q2732" s="95"/>
    </row>
    <row r="2733" spans="17:17" x14ac:dyDescent="0.2">
      <c r="Q2733" s="95"/>
    </row>
    <row r="2734" spans="17:17" x14ac:dyDescent="0.2">
      <c r="Q2734" s="95"/>
    </row>
    <row r="2735" spans="17:17" x14ac:dyDescent="0.2">
      <c r="Q2735" s="95"/>
    </row>
    <row r="2736" spans="17:17" x14ac:dyDescent="0.2">
      <c r="Q2736" s="95"/>
    </row>
    <row r="2737" spans="17:17" x14ac:dyDescent="0.2">
      <c r="Q2737" s="95"/>
    </row>
    <row r="2738" spans="17:17" x14ac:dyDescent="0.2">
      <c r="Q2738" s="95"/>
    </row>
    <row r="2739" spans="17:17" x14ac:dyDescent="0.2">
      <c r="Q2739" s="95"/>
    </row>
    <row r="2740" spans="17:17" x14ac:dyDescent="0.2">
      <c r="Q2740" s="95"/>
    </row>
    <row r="2741" spans="17:17" x14ac:dyDescent="0.2">
      <c r="Q2741" s="95"/>
    </row>
    <row r="2742" spans="17:17" x14ac:dyDescent="0.2">
      <c r="Q2742" s="95"/>
    </row>
    <row r="2743" spans="17:17" x14ac:dyDescent="0.2">
      <c r="Q2743" s="95"/>
    </row>
    <row r="2744" spans="17:17" x14ac:dyDescent="0.2">
      <c r="Q2744" s="95"/>
    </row>
    <row r="2745" spans="17:17" x14ac:dyDescent="0.2">
      <c r="Q2745" s="95"/>
    </row>
    <row r="2746" spans="17:17" x14ac:dyDescent="0.2">
      <c r="Q2746" s="95"/>
    </row>
    <row r="2747" spans="17:17" x14ac:dyDescent="0.2">
      <c r="Q2747" s="95"/>
    </row>
    <row r="2748" spans="17:17" x14ac:dyDescent="0.2">
      <c r="Q2748" s="95"/>
    </row>
    <row r="2749" spans="17:17" x14ac:dyDescent="0.2">
      <c r="Q2749" s="95"/>
    </row>
    <row r="2750" spans="17:17" x14ac:dyDescent="0.2">
      <c r="Q2750" s="95"/>
    </row>
    <row r="2751" spans="17:17" x14ac:dyDescent="0.2">
      <c r="Q2751" s="95"/>
    </row>
    <row r="2752" spans="17:17" x14ac:dyDescent="0.2">
      <c r="Q2752" s="95"/>
    </row>
    <row r="2753" spans="17:17" x14ac:dyDescent="0.2">
      <c r="Q2753" s="95"/>
    </row>
    <row r="2754" spans="17:17" x14ac:dyDescent="0.2">
      <c r="Q2754" s="95"/>
    </row>
    <row r="2755" spans="17:17" x14ac:dyDescent="0.2">
      <c r="Q2755" s="95"/>
    </row>
    <row r="2756" spans="17:17" x14ac:dyDescent="0.2">
      <c r="Q2756" s="95"/>
    </row>
    <row r="2757" spans="17:17" x14ac:dyDescent="0.2">
      <c r="Q2757" s="95"/>
    </row>
    <row r="2758" spans="17:17" x14ac:dyDescent="0.2">
      <c r="Q2758" s="95"/>
    </row>
    <row r="2759" spans="17:17" x14ac:dyDescent="0.2">
      <c r="Q2759" s="95"/>
    </row>
    <row r="2760" spans="17:17" x14ac:dyDescent="0.2">
      <c r="Q2760" s="95"/>
    </row>
    <row r="2761" spans="17:17" x14ac:dyDescent="0.2">
      <c r="Q2761" s="95"/>
    </row>
    <row r="2762" spans="17:17" x14ac:dyDescent="0.2">
      <c r="Q2762" s="95"/>
    </row>
    <row r="2763" spans="17:17" x14ac:dyDescent="0.2">
      <c r="Q2763" s="95"/>
    </row>
    <row r="2764" spans="17:17" x14ac:dyDescent="0.2">
      <c r="Q2764" s="95"/>
    </row>
    <row r="2765" spans="17:17" x14ac:dyDescent="0.2">
      <c r="Q2765" s="95"/>
    </row>
    <row r="2766" spans="17:17" x14ac:dyDescent="0.2">
      <c r="Q2766" s="95"/>
    </row>
    <row r="2767" spans="17:17" x14ac:dyDescent="0.2">
      <c r="Q2767" s="95"/>
    </row>
    <row r="2768" spans="17:17" x14ac:dyDescent="0.2">
      <c r="Q2768" s="95"/>
    </row>
    <row r="2769" spans="17:17" x14ac:dyDescent="0.2">
      <c r="Q2769" s="95"/>
    </row>
    <row r="2770" spans="17:17" x14ac:dyDescent="0.2">
      <c r="Q2770" s="95"/>
    </row>
    <row r="2771" spans="17:17" x14ac:dyDescent="0.2">
      <c r="Q2771" s="95"/>
    </row>
    <row r="2772" spans="17:17" x14ac:dyDescent="0.2">
      <c r="Q2772" s="95"/>
    </row>
    <row r="2773" spans="17:17" x14ac:dyDescent="0.2">
      <c r="Q2773" s="95"/>
    </row>
    <row r="2774" spans="17:17" x14ac:dyDescent="0.2">
      <c r="Q2774" s="95"/>
    </row>
    <row r="2775" spans="17:17" x14ac:dyDescent="0.2">
      <c r="Q2775" s="95"/>
    </row>
    <row r="2776" spans="17:17" x14ac:dyDescent="0.2">
      <c r="Q2776" s="95"/>
    </row>
    <row r="2777" spans="17:17" x14ac:dyDescent="0.2">
      <c r="Q2777" s="95"/>
    </row>
    <row r="2778" spans="17:17" x14ac:dyDescent="0.2">
      <c r="Q2778" s="95"/>
    </row>
    <row r="2779" spans="17:17" x14ac:dyDescent="0.2">
      <c r="Q2779" s="95"/>
    </row>
    <row r="2780" spans="17:17" x14ac:dyDescent="0.2">
      <c r="Q2780" s="95"/>
    </row>
    <row r="2781" spans="17:17" x14ac:dyDescent="0.2">
      <c r="Q2781" s="95"/>
    </row>
    <row r="2782" spans="17:17" x14ac:dyDescent="0.2">
      <c r="Q2782" s="95"/>
    </row>
    <row r="2783" spans="17:17" x14ac:dyDescent="0.2">
      <c r="Q2783" s="95"/>
    </row>
    <row r="2784" spans="17:17" x14ac:dyDescent="0.2">
      <c r="Q2784" s="95"/>
    </row>
    <row r="2785" spans="17:17" x14ac:dyDescent="0.2">
      <c r="Q2785" s="95"/>
    </row>
    <row r="2786" spans="17:17" x14ac:dyDescent="0.2">
      <c r="Q2786" s="95"/>
    </row>
    <row r="2787" spans="17:17" x14ac:dyDescent="0.2">
      <c r="Q2787" s="95"/>
    </row>
    <row r="2788" spans="17:17" x14ac:dyDescent="0.2">
      <c r="Q2788" s="95"/>
    </row>
    <row r="2789" spans="17:17" x14ac:dyDescent="0.2">
      <c r="Q2789" s="95"/>
    </row>
    <row r="2790" spans="17:17" x14ac:dyDescent="0.2">
      <c r="Q2790" s="95"/>
    </row>
    <row r="2791" spans="17:17" x14ac:dyDescent="0.2">
      <c r="Q2791" s="95"/>
    </row>
    <row r="2792" spans="17:17" x14ac:dyDescent="0.2">
      <c r="Q2792" s="95"/>
    </row>
    <row r="2793" spans="17:17" x14ac:dyDescent="0.2">
      <c r="Q2793" s="95"/>
    </row>
    <row r="2794" spans="17:17" x14ac:dyDescent="0.2">
      <c r="Q2794" s="95"/>
    </row>
    <row r="2795" spans="17:17" x14ac:dyDescent="0.2">
      <c r="Q2795" s="95"/>
    </row>
    <row r="2796" spans="17:17" x14ac:dyDescent="0.2">
      <c r="Q2796" s="95"/>
    </row>
    <row r="2797" spans="17:17" x14ac:dyDescent="0.2">
      <c r="Q2797" s="95"/>
    </row>
    <row r="2798" spans="17:17" x14ac:dyDescent="0.2">
      <c r="Q2798" s="95"/>
    </row>
    <row r="2799" spans="17:17" x14ac:dyDescent="0.2">
      <c r="Q2799" s="95"/>
    </row>
    <row r="2800" spans="17:17" x14ac:dyDescent="0.2">
      <c r="Q2800" s="95"/>
    </row>
    <row r="2801" spans="17:17" x14ac:dyDescent="0.2">
      <c r="Q2801" s="95"/>
    </row>
    <row r="2802" spans="17:17" x14ac:dyDescent="0.2">
      <c r="Q2802" s="95"/>
    </row>
    <row r="2803" spans="17:17" x14ac:dyDescent="0.2">
      <c r="Q2803" s="95"/>
    </row>
    <row r="2804" spans="17:17" x14ac:dyDescent="0.2">
      <c r="Q2804" s="95"/>
    </row>
    <row r="2805" spans="17:17" x14ac:dyDescent="0.2">
      <c r="Q2805" s="95"/>
    </row>
    <row r="2806" spans="17:17" x14ac:dyDescent="0.2">
      <c r="Q2806" s="95"/>
    </row>
    <row r="2807" spans="17:17" x14ac:dyDescent="0.2">
      <c r="Q2807" s="95"/>
    </row>
    <row r="2808" spans="17:17" x14ac:dyDescent="0.2">
      <c r="Q2808" s="95"/>
    </row>
    <row r="2809" spans="17:17" x14ac:dyDescent="0.2">
      <c r="Q2809" s="95"/>
    </row>
    <row r="2810" spans="17:17" x14ac:dyDescent="0.2">
      <c r="Q2810" s="95"/>
    </row>
    <row r="2811" spans="17:17" x14ac:dyDescent="0.2">
      <c r="Q2811" s="95"/>
    </row>
    <row r="2812" spans="17:17" x14ac:dyDescent="0.2">
      <c r="Q2812" s="95"/>
    </row>
    <row r="2813" spans="17:17" x14ac:dyDescent="0.2">
      <c r="Q2813" s="95"/>
    </row>
    <row r="2814" spans="17:17" x14ac:dyDescent="0.2">
      <c r="Q2814" s="95"/>
    </row>
    <row r="2815" spans="17:17" x14ac:dyDescent="0.2">
      <c r="Q2815" s="95"/>
    </row>
    <row r="2816" spans="17:17" x14ac:dyDescent="0.2">
      <c r="Q2816" s="95"/>
    </row>
    <row r="2817" spans="17:17" x14ac:dyDescent="0.2">
      <c r="Q2817" s="95"/>
    </row>
    <row r="2818" spans="17:17" x14ac:dyDescent="0.2">
      <c r="Q2818" s="95"/>
    </row>
    <row r="2819" spans="17:17" x14ac:dyDescent="0.2">
      <c r="Q2819" s="95"/>
    </row>
    <row r="2820" spans="17:17" x14ac:dyDescent="0.2">
      <c r="Q2820" s="95"/>
    </row>
    <row r="2821" spans="17:17" x14ac:dyDescent="0.2">
      <c r="Q2821" s="95"/>
    </row>
    <row r="2822" spans="17:17" x14ac:dyDescent="0.2">
      <c r="Q2822" s="95"/>
    </row>
    <row r="2823" spans="17:17" x14ac:dyDescent="0.2">
      <c r="Q2823" s="95"/>
    </row>
    <row r="2824" spans="17:17" x14ac:dyDescent="0.2">
      <c r="Q2824" s="95"/>
    </row>
    <row r="2825" spans="17:17" x14ac:dyDescent="0.2">
      <c r="Q2825" s="95"/>
    </row>
    <row r="2826" spans="17:17" x14ac:dyDescent="0.2">
      <c r="Q2826" s="95"/>
    </row>
    <row r="2827" spans="17:17" x14ac:dyDescent="0.2">
      <c r="Q2827" s="95"/>
    </row>
    <row r="2828" spans="17:17" x14ac:dyDescent="0.2">
      <c r="Q2828" s="95"/>
    </row>
    <row r="2829" spans="17:17" x14ac:dyDescent="0.2">
      <c r="Q2829" s="95"/>
    </row>
    <row r="2830" spans="17:17" x14ac:dyDescent="0.2">
      <c r="Q2830" s="95"/>
    </row>
    <row r="2831" spans="17:17" x14ac:dyDescent="0.2">
      <c r="Q2831" s="95"/>
    </row>
    <row r="2832" spans="17:17" x14ac:dyDescent="0.2">
      <c r="Q2832" s="95"/>
    </row>
    <row r="2833" spans="17:17" x14ac:dyDescent="0.2">
      <c r="Q2833" s="95"/>
    </row>
    <row r="2834" spans="17:17" x14ac:dyDescent="0.2">
      <c r="Q2834" s="95"/>
    </row>
    <row r="2835" spans="17:17" x14ac:dyDescent="0.2">
      <c r="Q2835" s="95"/>
    </row>
    <row r="2836" spans="17:17" x14ac:dyDescent="0.2">
      <c r="Q2836" s="95"/>
    </row>
    <row r="2837" spans="17:17" x14ac:dyDescent="0.2">
      <c r="Q2837" s="95"/>
    </row>
    <row r="2838" spans="17:17" x14ac:dyDescent="0.2">
      <c r="Q2838" s="95"/>
    </row>
    <row r="2839" spans="17:17" x14ac:dyDescent="0.2">
      <c r="Q2839" s="95"/>
    </row>
    <row r="2840" spans="17:17" x14ac:dyDescent="0.2">
      <c r="Q2840" s="95"/>
    </row>
    <row r="2841" spans="17:17" x14ac:dyDescent="0.2">
      <c r="Q2841" s="95"/>
    </row>
    <row r="2842" spans="17:17" x14ac:dyDescent="0.2">
      <c r="Q2842" s="95"/>
    </row>
    <row r="2843" spans="17:17" x14ac:dyDescent="0.2">
      <c r="Q2843" s="95"/>
    </row>
    <row r="2844" spans="17:17" x14ac:dyDescent="0.2">
      <c r="Q2844" s="95"/>
    </row>
    <row r="2845" spans="17:17" x14ac:dyDescent="0.2">
      <c r="Q2845" s="95"/>
    </row>
    <row r="2846" spans="17:17" x14ac:dyDescent="0.2">
      <c r="Q2846" s="95"/>
    </row>
    <row r="2847" spans="17:17" x14ac:dyDescent="0.2">
      <c r="Q2847" s="95"/>
    </row>
    <row r="2848" spans="17:17" x14ac:dyDescent="0.2">
      <c r="Q2848" s="95"/>
    </row>
    <row r="2849" spans="17:17" x14ac:dyDescent="0.2">
      <c r="Q2849" s="95"/>
    </row>
    <row r="2850" spans="17:17" x14ac:dyDescent="0.2">
      <c r="Q2850" s="95"/>
    </row>
    <row r="2851" spans="17:17" x14ac:dyDescent="0.2">
      <c r="Q2851" s="95"/>
    </row>
    <row r="2852" spans="17:17" x14ac:dyDescent="0.2">
      <c r="Q2852" s="95"/>
    </row>
    <row r="2853" spans="17:17" x14ac:dyDescent="0.2">
      <c r="Q2853" s="95"/>
    </row>
    <row r="2854" spans="17:17" x14ac:dyDescent="0.2">
      <c r="Q2854" s="95"/>
    </row>
    <row r="2855" spans="17:17" x14ac:dyDescent="0.2">
      <c r="Q2855" s="95"/>
    </row>
    <row r="2856" spans="17:17" x14ac:dyDescent="0.2">
      <c r="Q2856" s="95"/>
    </row>
    <row r="2857" spans="17:17" x14ac:dyDescent="0.2">
      <c r="Q2857" s="95"/>
    </row>
    <row r="2858" spans="17:17" x14ac:dyDescent="0.2">
      <c r="Q2858" s="95"/>
    </row>
    <row r="2859" spans="17:17" x14ac:dyDescent="0.2">
      <c r="Q2859" s="95"/>
    </row>
    <row r="2860" spans="17:17" x14ac:dyDescent="0.2">
      <c r="Q2860" s="95"/>
    </row>
    <row r="2861" spans="17:17" x14ac:dyDescent="0.2">
      <c r="Q2861" s="95"/>
    </row>
    <row r="2862" spans="17:17" x14ac:dyDescent="0.2">
      <c r="Q2862" s="95"/>
    </row>
    <row r="2863" spans="17:17" x14ac:dyDescent="0.2">
      <c r="Q2863" s="95"/>
    </row>
    <row r="2864" spans="17:17" x14ac:dyDescent="0.2">
      <c r="Q2864" s="95"/>
    </row>
    <row r="2865" spans="17:17" x14ac:dyDescent="0.2">
      <c r="Q2865" s="95"/>
    </row>
    <row r="2866" spans="17:17" x14ac:dyDescent="0.2">
      <c r="Q2866" s="95"/>
    </row>
    <row r="2867" spans="17:17" x14ac:dyDescent="0.2">
      <c r="Q2867" s="95"/>
    </row>
    <row r="2868" spans="17:17" x14ac:dyDescent="0.2">
      <c r="Q2868" s="95"/>
    </row>
    <row r="2869" spans="17:17" x14ac:dyDescent="0.2">
      <c r="Q2869" s="95"/>
    </row>
    <row r="2870" spans="17:17" x14ac:dyDescent="0.2">
      <c r="Q2870" s="95"/>
    </row>
    <row r="2871" spans="17:17" x14ac:dyDescent="0.2">
      <c r="Q2871" s="95"/>
    </row>
    <row r="2872" spans="17:17" x14ac:dyDescent="0.2">
      <c r="Q2872" s="95"/>
    </row>
    <row r="2873" spans="17:17" x14ac:dyDescent="0.2">
      <c r="Q2873" s="95"/>
    </row>
    <row r="2874" spans="17:17" x14ac:dyDescent="0.2">
      <c r="Q2874" s="95"/>
    </row>
    <row r="2875" spans="17:17" x14ac:dyDescent="0.2">
      <c r="Q2875" s="95"/>
    </row>
    <row r="2876" spans="17:17" x14ac:dyDescent="0.2">
      <c r="Q2876" s="95"/>
    </row>
    <row r="2877" spans="17:17" x14ac:dyDescent="0.2">
      <c r="Q2877" s="95"/>
    </row>
    <row r="2878" spans="17:17" x14ac:dyDescent="0.2">
      <c r="Q2878" s="95"/>
    </row>
    <row r="2879" spans="17:17" x14ac:dyDescent="0.2">
      <c r="Q2879" s="95"/>
    </row>
    <row r="2880" spans="17:17" x14ac:dyDescent="0.2">
      <c r="Q2880" s="95"/>
    </row>
    <row r="2881" spans="17:17" x14ac:dyDescent="0.2">
      <c r="Q2881" s="95"/>
    </row>
    <row r="2882" spans="17:17" x14ac:dyDescent="0.2">
      <c r="Q2882" s="95"/>
    </row>
    <row r="2883" spans="17:17" x14ac:dyDescent="0.2">
      <c r="Q2883" s="95"/>
    </row>
    <row r="2884" spans="17:17" x14ac:dyDescent="0.2">
      <c r="Q2884" s="95"/>
    </row>
    <row r="2885" spans="17:17" x14ac:dyDescent="0.2">
      <c r="Q2885" s="95"/>
    </row>
    <row r="2886" spans="17:17" x14ac:dyDescent="0.2">
      <c r="Q2886" s="95"/>
    </row>
    <row r="2887" spans="17:17" x14ac:dyDescent="0.2">
      <c r="Q2887" s="95"/>
    </row>
    <row r="2888" spans="17:17" x14ac:dyDescent="0.2">
      <c r="Q2888" s="95"/>
    </row>
    <row r="2889" spans="17:17" x14ac:dyDescent="0.2">
      <c r="Q2889" s="95"/>
    </row>
    <row r="2890" spans="17:17" x14ac:dyDescent="0.2">
      <c r="Q2890" s="95"/>
    </row>
    <row r="2891" spans="17:17" x14ac:dyDescent="0.2">
      <c r="Q2891" s="95"/>
    </row>
    <row r="2892" spans="17:17" x14ac:dyDescent="0.2">
      <c r="Q2892" s="95"/>
    </row>
    <row r="2893" spans="17:17" x14ac:dyDescent="0.2">
      <c r="Q2893" s="95"/>
    </row>
    <row r="2894" spans="17:17" x14ac:dyDescent="0.2">
      <c r="Q2894" s="95"/>
    </row>
    <row r="2895" spans="17:17" x14ac:dyDescent="0.2">
      <c r="Q2895" s="95"/>
    </row>
    <row r="2896" spans="17:17" x14ac:dyDescent="0.2">
      <c r="Q2896" s="95"/>
    </row>
    <row r="2897" spans="17:17" x14ac:dyDescent="0.2">
      <c r="Q2897" s="95"/>
    </row>
    <row r="2898" spans="17:17" x14ac:dyDescent="0.2">
      <c r="Q2898" s="95"/>
    </row>
    <row r="2899" spans="17:17" x14ac:dyDescent="0.2">
      <c r="Q2899" s="95"/>
    </row>
    <row r="2900" spans="17:17" x14ac:dyDescent="0.2">
      <c r="Q2900" s="95"/>
    </row>
    <row r="2901" spans="17:17" x14ac:dyDescent="0.2">
      <c r="Q2901" s="95"/>
    </row>
    <row r="2902" spans="17:17" x14ac:dyDescent="0.2">
      <c r="Q2902" s="95"/>
    </row>
    <row r="2903" spans="17:17" x14ac:dyDescent="0.2">
      <c r="Q2903" s="95"/>
    </row>
    <row r="2904" spans="17:17" x14ac:dyDescent="0.2">
      <c r="Q2904" s="95"/>
    </row>
    <row r="2905" spans="17:17" x14ac:dyDescent="0.2">
      <c r="Q2905" s="95"/>
    </row>
    <row r="2906" spans="17:17" x14ac:dyDescent="0.2">
      <c r="Q2906" s="95"/>
    </row>
    <row r="2907" spans="17:17" x14ac:dyDescent="0.2">
      <c r="Q2907" s="95"/>
    </row>
    <row r="2908" spans="17:17" x14ac:dyDescent="0.2">
      <c r="Q2908" s="95"/>
    </row>
    <row r="2909" spans="17:17" x14ac:dyDescent="0.2">
      <c r="Q2909" s="95"/>
    </row>
    <row r="2910" spans="17:17" x14ac:dyDescent="0.2">
      <c r="Q2910" s="95"/>
    </row>
    <row r="2911" spans="17:17" x14ac:dyDescent="0.2">
      <c r="Q2911" s="95"/>
    </row>
    <row r="2912" spans="17:17" x14ac:dyDescent="0.2">
      <c r="Q2912" s="95"/>
    </row>
    <row r="2913" spans="17:17" x14ac:dyDescent="0.2">
      <c r="Q2913" s="95"/>
    </row>
    <row r="2914" spans="17:17" x14ac:dyDescent="0.2">
      <c r="Q2914" s="95"/>
    </row>
    <row r="2915" spans="17:17" x14ac:dyDescent="0.2">
      <c r="Q2915" s="95"/>
    </row>
    <row r="2916" spans="17:17" x14ac:dyDescent="0.2">
      <c r="Q2916" s="95"/>
    </row>
    <row r="2917" spans="17:17" x14ac:dyDescent="0.2">
      <c r="Q2917" s="95"/>
    </row>
    <row r="2918" spans="17:17" x14ac:dyDescent="0.2">
      <c r="Q2918" s="95"/>
    </row>
    <row r="2919" spans="17:17" x14ac:dyDescent="0.2">
      <c r="Q2919" s="95"/>
    </row>
    <row r="2920" spans="17:17" x14ac:dyDescent="0.2">
      <c r="Q2920" s="95"/>
    </row>
    <row r="2921" spans="17:17" x14ac:dyDescent="0.2">
      <c r="Q2921" s="95"/>
    </row>
    <row r="2922" spans="17:17" x14ac:dyDescent="0.2">
      <c r="Q2922" s="95"/>
    </row>
    <row r="2923" spans="17:17" x14ac:dyDescent="0.2">
      <c r="Q2923" s="95"/>
    </row>
    <row r="2924" spans="17:17" x14ac:dyDescent="0.2">
      <c r="Q2924" s="95"/>
    </row>
    <row r="2925" spans="17:17" x14ac:dyDescent="0.2">
      <c r="Q2925" s="95"/>
    </row>
    <row r="2926" spans="17:17" x14ac:dyDescent="0.2">
      <c r="Q2926" s="95"/>
    </row>
    <row r="2927" spans="17:17" x14ac:dyDescent="0.2">
      <c r="Q2927" s="95"/>
    </row>
    <row r="2928" spans="17:17" x14ac:dyDescent="0.2">
      <c r="Q2928" s="95"/>
    </row>
    <row r="2929" spans="17:17" x14ac:dyDescent="0.2">
      <c r="Q2929" s="95"/>
    </row>
    <row r="2930" spans="17:17" x14ac:dyDescent="0.2">
      <c r="Q2930" s="95"/>
    </row>
    <row r="2931" spans="17:17" x14ac:dyDescent="0.2">
      <c r="Q2931" s="95"/>
    </row>
    <row r="2932" spans="17:17" x14ac:dyDescent="0.2">
      <c r="Q2932" s="95"/>
    </row>
    <row r="2933" spans="17:17" x14ac:dyDescent="0.2">
      <c r="Q2933" s="95"/>
    </row>
    <row r="2934" spans="17:17" x14ac:dyDescent="0.2">
      <c r="Q2934" s="95"/>
    </row>
    <row r="2935" spans="17:17" x14ac:dyDescent="0.2">
      <c r="Q2935" s="95"/>
    </row>
    <row r="2936" spans="17:17" x14ac:dyDescent="0.2">
      <c r="Q2936" s="95"/>
    </row>
    <row r="2937" spans="17:17" x14ac:dyDescent="0.2">
      <c r="Q2937" s="95"/>
    </row>
    <row r="2938" spans="17:17" x14ac:dyDescent="0.2">
      <c r="Q2938" s="95"/>
    </row>
    <row r="2939" spans="17:17" x14ac:dyDescent="0.2">
      <c r="Q2939" s="95"/>
    </row>
    <row r="2940" spans="17:17" x14ac:dyDescent="0.2">
      <c r="Q2940" s="95"/>
    </row>
    <row r="2941" spans="17:17" x14ac:dyDescent="0.2">
      <c r="Q2941" s="95"/>
    </row>
    <row r="2942" spans="17:17" x14ac:dyDescent="0.2">
      <c r="Q2942" s="95"/>
    </row>
    <row r="2943" spans="17:17" x14ac:dyDescent="0.2">
      <c r="Q2943" s="95"/>
    </row>
    <row r="2944" spans="17:17" x14ac:dyDescent="0.2">
      <c r="Q2944" s="95"/>
    </row>
    <row r="2945" spans="17:17" x14ac:dyDescent="0.2">
      <c r="Q2945" s="95"/>
    </row>
    <row r="2946" spans="17:17" x14ac:dyDescent="0.2">
      <c r="Q2946" s="95"/>
    </row>
    <row r="2947" spans="17:17" x14ac:dyDescent="0.2">
      <c r="Q2947" s="95"/>
    </row>
    <row r="2948" spans="17:17" x14ac:dyDescent="0.2">
      <c r="Q2948" s="95"/>
    </row>
    <row r="2949" spans="17:17" x14ac:dyDescent="0.2">
      <c r="Q2949" s="95"/>
    </row>
    <row r="2950" spans="17:17" x14ac:dyDescent="0.2">
      <c r="Q2950" s="95"/>
    </row>
    <row r="2951" spans="17:17" x14ac:dyDescent="0.2">
      <c r="Q2951" s="95"/>
    </row>
    <row r="2952" spans="17:17" x14ac:dyDescent="0.2">
      <c r="Q2952" s="95"/>
    </row>
    <row r="2953" spans="17:17" x14ac:dyDescent="0.2">
      <c r="Q2953" s="95"/>
    </row>
    <row r="2954" spans="17:17" x14ac:dyDescent="0.2">
      <c r="Q2954" s="95"/>
    </row>
    <row r="2955" spans="17:17" x14ac:dyDescent="0.2">
      <c r="Q2955" s="95"/>
    </row>
    <row r="2956" spans="17:17" x14ac:dyDescent="0.2">
      <c r="Q2956" s="95"/>
    </row>
    <row r="2957" spans="17:17" x14ac:dyDescent="0.2">
      <c r="Q2957" s="95"/>
    </row>
    <row r="2958" spans="17:17" x14ac:dyDescent="0.2">
      <c r="Q2958" s="95"/>
    </row>
    <row r="2959" spans="17:17" x14ac:dyDescent="0.2">
      <c r="Q2959" s="95"/>
    </row>
    <row r="2960" spans="17:17" x14ac:dyDescent="0.2">
      <c r="Q2960" s="95"/>
    </row>
    <row r="2961" spans="17:17" x14ac:dyDescent="0.2">
      <c r="Q2961" s="95"/>
    </row>
    <row r="2962" spans="17:17" x14ac:dyDescent="0.2">
      <c r="Q2962" s="95"/>
    </row>
    <row r="2963" spans="17:17" x14ac:dyDescent="0.2">
      <c r="Q2963" s="95"/>
    </row>
    <row r="2964" spans="17:17" x14ac:dyDescent="0.2">
      <c r="Q2964" s="95"/>
    </row>
    <row r="2965" spans="17:17" x14ac:dyDescent="0.2">
      <c r="Q2965" s="95"/>
    </row>
    <row r="2966" spans="17:17" x14ac:dyDescent="0.2">
      <c r="Q2966" s="95"/>
    </row>
    <row r="2967" spans="17:17" x14ac:dyDescent="0.2">
      <c r="Q2967" s="95"/>
    </row>
    <row r="2968" spans="17:17" x14ac:dyDescent="0.2">
      <c r="Q2968" s="95"/>
    </row>
    <row r="2969" spans="17:17" x14ac:dyDescent="0.2">
      <c r="Q2969" s="95"/>
    </row>
    <row r="2970" spans="17:17" x14ac:dyDescent="0.2">
      <c r="Q2970" s="95"/>
    </row>
    <row r="2971" spans="17:17" x14ac:dyDescent="0.2">
      <c r="Q2971" s="95"/>
    </row>
    <row r="2972" spans="17:17" x14ac:dyDescent="0.2">
      <c r="Q2972" s="95"/>
    </row>
    <row r="2973" spans="17:17" x14ac:dyDescent="0.2">
      <c r="Q2973" s="95"/>
    </row>
    <row r="2974" spans="17:17" x14ac:dyDescent="0.2">
      <c r="Q2974" s="95"/>
    </row>
    <row r="2975" spans="17:17" x14ac:dyDescent="0.2">
      <c r="Q2975" s="95"/>
    </row>
    <row r="2976" spans="17:17" x14ac:dyDescent="0.2">
      <c r="Q2976" s="95"/>
    </row>
    <row r="2977" spans="17:17" x14ac:dyDescent="0.2">
      <c r="Q2977" s="95"/>
    </row>
    <row r="2978" spans="17:17" x14ac:dyDescent="0.2">
      <c r="Q2978" s="95"/>
    </row>
    <row r="2979" spans="17:17" x14ac:dyDescent="0.2">
      <c r="Q2979" s="95"/>
    </row>
    <row r="2980" spans="17:17" x14ac:dyDescent="0.2">
      <c r="Q2980" s="95"/>
    </row>
    <row r="2981" spans="17:17" x14ac:dyDescent="0.2">
      <c r="Q2981" s="95"/>
    </row>
    <row r="2982" spans="17:17" x14ac:dyDescent="0.2">
      <c r="Q2982" s="95"/>
    </row>
    <row r="2983" spans="17:17" x14ac:dyDescent="0.2">
      <c r="Q2983" s="95"/>
    </row>
    <row r="2984" spans="17:17" x14ac:dyDescent="0.2">
      <c r="Q2984" s="95"/>
    </row>
    <row r="2985" spans="17:17" x14ac:dyDescent="0.2">
      <c r="Q2985" s="95"/>
    </row>
    <row r="2986" spans="17:17" x14ac:dyDescent="0.2">
      <c r="Q2986" s="95"/>
    </row>
    <row r="2987" spans="17:17" x14ac:dyDescent="0.2">
      <c r="Q2987" s="95"/>
    </row>
    <row r="2988" spans="17:17" x14ac:dyDescent="0.2">
      <c r="Q2988" s="95"/>
    </row>
    <row r="2989" spans="17:17" x14ac:dyDescent="0.2">
      <c r="Q2989" s="95"/>
    </row>
    <row r="2990" spans="17:17" x14ac:dyDescent="0.2">
      <c r="Q2990" s="95"/>
    </row>
    <row r="2991" spans="17:17" x14ac:dyDescent="0.2">
      <c r="Q2991" s="95"/>
    </row>
    <row r="2992" spans="17:17" x14ac:dyDescent="0.2">
      <c r="Q2992" s="95"/>
    </row>
    <row r="2993" spans="17:17" x14ac:dyDescent="0.2">
      <c r="Q2993" s="95"/>
    </row>
    <row r="2994" spans="17:17" x14ac:dyDescent="0.2">
      <c r="Q2994" s="95"/>
    </row>
    <row r="2995" spans="17:17" x14ac:dyDescent="0.2">
      <c r="Q2995" s="95"/>
    </row>
    <row r="2996" spans="17:17" x14ac:dyDescent="0.2">
      <c r="Q2996" s="95"/>
    </row>
    <row r="2997" spans="17:17" x14ac:dyDescent="0.2">
      <c r="Q2997" s="95"/>
    </row>
    <row r="2998" spans="17:17" x14ac:dyDescent="0.2">
      <c r="Q2998" s="95"/>
    </row>
    <row r="2999" spans="17:17" x14ac:dyDescent="0.2">
      <c r="Q2999" s="95"/>
    </row>
    <row r="3000" spans="17:17" x14ac:dyDescent="0.2">
      <c r="Q3000" s="95"/>
    </row>
    <row r="3001" spans="17:17" x14ac:dyDescent="0.2">
      <c r="Q3001" s="95"/>
    </row>
    <row r="3002" spans="17:17" x14ac:dyDescent="0.2">
      <c r="Q3002" s="95"/>
    </row>
    <row r="3003" spans="17:17" x14ac:dyDescent="0.2">
      <c r="Q3003" s="95"/>
    </row>
    <row r="3004" spans="17:17" x14ac:dyDescent="0.2">
      <c r="Q3004" s="95"/>
    </row>
    <row r="3005" spans="17:17" x14ac:dyDescent="0.2">
      <c r="Q3005" s="95"/>
    </row>
    <row r="3006" spans="17:17" x14ac:dyDescent="0.2">
      <c r="Q3006" s="95"/>
    </row>
    <row r="3007" spans="17:17" x14ac:dyDescent="0.2">
      <c r="Q3007" s="95"/>
    </row>
    <row r="3008" spans="17:17" x14ac:dyDescent="0.2">
      <c r="Q3008" s="95"/>
    </row>
    <row r="3009" spans="17:17" x14ac:dyDescent="0.2">
      <c r="Q3009" s="95"/>
    </row>
    <row r="3010" spans="17:17" x14ac:dyDescent="0.2">
      <c r="Q3010" s="95"/>
    </row>
    <row r="3011" spans="17:17" x14ac:dyDescent="0.2">
      <c r="Q3011" s="95"/>
    </row>
    <row r="3012" spans="17:17" x14ac:dyDescent="0.2">
      <c r="Q3012" s="95"/>
    </row>
    <row r="3013" spans="17:17" x14ac:dyDescent="0.2">
      <c r="Q3013" s="95"/>
    </row>
    <row r="3014" spans="17:17" x14ac:dyDescent="0.2">
      <c r="Q3014" s="95"/>
    </row>
    <row r="3015" spans="17:17" x14ac:dyDescent="0.2">
      <c r="Q3015" s="95"/>
    </row>
    <row r="3016" spans="17:17" x14ac:dyDescent="0.2">
      <c r="Q3016" s="95"/>
    </row>
    <row r="3017" spans="17:17" x14ac:dyDescent="0.2">
      <c r="Q3017" s="95"/>
    </row>
    <row r="3018" spans="17:17" x14ac:dyDescent="0.2">
      <c r="Q3018" s="95"/>
    </row>
    <row r="3019" spans="17:17" x14ac:dyDescent="0.2">
      <c r="Q3019" s="95"/>
    </row>
    <row r="3020" spans="17:17" x14ac:dyDescent="0.2">
      <c r="Q3020" s="95"/>
    </row>
    <row r="3021" spans="17:17" x14ac:dyDescent="0.2">
      <c r="Q3021" s="95"/>
    </row>
    <row r="3022" spans="17:17" x14ac:dyDescent="0.2">
      <c r="Q3022" s="95"/>
    </row>
    <row r="3023" spans="17:17" x14ac:dyDescent="0.2">
      <c r="Q3023" s="95"/>
    </row>
    <row r="3024" spans="17:17" x14ac:dyDescent="0.2">
      <c r="Q3024" s="95"/>
    </row>
    <row r="3025" spans="17:17" x14ac:dyDescent="0.2">
      <c r="Q3025" s="95"/>
    </row>
    <row r="3026" spans="17:17" x14ac:dyDescent="0.2">
      <c r="Q3026" s="95"/>
    </row>
    <row r="3027" spans="17:17" x14ac:dyDescent="0.2">
      <c r="Q3027" s="95"/>
    </row>
    <row r="3028" spans="17:17" x14ac:dyDescent="0.2">
      <c r="Q3028" s="95"/>
    </row>
    <row r="3029" spans="17:17" x14ac:dyDescent="0.2">
      <c r="Q3029" s="95"/>
    </row>
    <row r="3030" spans="17:17" x14ac:dyDescent="0.2">
      <c r="Q3030" s="95"/>
    </row>
    <row r="3031" spans="17:17" x14ac:dyDescent="0.2">
      <c r="Q3031" s="95"/>
    </row>
    <row r="3032" spans="17:17" x14ac:dyDescent="0.2">
      <c r="Q3032" s="95"/>
    </row>
    <row r="3033" spans="17:17" x14ac:dyDescent="0.2">
      <c r="Q3033" s="95"/>
    </row>
    <row r="3034" spans="17:17" x14ac:dyDescent="0.2">
      <c r="Q3034" s="95"/>
    </row>
    <row r="3035" spans="17:17" x14ac:dyDescent="0.2">
      <c r="Q3035" s="95"/>
    </row>
    <row r="3036" spans="17:17" x14ac:dyDescent="0.2">
      <c r="Q3036" s="95"/>
    </row>
    <row r="3037" spans="17:17" x14ac:dyDescent="0.2">
      <c r="Q3037" s="95"/>
    </row>
    <row r="3038" spans="17:17" x14ac:dyDescent="0.2">
      <c r="Q3038" s="95"/>
    </row>
    <row r="3039" spans="17:17" x14ac:dyDescent="0.2">
      <c r="Q3039" s="95"/>
    </row>
    <row r="3040" spans="17:17" x14ac:dyDescent="0.2">
      <c r="Q3040" s="95"/>
    </row>
    <row r="3041" spans="17:17" x14ac:dyDescent="0.2">
      <c r="Q3041" s="95"/>
    </row>
    <row r="3042" spans="17:17" x14ac:dyDescent="0.2">
      <c r="Q3042" s="95"/>
    </row>
    <row r="3043" spans="17:17" x14ac:dyDescent="0.2">
      <c r="Q3043" s="95"/>
    </row>
    <row r="3044" spans="17:17" x14ac:dyDescent="0.2">
      <c r="Q3044" s="95"/>
    </row>
    <row r="3045" spans="17:17" x14ac:dyDescent="0.2">
      <c r="Q3045" s="95"/>
    </row>
    <row r="3046" spans="17:17" x14ac:dyDescent="0.2">
      <c r="Q3046" s="95"/>
    </row>
    <row r="3047" spans="17:17" x14ac:dyDescent="0.2">
      <c r="Q3047" s="95"/>
    </row>
    <row r="3048" spans="17:17" x14ac:dyDescent="0.2">
      <c r="Q3048" s="95"/>
    </row>
    <row r="3049" spans="17:17" x14ac:dyDescent="0.2">
      <c r="Q3049" s="95"/>
    </row>
    <row r="3050" spans="17:17" x14ac:dyDescent="0.2">
      <c r="Q3050" s="95"/>
    </row>
    <row r="3051" spans="17:17" x14ac:dyDescent="0.2">
      <c r="Q3051" s="95"/>
    </row>
    <row r="3052" spans="17:17" x14ac:dyDescent="0.2">
      <c r="Q3052" s="95"/>
    </row>
    <row r="3053" spans="17:17" x14ac:dyDescent="0.2">
      <c r="Q3053" s="95"/>
    </row>
    <row r="3054" spans="17:17" x14ac:dyDescent="0.2">
      <c r="Q3054" s="95"/>
    </row>
    <row r="3055" spans="17:17" x14ac:dyDescent="0.2">
      <c r="Q3055" s="95"/>
    </row>
    <row r="3056" spans="17:17" x14ac:dyDescent="0.2">
      <c r="Q3056" s="95"/>
    </row>
    <row r="3057" spans="17:17" x14ac:dyDescent="0.2">
      <c r="Q3057" s="95"/>
    </row>
    <row r="3058" spans="17:17" x14ac:dyDescent="0.2">
      <c r="Q3058" s="95"/>
    </row>
    <row r="3059" spans="17:17" x14ac:dyDescent="0.2">
      <c r="Q3059" s="95"/>
    </row>
    <row r="3060" spans="17:17" x14ac:dyDescent="0.2">
      <c r="Q3060" s="95"/>
    </row>
    <row r="3061" spans="17:17" x14ac:dyDescent="0.2">
      <c r="Q3061" s="95"/>
    </row>
    <row r="3062" spans="17:17" x14ac:dyDescent="0.2">
      <c r="Q3062" s="95"/>
    </row>
    <row r="3063" spans="17:17" x14ac:dyDescent="0.2">
      <c r="Q3063" s="95"/>
    </row>
    <row r="3064" spans="17:17" x14ac:dyDescent="0.2">
      <c r="Q3064" s="95"/>
    </row>
    <row r="3065" spans="17:17" x14ac:dyDescent="0.2">
      <c r="Q3065" s="95"/>
    </row>
    <row r="3066" spans="17:17" x14ac:dyDescent="0.2">
      <c r="Q3066" s="95"/>
    </row>
    <row r="3067" spans="17:17" x14ac:dyDescent="0.2">
      <c r="Q3067" s="95"/>
    </row>
    <row r="3068" spans="17:17" x14ac:dyDescent="0.2">
      <c r="Q3068" s="95"/>
    </row>
    <row r="3069" spans="17:17" x14ac:dyDescent="0.2">
      <c r="Q3069" s="95"/>
    </row>
    <row r="3070" spans="17:17" x14ac:dyDescent="0.2">
      <c r="Q3070" s="95"/>
    </row>
    <row r="3071" spans="17:17" x14ac:dyDescent="0.2">
      <c r="Q3071" s="95"/>
    </row>
    <row r="3072" spans="17:17" x14ac:dyDescent="0.2">
      <c r="Q3072" s="95"/>
    </row>
    <row r="3073" spans="17:17" x14ac:dyDescent="0.2">
      <c r="Q3073" s="95"/>
    </row>
    <row r="3074" spans="17:17" x14ac:dyDescent="0.2">
      <c r="Q3074" s="95"/>
    </row>
    <row r="3075" spans="17:17" x14ac:dyDescent="0.2">
      <c r="Q3075" s="95"/>
    </row>
    <row r="3076" spans="17:17" x14ac:dyDescent="0.2">
      <c r="Q3076" s="95"/>
    </row>
    <row r="3077" spans="17:17" x14ac:dyDescent="0.2">
      <c r="Q3077" s="95"/>
    </row>
    <row r="3078" spans="17:17" x14ac:dyDescent="0.2">
      <c r="Q3078" s="95"/>
    </row>
    <row r="3079" spans="17:17" x14ac:dyDescent="0.2">
      <c r="Q3079" s="95"/>
    </row>
    <row r="3080" spans="17:17" x14ac:dyDescent="0.2">
      <c r="Q3080" s="95"/>
    </row>
    <row r="3081" spans="17:17" x14ac:dyDescent="0.2">
      <c r="Q3081" s="95"/>
    </row>
    <row r="3082" spans="17:17" x14ac:dyDescent="0.2">
      <c r="Q3082" s="95"/>
    </row>
    <row r="3083" spans="17:17" x14ac:dyDescent="0.2">
      <c r="Q3083" s="95"/>
    </row>
    <row r="3084" spans="17:17" x14ac:dyDescent="0.2">
      <c r="Q3084" s="95"/>
    </row>
    <row r="3085" spans="17:17" x14ac:dyDescent="0.2">
      <c r="Q3085" s="95"/>
    </row>
    <row r="3086" spans="17:17" x14ac:dyDescent="0.2">
      <c r="Q3086" s="95"/>
    </row>
    <row r="3087" spans="17:17" x14ac:dyDescent="0.2">
      <c r="Q3087" s="95"/>
    </row>
    <row r="3088" spans="17:17" x14ac:dyDescent="0.2">
      <c r="Q3088" s="95"/>
    </row>
    <row r="3089" spans="17:17" x14ac:dyDescent="0.2">
      <c r="Q3089" s="95"/>
    </row>
    <row r="3090" spans="17:17" x14ac:dyDescent="0.2">
      <c r="Q3090" s="95"/>
    </row>
    <row r="3091" spans="17:17" x14ac:dyDescent="0.2">
      <c r="Q3091" s="95"/>
    </row>
    <row r="3092" spans="17:17" x14ac:dyDescent="0.2">
      <c r="Q3092" s="95"/>
    </row>
    <row r="3093" spans="17:17" x14ac:dyDescent="0.2">
      <c r="Q3093" s="95"/>
    </row>
    <row r="3094" spans="17:17" x14ac:dyDescent="0.2">
      <c r="Q3094" s="95"/>
    </row>
    <row r="3095" spans="17:17" x14ac:dyDescent="0.2">
      <c r="Q3095" s="95"/>
    </row>
    <row r="3096" spans="17:17" x14ac:dyDescent="0.2">
      <c r="Q3096" s="95"/>
    </row>
    <row r="3097" spans="17:17" x14ac:dyDescent="0.2">
      <c r="Q3097" s="95"/>
    </row>
    <row r="3098" spans="17:17" x14ac:dyDescent="0.2">
      <c r="Q3098" s="95"/>
    </row>
    <row r="3099" spans="17:17" x14ac:dyDescent="0.2">
      <c r="Q3099" s="95"/>
    </row>
    <row r="3100" spans="17:17" x14ac:dyDescent="0.2">
      <c r="Q3100" s="95"/>
    </row>
    <row r="3101" spans="17:17" x14ac:dyDescent="0.2">
      <c r="Q3101" s="95"/>
    </row>
    <row r="3102" spans="17:17" x14ac:dyDescent="0.2">
      <c r="Q3102" s="95"/>
    </row>
    <row r="3103" spans="17:17" x14ac:dyDescent="0.2">
      <c r="Q3103" s="95"/>
    </row>
    <row r="3104" spans="17:17" x14ac:dyDescent="0.2">
      <c r="Q3104" s="95"/>
    </row>
    <row r="3105" spans="17:17" x14ac:dyDescent="0.2">
      <c r="Q3105" s="95"/>
    </row>
    <row r="3106" spans="17:17" x14ac:dyDescent="0.2">
      <c r="Q3106" s="95"/>
    </row>
    <row r="3107" spans="17:17" x14ac:dyDescent="0.2">
      <c r="Q3107" s="95"/>
    </row>
    <row r="3108" spans="17:17" x14ac:dyDescent="0.2">
      <c r="Q3108" s="95"/>
    </row>
    <row r="3109" spans="17:17" x14ac:dyDescent="0.2">
      <c r="Q3109" s="95"/>
    </row>
    <row r="3110" spans="17:17" x14ac:dyDescent="0.2">
      <c r="Q3110" s="95"/>
    </row>
    <row r="3111" spans="17:17" x14ac:dyDescent="0.2">
      <c r="Q3111" s="95"/>
    </row>
    <row r="3112" spans="17:17" x14ac:dyDescent="0.2">
      <c r="Q3112" s="95"/>
    </row>
    <row r="3113" spans="17:17" x14ac:dyDescent="0.2">
      <c r="Q3113" s="95"/>
    </row>
    <row r="3114" spans="17:17" x14ac:dyDescent="0.2">
      <c r="Q3114" s="95"/>
    </row>
    <row r="3115" spans="17:17" x14ac:dyDescent="0.2">
      <c r="Q3115" s="95"/>
    </row>
    <row r="3116" spans="17:17" x14ac:dyDescent="0.2">
      <c r="Q3116" s="95"/>
    </row>
    <row r="3117" spans="17:17" x14ac:dyDescent="0.2">
      <c r="Q3117" s="95"/>
    </row>
    <row r="3118" spans="17:17" x14ac:dyDescent="0.2">
      <c r="Q3118" s="95"/>
    </row>
    <row r="3119" spans="17:17" x14ac:dyDescent="0.2">
      <c r="Q3119" s="95"/>
    </row>
    <row r="3120" spans="17:17" x14ac:dyDescent="0.2">
      <c r="Q3120" s="95"/>
    </row>
    <row r="3121" spans="17:17" x14ac:dyDescent="0.2">
      <c r="Q3121" s="95"/>
    </row>
    <row r="3122" spans="17:17" x14ac:dyDescent="0.2">
      <c r="Q3122" s="95"/>
    </row>
    <row r="3123" spans="17:17" x14ac:dyDescent="0.2">
      <c r="Q3123" s="95"/>
    </row>
    <row r="3124" spans="17:17" x14ac:dyDescent="0.2">
      <c r="Q3124" s="95"/>
    </row>
    <row r="3125" spans="17:17" x14ac:dyDescent="0.2">
      <c r="Q3125" s="95"/>
    </row>
    <row r="3126" spans="17:17" x14ac:dyDescent="0.2">
      <c r="Q3126" s="95"/>
    </row>
    <row r="3127" spans="17:17" x14ac:dyDescent="0.2">
      <c r="Q3127" s="95"/>
    </row>
    <row r="3128" spans="17:17" x14ac:dyDescent="0.2">
      <c r="Q3128" s="95"/>
    </row>
    <row r="3129" spans="17:17" x14ac:dyDescent="0.2">
      <c r="Q3129" s="95"/>
    </row>
    <row r="3130" spans="17:17" x14ac:dyDescent="0.2">
      <c r="Q3130" s="95"/>
    </row>
    <row r="3131" spans="17:17" x14ac:dyDescent="0.2">
      <c r="Q3131" s="95"/>
    </row>
    <row r="3132" spans="17:17" x14ac:dyDescent="0.2">
      <c r="Q3132" s="95"/>
    </row>
    <row r="3133" spans="17:17" x14ac:dyDescent="0.2">
      <c r="Q3133" s="95"/>
    </row>
    <row r="3134" spans="17:17" x14ac:dyDescent="0.2">
      <c r="Q3134" s="95"/>
    </row>
    <row r="3135" spans="17:17" x14ac:dyDescent="0.2">
      <c r="Q3135" s="95"/>
    </row>
    <row r="3136" spans="17:17" x14ac:dyDescent="0.2">
      <c r="Q3136" s="95"/>
    </row>
    <row r="3137" spans="17:17" x14ac:dyDescent="0.2">
      <c r="Q3137" s="95"/>
    </row>
    <row r="3138" spans="17:17" x14ac:dyDescent="0.2">
      <c r="Q3138" s="95"/>
    </row>
    <row r="3139" spans="17:17" x14ac:dyDescent="0.2">
      <c r="Q3139" s="95"/>
    </row>
    <row r="3140" spans="17:17" x14ac:dyDescent="0.2">
      <c r="Q3140" s="95"/>
    </row>
    <row r="3141" spans="17:17" x14ac:dyDescent="0.2">
      <c r="Q3141" s="95"/>
    </row>
    <row r="3142" spans="17:17" x14ac:dyDescent="0.2">
      <c r="Q3142" s="95"/>
    </row>
    <row r="3143" spans="17:17" x14ac:dyDescent="0.2">
      <c r="Q3143" s="95"/>
    </row>
    <row r="3144" spans="17:17" x14ac:dyDescent="0.2">
      <c r="Q3144" s="95"/>
    </row>
    <row r="3145" spans="17:17" x14ac:dyDescent="0.2">
      <c r="Q3145" s="95"/>
    </row>
    <row r="3146" spans="17:17" x14ac:dyDescent="0.2">
      <c r="Q3146" s="95"/>
    </row>
    <row r="3147" spans="17:17" x14ac:dyDescent="0.2">
      <c r="Q3147" s="95"/>
    </row>
    <row r="3148" spans="17:17" x14ac:dyDescent="0.2">
      <c r="Q3148" s="95"/>
    </row>
    <row r="3149" spans="17:17" x14ac:dyDescent="0.2">
      <c r="Q3149" s="95"/>
    </row>
    <row r="3150" spans="17:17" x14ac:dyDescent="0.2">
      <c r="Q3150" s="95"/>
    </row>
    <row r="3151" spans="17:17" x14ac:dyDescent="0.2">
      <c r="Q3151" s="95"/>
    </row>
    <row r="3152" spans="17:17" x14ac:dyDescent="0.2">
      <c r="Q3152" s="95"/>
    </row>
    <row r="3153" spans="17:17" x14ac:dyDescent="0.2">
      <c r="Q3153" s="95"/>
    </row>
    <row r="3154" spans="17:17" x14ac:dyDescent="0.2">
      <c r="Q3154" s="95"/>
    </row>
    <row r="3155" spans="17:17" x14ac:dyDescent="0.2">
      <c r="Q3155" s="95"/>
    </row>
    <row r="3156" spans="17:17" x14ac:dyDescent="0.2">
      <c r="Q3156" s="95"/>
    </row>
    <row r="3157" spans="17:17" x14ac:dyDescent="0.2">
      <c r="Q3157" s="95"/>
    </row>
    <row r="3158" spans="17:17" x14ac:dyDescent="0.2">
      <c r="Q3158" s="95"/>
    </row>
    <row r="3159" spans="17:17" x14ac:dyDescent="0.2">
      <c r="Q3159" s="95"/>
    </row>
    <row r="3160" spans="17:17" x14ac:dyDescent="0.2">
      <c r="Q3160" s="95"/>
    </row>
    <row r="3161" spans="17:17" x14ac:dyDescent="0.2">
      <c r="Q3161" s="95"/>
    </row>
    <row r="3162" spans="17:17" x14ac:dyDescent="0.2">
      <c r="Q3162" s="95"/>
    </row>
    <row r="3163" spans="17:17" x14ac:dyDescent="0.2">
      <c r="Q3163" s="95"/>
    </row>
    <row r="3164" spans="17:17" x14ac:dyDescent="0.2">
      <c r="Q3164" s="95"/>
    </row>
    <row r="3165" spans="17:17" x14ac:dyDescent="0.2">
      <c r="Q3165" s="95"/>
    </row>
    <row r="3166" spans="17:17" x14ac:dyDescent="0.2">
      <c r="Q3166" s="95"/>
    </row>
    <row r="3167" spans="17:17" x14ac:dyDescent="0.2">
      <c r="Q3167" s="95"/>
    </row>
    <row r="3168" spans="17:17" x14ac:dyDescent="0.2">
      <c r="Q3168" s="95"/>
    </row>
    <row r="3169" spans="17:17" x14ac:dyDescent="0.2">
      <c r="Q3169" s="95"/>
    </row>
    <row r="3170" spans="17:17" x14ac:dyDescent="0.2">
      <c r="Q3170" s="95"/>
    </row>
    <row r="3171" spans="17:17" x14ac:dyDescent="0.2">
      <c r="Q3171" s="95"/>
    </row>
    <row r="3172" spans="17:17" x14ac:dyDescent="0.2">
      <c r="Q3172" s="95"/>
    </row>
    <row r="3173" spans="17:17" x14ac:dyDescent="0.2">
      <c r="Q3173" s="95"/>
    </row>
    <row r="3174" spans="17:17" x14ac:dyDescent="0.2">
      <c r="Q3174" s="95"/>
    </row>
    <row r="3175" spans="17:17" x14ac:dyDescent="0.2">
      <c r="Q3175" s="95"/>
    </row>
    <row r="3176" spans="17:17" x14ac:dyDescent="0.2">
      <c r="Q3176" s="95"/>
    </row>
    <row r="3177" spans="17:17" x14ac:dyDescent="0.2">
      <c r="Q3177" s="95"/>
    </row>
    <row r="3178" spans="17:17" x14ac:dyDescent="0.2">
      <c r="Q3178" s="95"/>
    </row>
    <row r="3179" spans="17:17" x14ac:dyDescent="0.2">
      <c r="Q3179" s="95"/>
    </row>
    <row r="3180" spans="17:17" x14ac:dyDescent="0.2">
      <c r="Q3180" s="95"/>
    </row>
    <row r="3181" spans="17:17" x14ac:dyDescent="0.2">
      <c r="Q3181" s="95"/>
    </row>
    <row r="3182" spans="17:17" x14ac:dyDescent="0.2">
      <c r="Q3182" s="95"/>
    </row>
    <row r="3183" spans="17:17" x14ac:dyDescent="0.2">
      <c r="Q3183" s="95"/>
    </row>
    <row r="3184" spans="17:17" x14ac:dyDescent="0.2">
      <c r="Q3184" s="95"/>
    </row>
    <row r="3185" spans="17:17" x14ac:dyDescent="0.2">
      <c r="Q3185" s="95"/>
    </row>
    <row r="3186" spans="17:17" x14ac:dyDescent="0.2">
      <c r="Q3186" s="95"/>
    </row>
    <row r="3187" spans="17:17" x14ac:dyDescent="0.2">
      <c r="Q3187" s="95"/>
    </row>
    <row r="3188" spans="17:17" x14ac:dyDescent="0.2">
      <c r="Q3188" s="95"/>
    </row>
    <row r="3189" spans="17:17" x14ac:dyDescent="0.2">
      <c r="Q3189" s="95"/>
    </row>
    <row r="3190" spans="17:17" x14ac:dyDescent="0.2">
      <c r="Q3190" s="95"/>
    </row>
    <row r="3191" spans="17:17" x14ac:dyDescent="0.2">
      <c r="Q3191" s="95"/>
    </row>
    <row r="3192" spans="17:17" x14ac:dyDescent="0.2">
      <c r="Q3192" s="95"/>
    </row>
    <row r="3193" spans="17:17" x14ac:dyDescent="0.2">
      <c r="Q3193" s="95"/>
    </row>
    <row r="3194" spans="17:17" x14ac:dyDescent="0.2">
      <c r="Q3194" s="95"/>
    </row>
    <row r="3195" spans="17:17" x14ac:dyDescent="0.2">
      <c r="Q3195" s="95"/>
    </row>
    <row r="3196" spans="17:17" x14ac:dyDescent="0.2">
      <c r="Q3196" s="95"/>
    </row>
    <row r="3197" spans="17:17" x14ac:dyDescent="0.2">
      <c r="Q3197" s="95"/>
    </row>
    <row r="3198" spans="17:17" x14ac:dyDescent="0.2">
      <c r="Q3198" s="95"/>
    </row>
    <row r="3199" spans="17:17" x14ac:dyDescent="0.2">
      <c r="Q3199" s="95"/>
    </row>
    <row r="3200" spans="17:17" x14ac:dyDescent="0.2">
      <c r="Q3200" s="95"/>
    </row>
    <row r="3201" spans="17:17" x14ac:dyDescent="0.2">
      <c r="Q3201" s="95"/>
    </row>
    <row r="3202" spans="17:17" x14ac:dyDescent="0.2">
      <c r="Q3202" s="95"/>
    </row>
    <row r="3203" spans="17:17" x14ac:dyDescent="0.2">
      <c r="Q3203" s="95"/>
    </row>
    <row r="3204" spans="17:17" x14ac:dyDescent="0.2">
      <c r="Q3204" s="95"/>
    </row>
    <row r="3205" spans="17:17" x14ac:dyDescent="0.2">
      <c r="Q3205" s="95"/>
    </row>
    <row r="3206" spans="17:17" x14ac:dyDescent="0.2">
      <c r="Q3206" s="95"/>
    </row>
    <row r="3207" spans="17:17" x14ac:dyDescent="0.2">
      <c r="Q3207" s="95"/>
    </row>
    <row r="3208" spans="17:17" x14ac:dyDescent="0.2">
      <c r="Q3208" s="95"/>
    </row>
    <row r="3209" spans="17:17" x14ac:dyDescent="0.2">
      <c r="Q3209" s="95"/>
    </row>
    <row r="3210" spans="17:17" x14ac:dyDescent="0.2">
      <c r="Q3210" s="95"/>
    </row>
    <row r="3211" spans="17:17" x14ac:dyDescent="0.2">
      <c r="Q3211" s="95"/>
    </row>
    <row r="3212" spans="17:17" x14ac:dyDescent="0.2">
      <c r="Q3212" s="95"/>
    </row>
    <row r="3213" spans="17:17" x14ac:dyDescent="0.2">
      <c r="Q3213" s="95"/>
    </row>
    <row r="3214" spans="17:17" x14ac:dyDescent="0.2">
      <c r="Q3214" s="95"/>
    </row>
    <row r="3215" spans="17:17" x14ac:dyDescent="0.2">
      <c r="Q3215" s="95"/>
    </row>
    <row r="3216" spans="17:17" x14ac:dyDescent="0.2">
      <c r="Q3216" s="95"/>
    </row>
    <row r="3217" spans="17:17" x14ac:dyDescent="0.2">
      <c r="Q3217" s="95"/>
    </row>
    <row r="3218" spans="17:17" x14ac:dyDescent="0.2">
      <c r="Q3218" s="95"/>
    </row>
    <row r="3219" spans="17:17" x14ac:dyDescent="0.2">
      <c r="Q3219" s="95"/>
    </row>
    <row r="3220" spans="17:17" x14ac:dyDescent="0.2">
      <c r="Q3220" s="95"/>
    </row>
    <row r="3221" spans="17:17" x14ac:dyDescent="0.2">
      <c r="Q3221" s="95"/>
    </row>
    <row r="3222" spans="17:17" x14ac:dyDescent="0.2">
      <c r="Q3222" s="95"/>
    </row>
    <row r="3223" spans="17:17" x14ac:dyDescent="0.2">
      <c r="Q3223" s="95"/>
    </row>
    <row r="3224" spans="17:17" x14ac:dyDescent="0.2">
      <c r="Q3224" s="95"/>
    </row>
    <row r="3225" spans="17:17" x14ac:dyDescent="0.2">
      <c r="Q3225" s="95"/>
    </row>
    <row r="3226" spans="17:17" x14ac:dyDescent="0.2">
      <c r="Q3226" s="95"/>
    </row>
    <row r="3227" spans="17:17" x14ac:dyDescent="0.2">
      <c r="Q3227" s="95"/>
    </row>
    <row r="3228" spans="17:17" x14ac:dyDescent="0.2">
      <c r="Q3228" s="95"/>
    </row>
    <row r="3229" spans="17:17" x14ac:dyDescent="0.2">
      <c r="Q3229" s="95"/>
    </row>
    <row r="3230" spans="17:17" x14ac:dyDescent="0.2">
      <c r="Q3230" s="95"/>
    </row>
    <row r="3231" spans="17:17" x14ac:dyDescent="0.2">
      <c r="Q3231" s="95"/>
    </row>
    <row r="3232" spans="17:17" x14ac:dyDescent="0.2">
      <c r="Q3232" s="95"/>
    </row>
    <row r="3233" spans="17:17" x14ac:dyDescent="0.2">
      <c r="Q3233" s="95"/>
    </row>
    <row r="3234" spans="17:17" x14ac:dyDescent="0.2">
      <c r="Q3234" s="95"/>
    </row>
    <row r="3235" spans="17:17" x14ac:dyDescent="0.2">
      <c r="Q3235" s="95"/>
    </row>
    <row r="3236" spans="17:17" x14ac:dyDescent="0.2">
      <c r="Q3236" s="95"/>
    </row>
    <row r="3237" spans="17:17" x14ac:dyDescent="0.2">
      <c r="Q3237" s="95"/>
    </row>
    <row r="3238" spans="17:17" x14ac:dyDescent="0.2">
      <c r="Q3238" s="95"/>
    </row>
    <row r="3239" spans="17:17" x14ac:dyDescent="0.2">
      <c r="Q3239" s="95"/>
    </row>
    <row r="3240" spans="17:17" x14ac:dyDescent="0.2">
      <c r="Q3240" s="95"/>
    </row>
    <row r="3241" spans="17:17" x14ac:dyDescent="0.2">
      <c r="Q3241" s="95"/>
    </row>
    <row r="3242" spans="17:17" x14ac:dyDescent="0.2">
      <c r="Q3242" s="95"/>
    </row>
    <row r="3243" spans="17:17" x14ac:dyDescent="0.2">
      <c r="Q3243" s="95"/>
    </row>
    <row r="3244" spans="17:17" x14ac:dyDescent="0.2">
      <c r="Q3244" s="95"/>
    </row>
    <row r="3245" spans="17:17" x14ac:dyDescent="0.2">
      <c r="Q3245" s="95"/>
    </row>
    <row r="3246" spans="17:17" x14ac:dyDescent="0.2">
      <c r="Q3246" s="95"/>
    </row>
    <row r="3247" spans="17:17" x14ac:dyDescent="0.2">
      <c r="Q3247" s="95"/>
    </row>
    <row r="3248" spans="17:17" x14ac:dyDescent="0.2">
      <c r="Q3248" s="95"/>
    </row>
    <row r="3249" spans="17:17" x14ac:dyDescent="0.2">
      <c r="Q3249" s="95"/>
    </row>
    <row r="3250" spans="17:17" x14ac:dyDescent="0.2">
      <c r="Q3250" s="95"/>
    </row>
    <row r="3251" spans="17:17" x14ac:dyDescent="0.2">
      <c r="Q3251" s="95"/>
    </row>
    <row r="3252" spans="17:17" x14ac:dyDescent="0.2">
      <c r="Q3252" s="95"/>
    </row>
    <row r="3253" spans="17:17" x14ac:dyDescent="0.2">
      <c r="Q3253" s="95"/>
    </row>
    <row r="3254" spans="17:17" x14ac:dyDescent="0.2">
      <c r="Q3254" s="95"/>
    </row>
    <row r="3255" spans="17:17" x14ac:dyDescent="0.2">
      <c r="Q3255" s="95"/>
    </row>
    <row r="3256" spans="17:17" x14ac:dyDescent="0.2">
      <c r="Q3256" s="95"/>
    </row>
    <row r="3257" spans="17:17" x14ac:dyDescent="0.2">
      <c r="Q3257" s="95"/>
    </row>
    <row r="3258" spans="17:17" x14ac:dyDescent="0.2">
      <c r="Q3258" s="95"/>
    </row>
    <row r="3259" spans="17:17" x14ac:dyDescent="0.2">
      <c r="Q3259" s="95"/>
    </row>
    <row r="3260" spans="17:17" x14ac:dyDescent="0.2">
      <c r="Q3260" s="95"/>
    </row>
    <row r="3261" spans="17:17" x14ac:dyDescent="0.2">
      <c r="Q3261" s="95"/>
    </row>
    <row r="3262" spans="17:17" x14ac:dyDescent="0.2">
      <c r="Q3262" s="95"/>
    </row>
    <row r="3263" spans="17:17" x14ac:dyDescent="0.2">
      <c r="Q3263" s="95"/>
    </row>
    <row r="3264" spans="17:17" x14ac:dyDescent="0.2">
      <c r="Q3264" s="95"/>
    </row>
    <row r="3265" spans="17:17" x14ac:dyDescent="0.2">
      <c r="Q3265" s="95"/>
    </row>
    <row r="3266" spans="17:17" x14ac:dyDescent="0.2">
      <c r="Q3266" s="95"/>
    </row>
    <row r="3267" spans="17:17" x14ac:dyDescent="0.2">
      <c r="Q3267" s="95"/>
    </row>
    <row r="3268" spans="17:17" x14ac:dyDescent="0.2">
      <c r="Q3268" s="95"/>
    </row>
    <row r="3269" spans="17:17" x14ac:dyDescent="0.2">
      <c r="Q3269" s="95"/>
    </row>
    <row r="3270" spans="17:17" x14ac:dyDescent="0.2">
      <c r="Q3270" s="95"/>
    </row>
    <row r="3271" spans="17:17" x14ac:dyDescent="0.2">
      <c r="Q3271" s="95"/>
    </row>
    <row r="3272" spans="17:17" x14ac:dyDescent="0.2">
      <c r="Q3272" s="95"/>
    </row>
    <row r="3273" spans="17:17" x14ac:dyDescent="0.2">
      <c r="Q3273" s="95"/>
    </row>
    <row r="3274" spans="17:17" x14ac:dyDescent="0.2">
      <c r="Q3274" s="95"/>
    </row>
    <row r="3275" spans="17:17" x14ac:dyDescent="0.2">
      <c r="Q3275" s="95"/>
    </row>
    <row r="3276" spans="17:17" x14ac:dyDescent="0.2">
      <c r="Q3276" s="95"/>
    </row>
    <row r="3277" spans="17:17" x14ac:dyDescent="0.2">
      <c r="Q3277" s="95"/>
    </row>
    <row r="3278" spans="17:17" x14ac:dyDescent="0.2">
      <c r="Q3278" s="95"/>
    </row>
    <row r="3279" spans="17:17" x14ac:dyDescent="0.2">
      <c r="Q3279" s="95"/>
    </row>
    <row r="3280" spans="17:17" x14ac:dyDescent="0.2">
      <c r="Q3280" s="95"/>
    </row>
    <row r="3281" spans="17:17" x14ac:dyDescent="0.2">
      <c r="Q3281" s="95"/>
    </row>
    <row r="3282" spans="17:17" x14ac:dyDescent="0.2">
      <c r="Q3282" s="95"/>
    </row>
    <row r="3283" spans="17:17" x14ac:dyDescent="0.2">
      <c r="Q3283" s="95"/>
    </row>
    <row r="3284" spans="17:17" x14ac:dyDescent="0.2">
      <c r="Q3284" s="95"/>
    </row>
    <row r="3285" spans="17:17" x14ac:dyDescent="0.2">
      <c r="Q3285" s="95"/>
    </row>
    <row r="3286" spans="17:17" x14ac:dyDescent="0.2">
      <c r="Q3286" s="95"/>
    </row>
    <row r="3287" spans="17:17" x14ac:dyDescent="0.2">
      <c r="Q3287" s="95"/>
    </row>
    <row r="3288" spans="17:17" x14ac:dyDescent="0.2">
      <c r="Q3288" s="95"/>
    </row>
    <row r="3289" spans="17:17" x14ac:dyDescent="0.2">
      <c r="Q3289" s="95"/>
    </row>
    <row r="3290" spans="17:17" x14ac:dyDescent="0.2">
      <c r="Q3290" s="95"/>
    </row>
    <row r="3291" spans="17:17" x14ac:dyDescent="0.2">
      <c r="Q3291" s="95"/>
    </row>
    <row r="3292" spans="17:17" x14ac:dyDescent="0.2">
      <c r="Q3292" s="95"/>
    </row>
    <row r="3293" spans="17:17" x14ac:dyDescent="0.2">
      <c r="Q3293" s="95"/>
    </row>
    <row r="3294" spans="17:17" x14ac:dyDescent="0.2">
      <c r="Q3294" s="95"/>
    </row>
    <row r="3295" spans="17:17" x14ac:dyDescent="0.2">
      <c r="Q3295" s="95"/>
    </row>
    <row r="3296" spans="17:17" x14ac:dyDescent="0.2">
      <c r="Q3296" s="95"/>
    </row>
    <row r="3297" spans="17:17" x14ac:dyDescent="0.2">
      <c r="Q3297" s="95"/>
    </row>
    <row r="3298" spans="17:17" x14ac:dyDescent="0.2">
      <c r="Q3298" s="95"/>
    </row>
    <row r="3299" spans="17:17" x14ac:dyDescent="0.2">
      <c r="Q3299" s="95"/>
    </row>
    <row r="3300" spans="17:17" x14ac:dyDescent="0.2">
      <c r="Q3300" s="95"/>
    </row>
    <row r="3301" spans="17:17" x14ac:dyDescent="0.2">
      <c r="Q3301" s="95"/>
    </row>
    <row r="3302" spans="17:17" x14ac:dyDescent="0.2">
      <c r="Q3302" s="95"/>
    </row>
    <row r="3303" spans="17:17" x14ac:dyDescent="0.2">
      <c r="Q3303" s="95"/>
    </row>
    <row r="3304" spans="17:17" x14ac:dyDescent="0.2">
      <c r="Q3304" s="95"/>
    </row>
    <row r="3305" spans="17:17" x14ac:dyDescent="0.2">
      <c r="Q3305" s="95"/>
    </row>
    <row r="3306" spans="17:17" x14ac:dyDescent="0.2">
      <c r="Q3306" s="95"/>
    </row>
    <row r="3307" spans="17:17" x14ac:dyDescent="0.2">
      <c r="Q3307" s="95"/>
    </row>
    <row r="3308" spans="17:17" x14ac:dyDescent="0.2">
      <c r="Q3308" s="95"/>
    </row>
    <row r="3309" spans="17:17" x14ac:dyDescent="0.2">
      <c r="Q3309" s="95"/>
    </row>
    <row r="3310" spans="17:17" x14ac:dyDescent="0.2">
      <c r="Q3310" s="95"/>
    </row>
    <row r="3311" spans="17:17" x14ac:dyDescent="0.2">
      <c r="Q3311" s="95"/>
    </row>
    <row r="3312" spans="17:17" x14ac:dyDescent="0.2">
      <c r="Q3312" s="95"/>
    </row>
    <row r="3313" spans="17:17" x14ac:dyDescent="0.2">
      <c r="Q3313" s="95"/>
    </row>
    <row r="3314" spans="17:17" x14ac:dyDescent="0.2">
      <c r="Q3314" s="95"/>
    </row>
    <row r="3315" spans="17:17" x14ac:dyDescent="0.2">
      <c r="Q3315" s="95"/>
    </row>
    <row r="3316" spans="17:17" x14ac:dyDescent="0.2">
      <c r="Q3316" s="95"/>
    </row>
    <row r="3317" spans="17:17" x14ac:dyDescent="0.2">
      <c r="Q3317" s="95"/>
    </row>
    <row r="3318" spans="17:17" x14ac:dyDescent="0.2">
      <c r="Q3318" s="95"/>
    </row>
    <row r="3319" spans="17:17" x14ac:dyDescent="0.2">
      <c r="Q3319" s="95"/>
    </row>
    <row r="3320" spans="17:17" x14ac:dyDescent="0.2">
      <c r="Q3320" s="95"/>
    </row>
    <row r="3321" spans="17:17" x14ac:dyDescent="0.2">
      <c r="Q3321" s="95"/>
    </row>
    <row r="3322" spans="17:17" x14ac:dyDescent="0.2">
      <c r="Q3322" s="95"/>
    </row>
    <row r="3323" spans="17:17" x14ac:dyDescent="0.2">
      <c r="Q3323" s="95"/>
    </row>
    <row r="3324" spans="17:17" x14ac:dyDescent="0.2">
      <c r="Q3324" s="95"/>
    </row>
    <row r="3325" spans="17:17" x14ac:dyDescent="0.2">
      <c r="Q3325" s="95"/>
    </row>
    <row r="3326" spans="17:17" x14ac:dyDescent="0.2">
      <c r="Q3326" s="95"/>
    </row>
    <row r="3327" spans="17:17" x14ac:dyDescent="0.2">
      <c r="Q3327" s="95"/>
    </row>
    <row r="3328" spans="17:17" x14ac:dyDescent="0.2">
      <c r="Q3328" s="95"/>
    </row>
    <row r="3329" spans="17:17" x14ac:dyDescent="0.2">
      <c r="Q3329" s="95"/>
    </row>
    <row r="3330" spans="17:17" x14ac:dyDescent="0.2">
      <c r="Q3330" s="95"/>
    </row>
    <row r="3331" spans="17:17" x14ac:dyDescent="0.2">
      <c r="Q3331" s="95"/>
    </row>
    <row r="3332" spans="17:17" x14ac:dyDescent="0.2">
      <c r="Q3332" s="95"/>
    </row>
    <row r="3333" spans="17:17" x14ac:dyDescent="0.2">
      <c r="Q3333" s="95"/>
    </row>
    <row r="3334" spans="17:17" x14ac:dyDescent="0.2">
      <c r="Q3334" s="95"/>
    </row>
    <row r="3335" spans="17:17" x14ac:dyDescent="0.2">
      <c r="Q3335" s="95"/>
    </row>
    <row r="3336" spans="17:17" x14ac:dyDescent="0.2">
      <c r="Q3336" s="95"/>
    </row>
    <row r="3337" spans="17:17" x14ac:dyDescent="0.2">
      <c r="Q3337" s="95"/>
    </row>
    <row r="3338" spans="17:17" x14ac:dyDescent="0.2">
      <c r="Q3338" s="95"/>
    </row>
    <row r="3339" spans="17:17" x14ac:dyDescent="0.2">
      <c r="Q3339" s="95"/>
    </row>
    <row r="3340" spans="17:17" x14ac:dyDescent="0.2">
      <c r="Q3340" s="95"/>
    </row>
    <row r="3341" spans="17:17" x14ac:dyDescent="0.2">
      <c r="Q3341" s="95"/>
    </row>
    <row r="3342" spans="17:17" x14ac:dyDescent="0.2">
      <c r="Q3342" s="95"/>
    </row>
    <row r="3343" spans="17:17" x14ac:dyDescent="0.2">
      <c r="Q3343" s="95"/>
    </row>
    <row r="3344" spans="17:17" x14ac:dyDescent="0.2">
      <c r="Q3344" s="95"/>
    </row>
    <row r="3345" spans="17:17" x14ac:dyDescent="0.2">
      <c r="Q3345" s="95"/>
    </row>
    <row r="3346" spans="17:17" x14ac:dyDescent="0.2">
      <c r="Q3346" s="95"/>
    </row>
    <row r="3347" spans="17:17" x14ac:dyDescent="0.2">
      <c r="Q3347" s="95"/>
    </row>
    <row r="3348" spans="17:17" x14ac:dyDescent="0.2">
      <c r="Q3348" s="95"/>
    </row>
    <row r="3349" spans="17:17" x14ac:dyDescent="0.2">
      <c r="Q3349" s="95"/>
    </row>
    <row r="3350" spans="17:17" x14ac:dyDescent="0.2">
      <c r="Q3350" s="95"/>
    </row>
    <row r="3351" spans="17:17" x14ac:dyDescent="0.2">
      <c r="Q3351" s="95"/>
    </row>
    <row r="3352" spans="17:17" x14ac:dyDescent="0.2">
      <c r="Q3352" s="95"/>
    </row>
    <row r="3353" spans="17:17" x14ac:dyDescent="0.2">
      <c r="Q3353" s="95"/>
    </row>
    <row r="3354" spans="17:17" x14ac:dyDescent="0.2">
      <c r="Q3354" s="95"/>
    </row>
    <row r="3355" spans="17:17" x14ac:dyDescent="0.2">
      <c r="Q3355" s="95"/>
    </row>
    <row r="3356" spans="17:17" x14ac:dyDescent="0.2">
      <c r="Q3356" s="95"/>
    </row>
    <row r="3357" spans="17:17" x14ac:dyDescent="0.2">
      <c r="Q3357" s="95"/>
    </row>
    <row r="3358" spans="17:17" x14ac:dyDescent="0.2">
      <c r="Q3358" s="95"/>
    </row>
    <row r="3359" spans="17:17" x14ac:dyDescent="0.2">
      <c r="Q3359" s="95"/>
    </row>
    <row r="3360" spans="17:17" x14ac:dyDescent="0.2">
      <c r="Q3360" s="95"/>
    </row>
    <row r="3361" spans="17:17" x14ac:dyDescent="0.2">
      <c r="Q3361" s="95"/>
    </row>
    <row r="3362" spans="17:17" x14ac:dyDescent="0.2">
      <c r="Q3362" s="95"/>
    </row>
    <row r="3363" spans="17:17" x14ac:dyDescent="0.2">
      <c r="Q3363" s="95"/>
    </row>
    <row r="3364" spans="17:17" x14ac:dyDescent="0.2">
      <c r="Q3364" s="95"/>
    </row>
    <row r="3365" spans="17:17" x14ac:dyDescent="0.2">
      <c r="Q3365" s="95"/>
    </row>
    <row r="3366" spans="17:17" x14ac:dyDescent="0.2">
      <c r="Q3366" s="95"/>
    </row>
    <row r="3367" spans="17:17" x14ac:dyDescent="0.2">
      <c r="Q3367" s="95"/>
    </row>
    <row r="3368" spans="17:17" x14ac:dyDescent="0.2">
      <c r="Q3368" s="95"/>
    </row>
    <row r="3369" spans="17:17" x14ac:dyDescent="0.2">
      <c r="Q3369" s="95"/>
    </row>
    <row r="3370" spans="17:17" x14ac:dyDescent="0.2">
      <c r="Q3370" s="95"/>
    </row>
    <row r="3371" spans="17:17" x14ac:dyDescent="0.2">
      <c r="Q3371" s="95"/>
    </row>
    <row r="3372" spans="17:17" x14ac:dyDescent="0.2">
      <c r="Q3372" s="95"/>
    </row>
    <row r="3373" spans="17:17" x14ac:dyDescent="0.2">
      <c r="Q3373" s="95"/>
    </row>
    <row r="3374" spans="17:17" x14ac:dyDescent="0.2">
      <c r="Q3374" s="95"/>
    </row>
    <row r="3375" spans="17:17" x14ac:dyDescent="0.2">
      <c r="Q3375" s="95"/>
    </row>
    <row r="3376" spans="17:17" x14ac:dyDescent="0.2">
      <c r="Q3376" s="95"/>
    </row>
    <row r="3377" spans="17:17" x14ac:dyDescent="0.2">
      <c r="Q3377" s="95"/>
    </row>
    <row r="3378" spans="17:17" x14ac:dyDescent="0.2">
      <c r="Q3378" s="95"/>
    </row>
    <row r="3379" spans="17:17" x14ac:dyDescent="0.2">
      <c r="Q3379" s="95"/>
    </row>
    <row r="3380" spans="17:17" x14ac:dyDescent="0.2">
      <c r="Q3380" s="95"/>
    </row>
    <row r="3381" spans="17:17" x14ac:dyDescent="0.2">
      <c r="Q3381" s="95"/>
    </row>
    <row r="3382" spans="17:17" x14ac:dyDescent="0.2">
      <c r="Q3382" s="95"/>
    </row>
    <row r="3383" spans="17:17" x14ac:dyDescent="0.2">
      <c r="Q3383" s="95"/>
    </row>
    <row r="3384" spans="17:17" x14ac:dyDescent="0.2">
      <c r="Q3384" s="95"/>
    </row>
    <row r="3385" spans="17:17" x14ac:dyDescent="0.2">
      <c r="Q3385" s="95"/>
    </row>
    <row r="3386" spans="17:17" x14ac:dyDescent="0.2">
      <c r="Q3386" s="95"/>
    </row>
    <row r="3387" spans="17:17" x14ac:dyDescent="0.2">
      <c r="Q3387" s="95"/>
    </row>
    <row r="3388" spans="17:17" x14ac:dyDescent="0.2">
      <c r="Q3388" s="95"/>
    </row>
    <row r="3389" spans="17:17" x14ac:dyDescent="0.2">
      <c r="Q3389" s="95"/>
    </row>
    <row r="3390" spans="17:17" x14ac:dyDescent="0.2">
      <c r="Q3390" s="95"/>
    </row>
    <row r="3391" spans="17:17" x14ac:dyDescent="0.2">
      <c r="Q3391" s="95"/>
    </row>
    <row r="3392" spans="17:17" x14ac:dyDescent="0.2">
      <c r="Q3392" s="95"/>
    </row>
    <row r="3393" spans="17:17" x14ac:dyDescent="0.2">
      <c r="Q3393" s="95"/>
    </row>
    <row r="3394" spans="17:17" x14ac:dyDescent="0.2">
      <c r="Q3394" s="95"/>
    </row>
    <row r="3395" spans="17:17" x14ac:dyDescent="0.2">
      <c r="Q3395" s="95"/>
    </row>
    <row r="3396" spans="17:17" x14ac:dyDescent="0.2">
      <c r="Q3396" s="95"/>
    </row>
    <row r="3397" spans="17:17" x14ac:dyDescent="0.2">
      <c r="Q3397" s="95"/>
    </row>
    <row r="3398" spans="17:17" x14ac:dyDescent="0.2">
      <c r="Q3398" s="95"/>
    </row>
    <row r="3399" spans="17:17" x14ac:dyDescent="0.2">
      <c r="Q3399" s="95"/>
    </row>
    <row r="3400" spans="17:17" x14ac:dyDescent="0.2">
      <c r="Q3400" s="95"/>
    </row>
    <row r="3401" spans="17:17" x14ac:dyDescent="0.2">
      <c r="Q3401" s="95"/>
    </row>
    <row r="3402" spans="17:17" x14ac:dyDescent="0.2">
      <c r="Q3402" s="95"/>
    </row>
    <row r="3403" spans="17:17" x14ac:dyDescent="0.2">
      <c r="Q3403" s="95"/>
    </row>
    <row r="3404" spans="17:17" x14ac:dyDescent="0.2">
      <c r="Q3404" s="95"/>
    </row>
    <row r="3405" spans="17:17" x14ac:dyDescent="0.2">
      <c r="Q3405" s="95"/>
    </row>
    <row r="3406" spans="17:17" x14ac:dyDescent="0.2">
      <c r="Q3406" s="95"/>
    </row>
    <row r="3407" spans="17:17" x14ac:dyDescent="0.2">
      <c r="Q3407" s="95"/>
    </row>
    <row r="3408" spans="17:17" x14ac:dyDescent="0.2">
      <c r="Q3408" s="95"/>
    </row>
    <row r="3409" spans="17:17" x14ac:dyDescent="0.2">
      <c r="Q3409" s="95"/>
    </row>
    <row r="3410" spans="17:17" x14ac:dyDescent="0.2">
      <c r="Q3410" s="95"/>
    </row>
    <row r="3411" spans="17:17" x14ac:dyDescent="0.2">
      <c r="Q3411" s="95"/>
    </row>
    <row r="3412" spans="17:17" x14ac:dyDescent="0.2">
      <c r="Q3412" s="95"/>
    </row>
    <row r="3413" spans="17:17" x14ac:dyDescent="0.2">
      <c r="Q3413" s="95"/>
    </row>
    <row r="3414" spans="17:17" x14ac:dyDescent="0.2">
      <c r="Q3414" s="95"/>
    </row>
    <row r="3415" spans="17:17" x14ac:dyDescent="0.2">
      <c r="Q3415" s="95"/>
    </row>
    <row r="3416" spans="17:17" x14ac:dyDescent="0.2">
      <c r="Q3416" s="95"/>
    </row>
    <row r="3417" spans="17:17" x14ac:dyDescent="0.2">
      <c r="Q3417" s="95"/>
    </row>
    <row r="3418" spans="17:17" x14ac:dyDescent="0.2">
      <c r="Q3418" s="95"/>
    </row>
    <row r="3419" spans="17:17" x14ac:dyDescent="0.2">
      <c r="Q3419" s="95"/>
    </row>
    <row r="3420" spans="17:17" x14ac:dyDescent="0.2">
      <c r="Q3420" s="95"/>
    </row>
    <row r="3421" spans="17:17" x14ac:dyDescent="0.2">
      <c r="Q3421" s="95"/>
    </row>
    <row r="3422" spans="17:17" x14ac:dyDescent="0.2">
      <c r="Q3422" s="95"/>
    </row>
    <row r="3423" spans="17:17" x14ac:dyDescent="0.2">
      <c r="Q3423" s="95"/>
    </row>
    <row r="3424" spans="17:17" x14ac:dyDescent="0.2">
      <c r="Q3424" s="95"/>
    </row>
    <row r="3425" spans="17:17" x14ac:dyDescent="0.2">
      <c r="Q3425" s="95"/>
    </row>
    <row r="3426" spans="17:17" x14ac:dyDescent="0.2">
      <c r="Q3426" s="95"/>
    </row>
    <row r="3427" spans="17:17" x14ac:dyDescent="0.2">
      <c r="Q3427" s="95"/>
    </row>
    <row r="3428" spans="17:17" x14ac:dyDescent="0.2">
      <c r="Q3428" s="95"/>
    </row>
    <row r="3429" spans="17:17" x14ac:dyDescent="0.2">
      <c r="Q3429" s="95"/>
    </row>
    <row r="3430" spans="17:17" x14ac:dyDescent="0.2">
      <c r="Q3430" s="95"/>
    </row>
    <row r="3431" spans="17:17" x14ac:dyDescent="0.2">
      <c r="Q3431" s="95"/>
    </row>
    <row r="3432" spans="17:17" x14ac:dyDescent="0.2">
      <c r="Q3432" s="95"/>
    </row>
    <row r="3433" spans="17:17" x14ac:dyDescent="0.2">
      <c r="Q3433" s="95"/>
    </row>
    <row r="3434" spans="17:17" x14ac:dyDescent="0.2">
      <c r="Q3434" s="95"/>
    </row>
    <row r="3435" spans="17:17" x14ac:dyDescent="0.2">
      <c r="Q3435" s="95"/>
    </row>
    <row r="3436" spans="17:17" x14ac:dyDescent="0.2">
      <c r="Q3436" s="95"/>
    </row>
    <row r="3437" spans="17:17" x14ac:dyDescent="0.2">
      <c r="Q3437" s="95"/>
    </row>
    <row r="3438" spans="17:17" x14ac:dyDescent="0.2">
      <c r="Q3438" s="95"/>
    </row>
    <row r="3439" spans="17:17" x14ac:dyDescent="0.2">
      <c r="Q3439" s="95"/>
    </row>
    <row r="3440" spans="17:17" x14ac:dyDescent="0.2">
      <c r="Q3440" s="95"/>
    </row>
    <row r="3441" spans="17:17" x14ac:dyDescent="0.2">
      <c r="Q3441" s="95"/>
    </row>
    <row r="3442" spans="17:17" x14ac:dyDescent="0.2">
      <c r="Q3442" s="95"/>
    </row>
    <row r="3443" spans="17:17" x14ac:dyDescent="0.2">
      <c r="Q3443" s="95"/>
    </row>
    <row r="3444" spans="17:17" x14ac:dyDescent="0.2">
      <c r="Q3444" s="95"/>
    </row>
    <row r="3445" spans="17:17" x14ac:dyDescent="0.2">
      <c r="Q3445" s="95"/>
    </row>
    <row r="3446" spans="17:17" x14ac:dyDescent="0.2">
      <c r="Q3446" s="95"/>
    </row>
    <row r="3447" spans="17:17" x14ac:dyDescent="0.2">
      <c r="Q3447" s="95"/>
    </row>
    <row r="3448" spans="17:17" x14ac:dyDescent="0.2">
      <c r="Q3448" s="95"/>
    </row>
    <row r="3449" spans="17:17" x14ac:dyDescent="0.2">
      <c r="Q3449" s="95"/>
    </row>
    <row r="3450" spans="17:17" x14ac:dyDescent="0.2">
      <c r="Q3450" s="95"/>
    </row>
    <row r="3451" spans="17:17" x14ac:dyDescent="0.2">
      <c r="Q3451" s="95"/>
    </row>
    <row r="3452" spans="17:17" x14ac:dyDescent="0.2">
      <c r="Q3452" s="95"/>
    </row>
    <row r="3453" spans="17:17" x14ac:dyDescent="0.2">
      <c r="Q3453" s="95"/>
    </row>
    <row r="3454" spans="17:17" x14ac:dyDescent="0.2">
      <c r="Q3454" s="95"/>
    </row>
    <row r="3455" spans="17:17" x14ac:dyDescent="0.2">
      <c r="Q3455" s="95"/>
    </row>
    <row r="3456" spans="17:17" x14ac:dyDescent="0.2">
      <c r="Q3456" s="95"/>
    </row>
    <row r="3457" spans="17:17" x14ac:dyDescent="0.2">
      <c r="Q3457" s="95"/>
    </row>
    <row r="3458" spans="17:17" x14ac:dyDescent="0.2">
      <c r="Q3458" s="95"/>
    </row>
    <row r="3459" spans="17:17" x14ac:dyDescent="0.2">
      <c r="Q3459" s="95"/>
    </row>
    <row r="3460" spans="17:17" x14ac:dyDescent="0.2">
      <c r="Q3460" s="95"/>
    </row>
    <row r="3461" spans="17:17" x14ac:dyDescent="0.2">
      <c r="Q3461" s="95"/>
    </row>
    <row r="3462" spans="17:17" x14ac:dyDescent="0.2">
      <c r="Q3462" s="95"/>
    </row>
    <row r="3463" spans="17:17" x14ac:dyDescent="0.2">
      <c r="Q3463" s="95"/>
    </row>
    <row r="3464" spans="17:17" x14ac:dyDescent="0.2">
      <c r="Q3464" s="95"/>
    </row>
    <row r="3465" spans="17:17" x14ac:dyDescent="0.2">
      <c r="Q3465" s="95"/>
    </row>
    <row r="3466" spans="17:17" x14ac:dyDescent="0.2">
      <c r="Q3466" s="95"/>
    </row>
    <row r="3467" spans="17:17" x14ac:dyDescent="0.2">
      <c r="Q3467" s="95"/>
    </row>
    <row r="3468" spans="17:17" x14ac:dyDescent="0.2">
      <c r="Q3468" s="95"/>
    </row>
    <row r="3469" spans="17:17" x14ac:dyDescent="0.2">
      <c r="Q3469" s="95"/>
    </row>
    <row r="3470" spans="17:17" x14ac:dyDescent="0.2">
      <c r="Q3470" s="95"/>
    </row>
    <row r="3471" spans="17:17" x14ac:dyDescent="0.2">
      <c r="Q3471" s="95"/>
    </row>
    <row r="3472" spans="17:17" x14ac:dyDescent="0.2">
      <c r="Q3472" s="95"/>
    </row>
    <row r="3473" spans="17:17" x14ac:dyDescent="0.2">
      <c r="Q3473" s="95"/>
    </row>
    <row r="3474" spans="17:17" x14ac:dyDescent="0.2">
      <c r="Q3474" s="95"/>
    </row>
    <row r="3475" spans="17:17" x14ac:dyDescent="0.2">
      <c r="Q3475" s="95"/>
    </row>
    <row r="3476" spans="17:17" x14ac:dyDescent="0.2">
      <c r="Q3476" s="95"/>
    </row>
    <row r="3477" spans="17:17" x14ac:dyDescent="0.2">
      <c r="Q3477" s="95"/>
    </row>
    <row r="3478" spans="17:17" x14ac:dyDescent="0.2">
      <c r="Q3478" s="95"/>
    </row>
    <row r="3479" spans="17:17" x14ac:dyDescent="0.2">
      <c r="Q3479" s="95"/>
    </row>
    <row r="3480" spans="17:17" x14ac:dyDescent="0.2">
      <c r="Q3480" s="95"/>
    </row>
    <row r="3481" spans="17:17" x14ac:dyDescent="0.2">
      <c r="Q3481" s="95"/>
    </row>
    <row r="3482" spans="17:17" x14ac:dyDescent="0.2">
      <c r="Q3482" s="95"/>
    </row>
    <row r="3483" spans="17:17" x14ac:dyDescent="0.2">
      <c r="Q3483" s="95"/>
    </row>
    <row r="3484" spans="17:17" x14ac:dyDescent="0.2">
      <c r="Q3484" s="95"/>
    </row>
    <row r="3485" spans="17:17" x14ac:dyDescent="0.2">
      <c r="Q3485" s="95"/>
    </row>
    <row r="3486" spans="17:17" x14ac:dyDescent="0.2">
      <c r="Q3486" s="95"/>
    </row>
    <row r="3487" spans="17:17" x14ac:dyDescent="0.2">
      <c r="Q3487" s="95"/>
    </row>
    <row r="3488" spans="17:17" x14ac:dyDescent="0.2">
      <c r="Q3488" s="95"/>
    </row>
    <row r="3489" spans="17:17" x14ac:dyDescent="0.2">
      <c r="Q3489" s="95"/>
    </row>
    <row r="3490" spans="17:17" x14ac:dyDescent="0.2">
      <c r="Q3490" s="95"/>
    </row>
    <row r="3491" spans="17:17" x14ac:dyDescent="0.2">
      <c r="Q3491" s="95"/>
    </row>
    <row r="3492" spans="17:17" x14ac:dyDescent="0.2">
      <c r="Q3492" s="95"/>
    </row>
    <row r="3493" spans="17:17" x14ac:dyDescent="0.2">
      <c r="Q3493" s="95"/>
    </row>
    <row r="3494" spans="17:17" x14ac:dyDescent="0.2">
      <c r="Q3494" s="95"/>
    </row>
    <row r="3495" spans="17:17" x14ac:dyDescent="0.2">
      <c r="Q3495" s="95"/>
    </row>
    <row r="3496" spans="17:17" x14ac:dyDescent="0.2">
      <c r="Q3496" s="95"/>
    </row>
    <row r="3497" spans="17:17" x14ac:dyDescent="0.2">
      <c r="Q3497" s="95"/>
    </row>
    <row r="3498" spans="17:17" x14ac:dyDescent="0.2">
      <c r="Q3498" s="95"/>
    </row>
    <row r="3499" spans="17:17" x14ac:dyDescent="0.2">
      <c r="Q3499" s="95"/>
    </row>
    <row r="3500" spans="17:17" x14ac:dyDescent="0.2">
      <c r="Q3500" s="95"/>
    </row>
    <row r="3501" spans="17:17" x14ac:dyDescent="0.2">
      <c r="Q3501" s="95"/>
    </row>
    <row r="3502" spans="17:17" x14ac:dyDescent="0.2">
      <c r="Q3502" s="95"/>
    </row>
    <row r="3503" spans="17:17" x14ac:dyDescent="0.2">
      <c r="Q3503" s="95"/>
    </row>
    <row r="3504" spans="17:17" x14ac:dyDescent="0.2">
      <c r="Q3504" s="95"/>
    </row>
    <row r="3505" spans="17:17" x14ac:dyDescent="0.2">
      <c r="Q3505" s="95"/>
    </row>
    <row r="3506" spans="17:17" x14ac:dyDescent="0.2">
      <c r="Q3506" s="95"/>
    </row>
    <row r="3507" spans="17:17" x14ac:dyDescent="0.2">
      <c r="Q3507" s="95"/>
    </row>
    <row r="3508" spans="17:17" x14ac:dyDescent="0.2">
      <c r="Q3508" s="95"/>
    </row>
    <row r="3509" spans="17:17" x14ac:dyDescent="0.2">
      <c r="Q3509" s="95"/>
    </row>
    <row r="3510" spans="17:17" x14ac:dyDescent="0.2">
      <c r="Q3510" s="95"/>
    </row>
    <row r="3511" spans="17:17" x14ac:dyDescent="0.2">
      <c r="Q3511" s="95"/>
    </row>
    <row r="3512" spans="17:17" x14ac:dyDescent="0.2">
      <c r="Q3512" s="95"/>
    </row>
    <row r="3513" spans="17:17" x14ac:dyDescent="0.2">
      <c r="Q3513" s="95"/>
    </row>
    <row r="3514" spans="17:17" x14ac:dyDescent="0.2">
      <c r="Q3514" s="95"/>
    </row>
    <row r="3515" spans="17:17" x14ac:dyDescent="0.2">
      <c r="Q3515" s="95"/>
    </row>
    <row r="3516" spans="17:17" x14ac:dyDescent="0.2">
      <c r="Q3516" s="95"/>
    </row>
    <row r="3517" spans="17:17" x14ac:dyDescent="0.2">
      <c r="Q3517" s="95"/>
    </row>
    <row r="3518" spans="17:17" x14ac:dyDescent="0.2">
      <c r="Q3518" s="95"/>
    </row>
    <row r="3519" spans="17:17" x14ac:dyDescent="0.2">
      <c r="Q3519" s="95"/>
    </row>
    <row r="3520" spans="17:17" x14ac:dyDescent="0.2">
      <c r="Q3520" s="95"/>
    </row>
    <row r="3521" spans="17:17" x14ac:dyDescent="0.2">
      <c r="Q3521" s="95"/>
    </row>
    <row r="3522" spans="17:17" x14ac:dyDescent="0.2">
      <c r="Q3522" s="95"/>
    </row>
    <row r="3523" spans="17:17" x14ac:dyDescent="0.2">
      <c r="Q3523" s="95"/>
    </row>
    <row r="3524" spans="17:17" x14ac:dyDescent="0.2">
      <c r="Q3524" s="95"/>
    </row>
    <row r="3525" spans="17:17" x14ac:dyDescent="0.2">
      <c r="Q3525" s="95"/>
    </row>
    <row r="3526" spans="17:17" x14ac:dyDescent="0.2">
      <c r="Q3526" s="95"/>
    </row>
    <row r="3527" spans="17:17" x14ac:dyDescent="0.2">
      <c r="Q3527" s="95"/>
    </row>
    <row r="3528" spans="17:17" x14ac:dyDescent="0.2">
      <c r="Q3528" s="95"/>
    </row>
    <row r="3529" spans="17:17" x14ac:dyDescent="0.2">
      <c r="Q3529" s="95"/>
    </row>
    <row r="3530" spans="17:17" x14ac:dyDescent="0.2">
      <c r="Q3530" s="95"/>
    </row>
    <row r="3531" spans="17:17" x14ac:dyDescent="0.2">
      <c r="Q3531" s="95"/>
    </row>
    <row r="3532" spans="17:17" x14ac:dyDescent="0.2">
      <c r="Q3532" s="95"/>
    </row>
    <row r="3533" spans="17:17" x14ac:dyDescent="0.2">
      <c r="Q3533" s="95"/>
    </row>
    <row r="3534" spans="17:17" x14ac:dyDescent="0.2">
      <c r="Q3534" s="95"/>
    </row>
    <row r="3535" spans="17:17" x14ac:dyDescent="0.2">
      <c r="Q3535" s="95"/>
    </row>
    <row r="3536" spans="17:17" x14ac:dyDescent="0.2">
      <c r="Q3536" s="95"/>
    </row>
    <row r="3537" spans="17:17" x14ac:dyDescent="0.2">
      <c r="Q3537" s="95"/>
    </row>
    <row r="3538" spans="17:17" x14ac:dyDescent="0.2">
      <c r="Q3538" s="95"/>
    </row>
    <row r="3539" spans="17:17" x14ac:dyDescent="0.2">
      <c r="Q3539" s="95"/>
    </row>
    <row r="3540" spans="17:17" x14ac:dyDescent="0.2">
      <c r="Q3540" s="95"/>
    </row>
    <row r="3541" spans="17:17" x14ac:dyDescent="0.2">
      <c r="Q3541" s="95"/>
    </row>
    <row r="3542" spans="17:17" x14ac:dyDescent="0.2">
      <c r="Q3542" s="95"/>
    </row>
    <row r="3543" spans="17:17" x14ac:dyDescent="0.2">
      <c r="Q3543" s="95"/>
    </row>
    <row r="3544" spans="17:17" x14ac:dyDescent="0.2">
      <c r="Q3544" s="95"/>
    </row>
    <row r="3545" spans="17:17" x14ac:dyDescent="0.2">
      <c r="Q3545" s="95"/>
    </row>
    <row r="3546" spans="17:17" x14ac:dyDescent="0.2">
      <c r="Q3546" s="95"/>
    </row>
    <row r="3547" spans="17:17" x14ac:dyDescent="0.2">
      <c r="Q3547" s="95"/>
    </row>
    <row r="3548" spans="17:17" x14ac:dyDescent="0.2">
      <c r="Q3548" s="95"/>
    </row>
    <row r="3549" spans="17:17" x14ac:dyDescent="0.2">
      <c r="Q3549" s="95"/>
    </row>
    <row r="3550" spans="17:17" x14ac:dyDescent="0.2">
      <c r="Q3550" s="95"/>
    </row>
    <row r="3551" spans="17:17" x14ac:dyDescent="0.2">
      <c r="Q3551" s="95"/>
    </row>
    <row r="3552" spans="17:17" x14ac:dyDescent="0.2">
      <c r="Q3552" s="95"/>
    </row>
    <row r="3553" spans="17:17" x14ac:dyDescent="0.2">
      <c r="Q3553" s="95"/>
    </row>
    <row r="3554" spans="17:17" x14ac:dyDescent="0.2">
      <c r="Q3554" s="95"/>
    </row>
    <row r="3555" spans="17:17" x14ac:dyDescent="0.2">
      <c r="Q3555" s="95"/>
    </row>
    <row r="3556" spans="17:17" x14ac:dyDescent="0.2">
      <c r="Q3556" s="95"/>
    </row>
    <row r="3557" spans="17:17" x14ac:dyDescent="0.2">
      <c r="Q3557" s="95"/>
    </row>
    <row r="3558" spans="17:17" x14ac:dyDescent="0.2">
      <c r="Q3558" s="95"/>
    </row>
    <row r="3559" spans="17:17" x14ac:dyDescent="0.2">
      <c r="Q3559" s="95"/>
    </row>
    <row r="3560" spans="17:17" x14ac:dyDescent="0.2">
      <c r="Q3560" s="95"/>
    </row>
    <row r="3561" spans="17:17" x14ac:dyDescent="0.2">
      <c r="Q3561" s="95"/>
    </row>
    <row r="3562" spans="17:17" x14ac:dyDescent="0.2">
      <c r="Q3562" s="95"/>
    </row>
    <row r="3563" spans="17:17" x14ac:dyDescent="0.2">
      <c r="Q3563" s="95"/>
    </row>
    <row r="3564" spans="17:17" x14ac:dyDescent="0.2">
      <c r="Q3564" s="95"/>
    </row>
    <row r="3565" spans="17:17" x14ac:dyDescent="0.2">
      <c r="Q3565" s="95"/>
    </row>
    <row r="3566" spans="17:17" x14ac:dyDescent="0.2">
      <c r="Q3566" s="95"/>
    </row>
    <row r="3567" spans="17:17" x14ac:dyDescent="0.2">
      <c r="Q3567" s="95"/>
    </row>
    <row r="3568" spans="17:17" x14ac:dyDescent="0.2">
      <c r="Q3568" s="95"/>
    </row>
    <row r="3569" spans="17:17" x14ac:dyDescent="0.2">
      <c r="Q3569" s="95"/>
    </row>
    <row r="3570" spans="17:17" x14ac:dyDescent="0.2">
      <c r="Q3570" s="95"/>
    </row>
    <row r="3571" spans="17:17" x14ac:dyDescent="0.2">
      <c r="Q3571" s="95"/>
    </row>
    <row r="3572" spans="17:17" x14ac:dyDescent="0.2">
      <c r="Q3572" s="95"/>
    </row>
    <row r="3573" spans="17:17" x14ac:dyDescent="0.2">
      <c r="Q3573" s="95"/>
    </row>
    <row r="3574" spans="17:17" x14ac:dyDescent="0.2">
      <c r="Q3574" s="95"/>
    </row>
    <row r="3575" spans="17:17" x14ac:dyDescent="0.2">
      <c r="Q3575" s="95"/>
    </row>
    <row r="3576" spans="17:17" x14ac:dyDescent="0.2">
      <c r="Q3576" s="95"/>
    </row>
    <row r="3577" spans="17:17" x14ac:dyDescent="0.2">
      <c r="Q3577" s="95"/>
    </row>
    <row r="3578" spans="17:17" x14ac:dyDescent="0.2">
      <c r="Q3578" s="95"/>
    </row>
    <row r="3579" spans="17:17" x14ac:dyDescent="0.2">
      <c r="Q3579" s="95"/>
    </row>
    <row r="3580" spans="17:17" x14ac:dyDescent="0.2">
      <c r="Q3580" s="95"/>
    </row>
    <row r="3581" spans="17:17" x14ac:dyDescent="0.2">
      <c r="Q3581" s="95"/>
    </row>
    <row r="3582" spans="17:17" x14ac:dyDescent="0.2">
      <c r="Q3582" s="95"/>
    </row>
    <row r="3583" spans="17:17" x14ac:dyDescent="0.2">
      <c r="Q3583" s="95"/>
    </row>
    <row r="3584" spans="17:17" x14ac:dyDescent="0.2">
      <c r="Q3584" s="95"/>
    </row>
    <row r="3585" spans="17:17" x14ac:dyDescent="0.2">
      <c r="Q3585" s="95"/>
    </row>
    <row r="3586" spans="17:17" x14ac:dyDescent="0.2">
      <c r="Q3586" s="95"/>
    </row>
    <row r="3587" spans="17:17" x14ac:dyDescent="0.2">
      <c r="Q3587" s="95"/>
    </row>
    <row r="3588" spans="17:17" x14ac:dyDescent="0.2">
      <c r="Q3588" s="95"/>
    </row>
    <row r="3589" spans="17:17" x14ac:dyDescent="0.2">
      <c r="Q3589" s="95"/>
    </row>
    <row r="3590" spans="17:17" x14ac:dyDescent="0.2">
      <c r="Q3590" s="95"/>
    </row>
    <row r="3591" spans="17:17" x14ac:dyDescent="0.2">
      <c r="Q3591" s="95"/>
    </row>
    <row r="3592" spans="17:17" x14ac:dyDescent="0.2">
      <c r="Q3592" s="95"/>
    </row>
    <row r="3593" spans="17:17" x14ac:dyDescent="0.2">
      <c r="Q3593" s="95"/>
    </row>
    <row r="3594" spans="17:17" x14ac:dyDescent="0.2">
      <c r="Q3594" s="95"/>
    </row>
    <row r="3595" spans="17:17" x14ac:dyDescent="0.2">
      <c r="Q3595" s="95"/>
    </row>
    <row r="3596" spans="17:17" x14ac:dyDescent="0.2">
      <c r="Q3596" s="95"/>
    </row>
    <row r="3597" spans="17:17" x14ac:dyDescent="0.2">
      <c r="Q3597" s="95"/>
    </row>
    <row r="3598" spans="17:17" x14ac:dyDescent="0.2">
      <c r="Q3598" s="95"/>
    </row>
    <row r="3599" spans="17:17" x14ac:dyDescent="0.2">
      <c r="Q3599" s="95"/>
    </row>
    <row r="3600" spans="17:17" x14ac:dyDescent="0.2">
      <c r="Q3600" s="95"/>
    </row>
    <row r="3601" spans="17:17" x14ac:dyDescent="0.2">
      <c r="Q3601" s="95"/>
    </row>
    <row r="3602" spans="17:17" x14ac:dyDescent="0.2">
      <c r="Q3602" s="95"/>
    </row>
    <row r="3603" spans="17:17" x14ac:dyDescent="0.2">
      <c r="Q3603" s="95"/>
    </row>
    <row r="3604" spans="17:17" x14ac:dyDescent="0.2">
      <c r="Q3604" s="95"/>
    </row>
    <row r="3605" spans="17:17" x14ac:dyDescent="0.2">
      <c r="Q3605" s="95"/>
    </row>
    <row r="3606" spans="17:17" x14ac:dyDescent="0.2">
      <c r="Q3606" s="95"/>
    </row>
    <row r="3607" spans="17:17" x14ac:dyDescent="0.2">
      <c r="Q3607" s="95"/>
    </row>
    <row r="3608" spans="17:17" x14ac:dyDescent="0.2">
      <c r="Q3608" s="95"/>
    </row>
    <row r="3609" spans="17:17" x14ac:dyDescent="0.2">
      <c r="Q3609" s="95"/>
    </row>
    <row r="3610" spans="17:17" x14ac:dyDescent="0.2">
      <c r="Q3610" s="95"/>
    </row>
    <row r="3611" spans="17:17" x14ac:dyDescent="0.2">
      <c r="Q3611" s="95"/>
    </row>
    <row r="3612" spans="17:17" x14ac:dyDescent="0.2">
      <c r="Q3612" s="95"/>
    </row>
    <row r="3613" spans="17:17" x14ac:dyDescent="0.2">
      <c r="Q3613" s="95"/>
    </row>
    <row r="3614" spans="17:17" x14ac:dyDescent="0.2">
      <c r="Q3614" s="95"/>
    </row>
    <row r="3615" spans="17:17" x14ac:dyDescent="0.2">
      <c r="Q3615" s="95"/>
    </row>
    <row r="3616" spans="17:17" x14ac:dyDescent="0.2">
      <c r="Q3616" s="95"/>
    </row>
    <row r="3617" spans="17:17" x14ac:dyDescent="0.2">
      <c r="Q3617" s="95"/>
    </row>
    <row r="3618" spans="17:17" x14ac:dyDescent="0.2">
      <c r="Q3618" s="95"/>
    </row>
    <row r="3619" spans="17:17" x14ac:dyDescent="0.2">
      <c r="Q3619" s="95"/>
    </row>
    <row r="3620" spans="17:17" x14ac:dyDescent="0.2">
      <c r="Q3620" s="95"/>
    </row>
    <row r="3621" spans="17:17" x14ac:dyDescent="0.2">
      <c r="Q3621" s="95"/>
    </row>
    <row r="3622" spans="17:17" x14ac:dyDescent="0.2">
      <c r="Q3622" s="95"/>
    </row>
    <row r="3623" spans="17:17" x14ac:dyDescent="0.2">
      <c r="Q3623" s="95"/>
    </row>
    <row r="3624" spans="17:17" x14ac:dyDescent="0.2">
      <c r="Q3624" s="95"/>
    </row>
    <row r="3625" spans="17:17" x14ac:dyDescent="0.2">
      <c r="Q3625" s="95"/>
    </row>
    <row r="3626" spans="17:17" x14ac:dyDescent="0.2">
      <c r="Q3626" s="95"/>
    </row>
    <row r="3627" spans="17:17" x14ac:dyDescent="0.2">
      <c r="Q3627" s="95"/>
    </row>
    <row r="3628" spans="17:17" x14ac:dyDescent="0.2">
      <c r="Q3628" s="95"/>
    </row>
    <row r="3629" spans="17:17" x14ac:dyDescent="0.2">
      <c r="Q3629" s="95"/>
    </row>
    <row r="3630" spans="17:17" x14ac:dyDescent="0.2">
      <c r="Q3630" s="95"/>
    </row>
    <row r="3631" spans="17:17" x14ac:dyDescent="0.2">
      <c r="Q3631" s="95"/>
    </row>
    <row r="3632" spans="17:17" x14ac:dyDescent="0.2">
      <c r="Q3632" s="95"/>
    </row>
    <row r="3633" spans="17:17" x14ac:dyDescent="0.2">
      <c r="Q3633" s="95"/>
    </row>
    <row r="3634" spans="17:17" x14ac:dyDescent="0.2">
      <c r="Q3634" s="95"/>
    </row>
    <row r="3635" spans="17:17" x14ac:dyDescent="0.2">
      <c r="Q3635" s="95"/>
    </row>
    <row r="3636" spans="17:17" x14ac:dyDescent="0.2">
      <c r="Q3636" s="95"/>
    </row>
    <row r="3637" spans="17:17" x14ac:dyDescent="0.2">
      <c r="Q3637" s="95"/>
    </row>
    <row r="3638" spans="17:17" x14ac:dyDescent="0.2">
      <c r="Q3638" s="95"/>
    </row>
    <row r="3639" spans="17:17" x14ac:dyDescent="0.2">
      <c r="Q3639" s="95"/>
    </row>
    <row r="3640" spans="17:17" x14ac:dyDescent="0.2">
      <c r="Q3640" s="95"/>
    </row>
    <row r="3641" spans="17:17" x14ac:dyDescent="0.2">
      <c r="Q3641" s="95"/>
    </row>
    <row r="3642" spans="17:17" x14ac:dyDescent="0.2">
      <c r="Q3642" s="95"/>
    </row>
    <row r="3643" spans="17:17" x14ac:dyDescent="0.2">
      <c r="Q3643" s="95"/>
    </row>
    <row r="3644" spans="17:17" x14ac:dyDescent="0.2">
      <c r="Q3644" s="95"/>
    </row>
    <row r="3645" spans="17:17" x14ac:dyDescent="0.2">
      <c r="Q3645" s="95"/>
    </row>
    <row r="3646" spans="17:17" x14ac:dyDescent="0.2">
      <c r="Q3646" s="95"/>
    </row>
    <row r="3647" spans="17:17" x14ac:dyDescent="0.2">
      <c r="Q3647" s="95"/>
    </row>
    <row r="3648" spans="17:17" x14ac:dyDescent="0.2">
      <c r="Q3648" s="95"/>
    </row>
    <row r="3649" spans="17:17" x14ac:dyDescent="0.2">
      <c r="Q3649" s="95"/>
    </row>
    <row r="3650" spans="17:17" x14ac:dyDescent="0.2">
      <c r="Q3650" s="95"/>
    </row>
    <row r="3651" spans="17:17" x14ac:dyDescent="0.2">
      <c r="Q3651" s="95"/>
    </row>
    <row r="3652" spans="17:17" x14ac:dyDescent="0.2">
      <c r="Q3652" s="95"/>
    </row>
    <row r="3653" spans="17:17" x14ac:dyDescent="0.2">
      <c r="Q3653" s="95"/>
    </row>
    <row r="3654" spans="17:17" x14ac:dyDescent="0.2">
      <c r="Q3654" s="95"/>
    </row>
    <row r="3655" spans="17:17" x14ac:dyDescent="0.2">
      <c r="Q3655" s="95"/>
    </row>
    <row r="3656" spans="17:17" x14ac:dyDescent="0.2">
      <c r="Q3656" s="95"/>
    </row>
    <row r="3657" spans="17:17" x14ac:dyDescent="0.2">
      <c r="Q3657" s="95"/>
    </row>
    <row r="3658" spans="17:17" x14ac:dyDescent="0.2">
      <c r="Q3658" s="95"/>
    </row>
    <row r="3659" spans="17:17" x14ac:dyDescent="0.2">
      <c r="Q3659" s="95"/>
    </row>
    <row r="3660" spans="17:17" x14ac:dyDescent="0.2">
      <c r="Q3660" s="95"/>
    </row>
    <row r="3661" spans="17:17" x14ac:dyDescent="0.2">
      <c r="Q3661" s="95"/>
    </row>
    <row r="3662" spans="17:17" x14ac:dyDescent="0.2">
      <c r="Q3662" s="95"/>
    </row>
    <row r="3663" spans="17:17" x14ac:dyDescent="0.2">
      <c r="Q3663" s="95"/>
    </row>
    <row r="3664" spans="17:17" x14ac:dyDescent="0.2">
      <c r="Q3664" s="95"/>
    </row>
    <row r="3665" spans="17:17" x14ac:dyDescent="0.2">
      <c r="Q3665" s="95"/>
    </row>
    <row r="3666" spans="17:17" x14ac:dyDescent="0.2">
      <c r="Q3666" s="95"/>
    </row>
    <row r="3667" spans="17:17" x14ac:dyDescent="0.2">
      <c r="Q3667" s="95"/>
    </row>
    <row r="3668" spans="17:17" x14ac:dyDescent="0.2">
      <c r="Q3668" s="95"/>
    </row>
    <row r="3669" spans="17:17" x14ac:dyDescent="0.2">
      <c r="Q3669" s="95"/>
    </row>
    <row r="3670" spans="17:17" x14ac:dyDescent="0.2">
      <c r="Q3670" s="95"/>
    </row>
    <row r="3671" spans="17:17" x14ac:dyDescent="0.2">
      <c r="Q3671" s="95"/>
    </row>
    <row r="3672" spans="17:17" x14ac:dyDescent="0.2">
      <c r="Q3672" s="95"/>
    </row>
    <row r="3673" spans="17:17" x14ac:dyDescent="0.2">
      <c r="Q3673" s="95"/>
    </row>
    <row r="3674" spans="17:17" x14ac:dyDescent="0.2">
      <c r="Q3674" s="95"/>
    </row>
    <row r="3675" spans="17:17" x14ac:dyDescent="0.2">
      <c r="Q3675" s="95"/>
    </row>
    <row r="3676" spans="17:17" x14ac:dyDescent="0.2">
      <c r="Q3676" s="95"/>
    </row>
    <row r="3677" spans="17:17" x14ac:dyDescent="0.2">
      <c r="Q3677" s="95"/>
    </row>
    <row r="3678" spans="17:17" x14ac:dyDescent="0.2">
      <c r="Q3678" s="95"/>
    </row>
    <row r="3679" spans="17:17" x14ac:dyDescent="0.2">
      <c r="Q3679" s="95"/>
    </row>
    <row r="3680" spans="17:17" x14ac:dyDescent="0.2">
      <c r="Q3680" s="95"/>
    </row>
    <row r="3681" spans="17:17" x14ac:dyDescent="0.2">
      <c r="Q3681" s="95"/>
    </row>
    <row r="3682" spans="17:17" x14ac:dyDescent="0.2">
      <c r="Q3682" s="95"/>
    </row>
    <row r="3683" spans="17:17" x14ac:dyDescent="0.2">
      <c r="Q3683" s="95"/>
    </row>
    <row r="3684" spans="17:17" x14ac:dyDescent="0.2">
      <c r="Q3684" s="95"/>
    </row>
    <row r="3685" spans="17:17" x14ac:dyDescent="0.2">
      <c r="Q3685" s="95"/>
    </row>
    <row r="3686" spans="17:17" x14ac:dyDescent="0.2">
      <c r="Q3686" s="95"/>
    </row>
    <row r="3687" spans="17:17" x14ac:dyDescent="0.2">
      <c r="Q3687" s="95"/>
    </row>
    <row r="3688" spans="17:17" x14ac:dyDescent="0.2">
      <c r="Q3688" s="95"/>
    </row>
    <row r="3689" spans="17:17" x14ac:dyDescent="0.2">
      <c r="Q3689" s="95"/>
    </row>
    <row r="3690" spans="17:17" x14ac:dyDescent="0.2">
      <c r="Q3690" s="95"/>
    </row>
    <row r="3691" spans="17:17" x14ac:dyDescent="0.2">
      <c r="Q3691" s="95"/>
    </row>
    <row r="3692" spans="17:17" x14ac:dyDescent="0.2">
      <c r="Q3692" s="95"/>
    </row>
    <row r="3693" spans="17:17" x14ac:dyDescent="0.2">
      <c r="Q3693" s="95"/>
    </row>
    <row r="3694" spans="17:17" x14ac:dyDescent="0.2">
      <c r="Q3694" s="95"/>
    </row>
    <row r="3695" spans="17:17" x14ac:dyDescent="0.2">
      <c r="Q3695" s="95"/>
    </row>
    <row r="3696" spans="17:17" x14ac:dyDescent="0.2">
      <c r="Q3696" s="95"/>
    </row>
    <row r="3697" spans="17:17" x14ac:dyDescent="0.2">
      <c r="Q3697" s="95"/>
    </row>
    <row r="3698" spans="17:17" x14ac:dyDescent="0.2">
      <c r="Q3698" s="95"/>
    </row>
    <row r="3699" spans="17:17" x14ac:dyDescent="0.2">
      <c r="Q3699" s="95"/>
    </row>
    <row r="3700" spans="17:17" x14ac:dyDescent="0.2">
      <c r="Q3700" s="95"/>
    </row>
    <row r="3701" spans="17:17" x14ac:dyDescent="0.2">
      <c r="Q3701" s="95"/>
    </row>
    <row r="3702" spans="17:17" x14ac:dyDescent="0.2">
      <c r="Q3702" s="95"/>
    </row>
    <row r="3703" spans="17:17" x14ac:dyDescent="0.2">
      <c r="Q3703" s="95"/>
    </row>
    <row r="3704" spans="17:17" x14ac:dyDescent="0.2">
      <c r="Q3704" s="95"/>
    </row>
    <row r="3705" spans="17:17" x14ac:dyDescent="0.2">
      <c r="Q3705" s="95"/>
    </row>
    <row r="3706" spans="17:17" x14ac:dyDescent="0.2">
      <c r="Q3706" s="95"/>
    </row>
    <row r="3707" spans="17:17" x14ac:dyDescent="0.2">
      <c r="Q3707" s="95"/>
    </row>
    <row r="3708" spans="17:17" x14ac:dyDescent="0.2">
      <c r="Q3708" s="95"/>
    </row>
    <row r="3709" spans="17:17" x14ac:dyDescent="0.2">
      <c r="Q3709" s="95"/>
    </row>
    <row r="3710" spans="17:17" x14ac:dyDescent="0.2">
      <c r="Q3710" s="95"/>
    </row>
    <row r="3711" spans="17:17" x14ac:dyDescent="0.2">
      <c r="Q3711" s="95"/>
    </row>
    <row r="3712" spans="17:17" x14ac:dyDescent="0.2">
      <c r="Q3712" s="95"/>
    </row>
    <row r="3713" spans="17:17" x14ac:dyDescent="0.2">
      <c r="Q3713" s="95"/>
    </row>
    <row r="3714" spans="17:17" x14ac:dyDescent="0.2">
      <c r="Q3714" s="95"/>
    </row>
    <row r="3715" spans="17:17" x14ac:dyDescent="0.2">
      <c r="Q3715" s="95"/>
    </row>
    <row r="3716" spans="17:17" x14ac:dyDescent="0.2">
      <c r="Q3716" s="95"/>
    </row>
    <row r="3717" spans="17:17" x14ac:dyDescent="0.2">
      <c r="Q3717" s="95"/>
    </row>
    <row r="3718" spans="17:17" x14ac:dyDescent="0.2">
      <c r="Q3718" s="95"/>
    </row>
    <row r="3719" spans="17:17" x14ac:dyDescent="0.2">
      <c r="Q3719" s="95"/>
    </row>
    <row r="3720" spans="17:17" x14ac:dyDescent="0.2">
      <c r="Q3720" s="95"/>
    </row>
    <row r="3721" spans="17:17" x14ac:dyDescent="0.2">
      <c r="Q3721" s="95"/>
    </row>
    <row r="3722" spans="17:17" x14ac:dyDescent="0.2">
      <c r="Q3722" s="95"/>
    </row>
    <row r="3723" spans="17:17" x14ac:dyDescent="0.2">
      <c r="Q3723" s="95"/>
    </row>
    <row r="3724" spans="17:17" x14ac:dyDescent="0.2">
      <c r="Q3724" s="95"/>
    </row>
    <row r="3725" spans="17:17" x14ac:dyDescent="0.2">
      <c r="Q3725" s="95"/>
    </row>
    <row r="3726" spans="17:17" x14ac:dyDescent="0.2">
      <c r="Q3726" s="95"/>
    </row>
    <row r="3727" spans="17:17" x14ac:dyDescent="0.2">
      <c r="Q3727" s="95"/>
    </row>
    <row r="3728" spans="17:17" x14ac:dyDescent="0.2">
      <c r="Q3728" s="95"/>
    </row>
    <row r="3729" spans="17:17" x14ac:dyDescent="0.2">
      <c r="Q3729" s="95"/>
    </row>
    <row r="3730" spans="17:17" x14ac:dyDescent="0.2">
      <c r="Q3730" s="95"/>
    </row>
    <row r="3731" spans="17:17" x14ac:dyDescent="0.2">
      <c r="Q3731" s="95"/>
    </row>
    <row r="3732" spans="17:17" x14ac:dyDescent="0.2">
      <c r="Q3732" s="95"/>
    </row>
    <row r="3733" spans="17:17" x14ac:dyDescent="0.2">
      <c r="Q3733" s="95"/>
    </row>
    <row r="3734" spans="17:17" x14ac:dyDescent="0.2">
      <c r="Q3734" s="95"/>
    </row>
    <row r="3735" spans="17:17" x14ac:dyDescent="0.2">
      <c r="Q3735" s="95"/>
    </row>
    <row r="3736" spans="17:17" x14ac:dyDescent="0.2">
      <c r="Q3736" s="95"/>
    </row>
    <row r="3737" spans="17:17" x14ac:dyDescent="0.2">
      <c r="Q3737" s="95"/>
    </row>
    <row r="3738" spans="17:17" x14ac:dyDescent="0.2">
      <c r="Q3738" s="95"/>
    </row>
    <row r="3739" spans="17:17" x14ac:dyDescent="0.2">
      <c r="Q3739" s="95"/>
    </row>
    <row r="3740" spans="17:17" x14ac:dyDescent="0.2">
      <c r="Q3740" s="95"/>
    </row>
    <row r="3741" spans="17:17" x14ac:dyDescent="0.2">
      <c r="Q3741" s="95"/>
    </row>
    <row r="3742" spans="17:17" x14ac:dyDescent="0.2">
      <c r="Q3742" s="95"/>
    </row>
    <row r="3743" spans="17:17" x14ac:dyDescent="0.2">
      <c r="Q3743" s="95"/>
    </row>
    <row r="3744" spans="17:17" x14ac:dyDescent="0.2">
      <c r="Q3744" s="95"/>
    </row>
    <row r="3745" spans="17:17" x14ac:dyDescent="0.2">
      <c r="Q3745" s="95"/>
    </row>
    <row r="3746" spans="17:17" x14ac:dyDescent="0.2">
      <c r="Q3746" s="95"/>
    </row>
    <row r="3747" spans="17:17" x14ac:dyDescent="0.2">
      <c r="Q3747" s="95"/>
    </row>
    <row r="3748" spans="17:17" x14ac:dyDescent="0.2">
      <c r="Q3748" s="95"/>
    </row>
    <row r="3749" spans="17:17" x14ac:dyDescent="0.2">
      <c r="Q3749" s="95"/>
    </row>
    <row r="3750" spans="17:17" x14ac:dyDescent="0.2">
      <c r="Q3750" s="95"/>
    </row>
    <row r="3751" spans="17:17" x14ac:dyDescent="0.2">
      <c r="Q3751" s="95"/>
    </row>
    <row r="3752" spans="17:17" x14ac:dyDescent="0.2">
      <c r="Q3752" s="95"/>
    </row>
    <row r="3753" spans="17:17" x14ac:dyDescent="0.2">
      <c r="Q3753" s="95"/>
    </row>
    <row r="3754" spans="17:17" x14ac:dyDescent="0.2">
      <c r="Q3754" s="95"/>
    </row>
    <row r="3755" spans="17:17" x14ac:dyDescent="0.2">
      <c r="Q3755" s="95"/>
    </row>
    <row r="3756" spans="17:17" x14ac:dyDescent="0.2">
      <c r="Q3756" s="95"/>
    </row>
    <row r="3757" spans="17:17" x14ac:dyDescent="0.2">
      <c r="Q3757" s="95"/>
    </row>
    <row r="3758" spans="17:17" x14ac:dyDescent="0.2">
      <c r="Q3758" s="95"/>
    </row>
    <row r="3759" spans="17:17" x14ac:dyDescent="0.2">
      <c r="Q3759" s="95"/>
    </row>
    <row r="3760" spans="17:17" x14ac:dyDescent="0.2">
      <c r="Q3760" s="95"/>
    </row>
    <row r="3761" spans="17:17" x14ac:dyDescent="0.2">
      <c r="Q3761" s="95"/>
    </row>
    <row r="3762" spans="17:17" x14ac:dyDescent="0.2">
      <c r="Q3762" s="95"/>
    </row>
    <row r="3763" spans="17:17" x14ac:dyDescent="0.2">
      <c r="Q3763" s="95"/>
    </row>
    <row r="3764" spans="17:17" x14ac:dyDescent="0.2">
      <c r="Q3764" s="95"/>
    </row>
    <row r="3765" spans="17:17" x14ac:dyDescent="0.2">
      <c r="Q3765" s="95"/>
    </row>
    <row r="3766" spans="17:17" x14ac:dyDescent="0.2">
      <c r="Q3766" s="95"/>
    </row>
    <row r="3767" spans="17:17" x14ac:dyDescent="0.2">
      <c r="Q3767" s="95"/>
    </row>
    <row r="3768" spans="17:17" x14ac:dyDescent="0.2">
      <c r="Q3768" s="95"/>
    </row>
    <row r="3769" spans="17:17" x14ac:dyDescent="0.2">
      <c r="Q3769" s="95"/>
    </row>
    <row r="3770" spans="17:17" x14ac:dyDescent="0.2">
      <c r="Q3770" s="95"/>
    </row>
    <row r="3771" spans="17:17" x14ac:dyDescent="0.2">
      <c r="Q3771" s="95"/>
    </row>
    <row r="3772" spans="17:17" x14ac:dyDescent="0.2">
      <c r="Q3772" s="95"/>
    </row>
    <row r="3773" spans="17:17" x14ac:dyDescent="0.2">
      <c r="Q3773" s="95"/>
    </row>
    <row r="3774" spans="17:17" x14ac:dyDescent="0.2">
      <c r="Q3774" s="95"/>
    </row>
    <row r="3775" spans="17:17" x14ac:dyDescent="0.2">
      <c r="Q3775" s="95"/>
    </row>
    <row r="3776" spans="17:17" x14ac:dyDescent="0.2">
      <c r="Q3776" s="95"/>
    </row>
    <row r="3777" spans="17:17" x14ac:dyDescent="0.2">
      <c r="Q3777" s="95"/>
    </row>
    <row r="3778" spans="17:17" x14ac:dyDescent="0.2">
      <c r="Q3778" s="95"/>
    </row>
    <row r="3779" spans="17:17" x14ac:dyDescent="0.2">
      <c r="Q3779" s="95"/>
    </row>
    <row r="3780" spans="17:17" x14ac:dyDescent="0.2">
      <c r="Q3780" s="95"/>
    </row>
    <row r="3781" spans="17:17" x14ac:dyDescent="0.2">
      <c r="Q3781" s="95"/>
    </row>
    <row r="3782" spans="17:17" x14ac:dyDescent="0.2">
      <c r="Q3782" s="95"/>
    </row>
    <row r="3783" spans="17:17" x14ac:dyDescent="0.2">
      <c r="Q3783" s="95"/>
    </row>
    <row r="3784" spans="17:17" x14ac:dyDescent="0.2">
      <c r="Q3784" s="95"/>
    </row>
    <row r="3785" spans="17:17" x14ac:dyDescent="0.2">
      <c r="Q3785" s="95"/>
    </row>
    <row r="3786" spans="17:17" x14ac:dyDescent="0.2">
      <c r="Q3786" s="95"/>
    </row>
    <row r="3787" spans="17:17" x14ac:dyDescent="0.2">
      <c r="Q3787" s="95"/>
    </row>
    <row r="3788" spans="17:17" x14ac:dyDescent="0.2">
      <c r="Q3788" s="95"/>
    </row>
    <row r="3789" spans="17:17" x14ac:dyDescent="0.2">
      <c r="Q3789" s="95"/>
    </row>
    <row r="3790" spans="17:17" x14ac:dyDescent="0.2">
      <c r="Q3790" s="95"/>
    </row>
    <row r="3791" spans="17:17" x14ac:dyDescent="0.2">
      <c r="Q3791" s="95"/>
    </row>
    <row r="3792" spans="17:17" x14ac:dyDescent="0.2">
      <c r="Q3792" s="95"/>
    </row>
    <row r="3793" spans="17:17" x14ac:dyDescent="0.2">
      <c r="Q3793" s="95"/>
    </row>
    <row r="3794" spans="17:17" x14ac:dyDescent="0.2">
      <c r="Q3794" s="95"/>
    </row>
    <row r="3795" spans="17:17" x14ac:dyDescent="0.2">
      <c r="Q3795" s="95"/>
    </row>
    <row r="3796" spans="17:17" x14ac:dyDescent="0.2">
      <c r="Q3796" s="95"/>
    </row>
    <row r="3797" spans="17:17" x14ac:dyDescent="0.2">
      <c r="Q3797" s="95"/>
    </row>
    <row r="3798" spans="17:17" x14ac:dyDescent="0.2">
      <c r="Q3798" s="95"/>
    </row>
    <row r="3799" spans="17:17" x14ac:dyDescent="0.2">
      <c r="Q3799" s="95"/>
    </row>
    <row r="3800" spans="17:17" x14ac:dyDescent="0.2">
      <c r="Q3800" s="95"/>
    </row>
    <row r="3801" spans="17:17" x14ac:dyDescent="0.2">
      <c r="Q3801" s="95"/>
    </row>
    <row r="3802" spans="17:17" x14ac:dyDescent="0.2">
      <c r="Q3802" s="95"/>
    </row>
    <row r="3803" spans="17:17" x14ac:dyDescent="0.2">
      <c r="Q3803" s="95"/>
    </row>
    <row r="3804" spans="17:17" x14ac:dyDescent="0.2">
      <c r="Q3804" s="95"/>
    </row>
    <row r="3805" spans="17:17" x14ac:dyDescent="0.2">
      <c r="Q3805" s="95"/>
    </row>
    <row r="3806" spans="17:17" x14ac:dyDescent="0.2">
      <c r="Q3806" s="95"/>
    </row>
    <row r="3807" spans="17:17" x14ac:dyDescent="0.2">
      <c r="Q3807" s="95"/>
    </row>
    <row r="3808" spans="17:17" x14ac:dyDescent="0.2">
      <c r="Q3808" s="95"/>
    </row>
    <row r="3809" spans="17:17" x14ac:dyDescent="0.2">
      <c r="Q3809" s="95"/>
    </row>
    <row r="3810" spans="17:17" x14ac:dyDescent="0.2">
      <c r="Q3810" s="95"/>
    </row>
    <row r="3811" spans="17:17" x14ac:dyDescent="0.2">
      <c r="Q3811" s="95"/>
    </row>
    <row r="3812" spans="17:17" x14ac:dyDescent="0.2">
      <c r="Q3812" s="95"/>
    </row>
    <row r="3813" spans="17:17" x14ac:dyDescent="0.2">
      <c r="Q3813" s="95"/>
    </row>
    <row r="3814" spans="17:17" x14ac:dyDescent="0.2">
      <c r="Q3814" s="95"/>
    </row>
    <row r="3815" spans="17:17" x14ac:dyDescent="0.2">
      <c r="Q3815" s="95"/>
    </row>
    <row r="3816" spans="17:17" x14ac:dyDescent="0.2">
      <c r="Q3816" s="95"/>
    </row>
    <row r="3817" spans="17:17" x14ac:dyDescent="0.2">
      <c r="Q3817" s="95"/>
    </row>
    <row r="3818" spans="17:17" x14ac:dyDescent="0.2">
      <c r="Q3818" s="95"/>
    </row>
    <row r="3819" spans="17:17" x14ac:dyDescent="0.2">
      <c r="Q3819" s="95"/>
    </row>
    <row r="3820" spans="17:17" x14ac:dyDescent="0.2">
      <c r="Q3820" s="95"/>
    </row>
    <row r="3821" spans="17:17" x14ac:dyDescent="0.2">
      <c r="Q3821" s="95"/>
    </row>
    <row r="3822" spans="17:17" x14ac:dyDescent="0.2">
      <c r="Q3822" s="95"/>
    </row>
    <row r="3823" spans="17:17" x14ac:dyDescent="0.2">
      <c r="Q3823" s="95"/>
    </row>
    <row r="3824" spans="17:17" x14ac:dyDescent="0.2">
      <c r="Q3824" s="95"/>
    </row>
    <row r="3825" spans="17:17" x14ac:dyDescent="0.2">
      <c r="Q3825" s="95"/>
    </row>
    <row r="3826" spans="17:17" x14ac:dyDescent="0.2">
      <c r="Q3826" s="95"/>
    </row>
    <row r="3827" spans="17:17" x14ac:dyDescent="0.2">
      <c r="Q3827" s="95"/>
    </row>
    <row r="3828" spans="17:17" x14ac:dyDescent="0.2">
      <c r="Q3828" s="95"/>
    </row>
    <row r="3829" spans="17:17" x14ac:dyDescent="0.2">
      <c r="Q3829" s="95"/>
    </row>
    <row r="3830" spans="17:17" x14ac:dyDescent="0.2">
      <c r="Q3830" s="95"/>
    </row>
    <row r="3831" spans="17:17" x14ac:dyDescent="0.2">
      <c r="Q3831" s="95"/>
    </row>
    <row r="3832" spans="17:17" x14ac:dyDescent="0.2">
      <c r="Q3832" s="95"/>
    </row>
    <row r="3833" spans="17:17" x14ac:dyDescent="0.2">
      <c r="Q3833" s="95"/>
    </row>
    <row r="3834" spans="17:17" x14ac:dyDescent="0.2">
      <c r="Q3834" s="95"/>
    </row>
    <row r="3835" spans="17:17" x14ac:dyDescent="0.2">
      <c r="Q3835" s="95"/>
    </row>
    <row r="3836" spans="17:17" x14ac:dyDescent="0.2">
      <c r="Q3836" s="95"/>
    </row>
    <row r="3837" spans="17:17" x14ac:dyDescent="0.2">
      <c r="Q3837" s="95"/>
    </row>
    <row r="3838" spans="17:17" x14ac:dyDescent="0.2">
      <c r="Q3838" s="95"/>
    </row>
    <row r="3839" spans="17:17" x14ac:dyDescent="0.2">
      <c r="Q3839" s="95"/>
    </row>
    <row r="3840" spans="17:17" x14ac:dyDescent="0.2">
      <c r="Q3840" s="95"/>
    </row>
    <row r="3841" spans="17:17" x14ac:dyDescent="0.2">
      <c r="Q3841" s="95"/>
    </row>
    <row r="3842" spans="17:17" x14ac:dyDescent="0.2">
      <c r="Q3842" s="95"/>
    </row>
    <row r="3843" spans="17:17" x14ac:dyDescent="0.2">
      <c r="Q3843" s="95"/>
    </row>
    <row r="3844" spans="17:17" x14ac:dyDescent="0.2">
      <c r="Q3844" s="95"/>
    </row>
    <row r="3845" spans="17:17" x14ac:dyDescent="0.2">
      <c r="Q3845" s="95"/>
    </row>
    <row r="3846" spans="17:17" x14ac:dyDescent="0.2">
      <c r="Q3846" s="95"/>
    </row>
    <row r="3847" spans="17:17" x14ac:dyDescent="0.2">
      <c r="Q3847" s="95"/>
    </row>
    <row r="3848" spans="17:17" x14ac:dyDescent="0.2">
      <c r="Q3848" s="95"/>
    </row>
    <row r="3849" spans="17:17" x14ac:dyDescent="0.2">
      <c r="Q3849" s="95"/>
    </row>
    <row r="3850" spans="17:17" x14ac:dyDescent="0.2">
      <c r="Q3850" s="95"/>
    </row>
    <row r="3851" spans="17:17" x14ac:dyDescent="0.2">
      <c r="Q3851" s="95"/>
    </row>
    <row r="3852" spans="17:17" x14ac:dyDescent="0.2">
      <c r="Q3852" s="95"/>
    </row>
    <row r="3853" spans="17:17" x14ac:dyDescent="0.2">
      <c r="Q3853" s="95"/>
    </row>
    <row r="3854" spans="17:17" x14ac:dyDescent="0.2">
      <c r="Q3854" s="95"/>
    </row>
    <row r="3855" spans="17:17" x14ac:dyDescent="0.2">
      <c r="Q3855" s="95"/>
    </row>
    <row r="3856" spans="17:17" x14ac:dyDescent="0.2">
      <c r="Q3856" s="95"/>
    </row>
    <row r="3857" spans="17:17" x14ac:dyDescent="0.2">
      <c r="Q3857" s="95"/>
    </row>
    <row r="3858" spans="17:17" x14ac:dyDescent="0.2">
      <c r="Q3858" s="95"/>
    </row>
    <row r="3859" spans="17:17" x14ac:dyDescent="0.2">
      <c r="Q3859" s="95"/>
    </row>
    <row r="3860" spans="17:17" x14ac:dyDescent="0.2">
      <c r="Q3860" s="95"/>
    </row>
    <row r="3861" spans="17:17" x14ac:dyDescent="0.2">
      <c r="Q3861" s="95"/>
    </row>
    <row r="3862" spans="17:17" x14ac:dyDescent="0.2">
      <c r="Q3862" s="95"/>
    </row>
    <row r="3863" spans="17:17" x14ac:dyDescent="0.2">
      <c r="Q3863" s="95"/>
    </row>
    <row r="3864" spans="17:17" x14ac:dyDescent="0.2">
      <c r="Q3864" s="95"/>
    </row>
    <row r="3865" spans="17:17" x14ac:dyDescent="0.2">
      <c r="Q3865" s="95"/>
    </row>
    <row r="3866" spans="17:17" x14ac:dyDescent="0.2">
      <c r="Q3866" s="95"/>
    </row>
    <row r="3867" spans="17:17" x14ac:dyDescent="0.2">
      <c r="Q3867" s="95"/>
    </row>
    <row r="3868" spans="17:17" x14ac:dyDescent="0.2">
      <c r="Q3868" s="95"/>
    </row>
    <row r="3869" spans="17:17" x14ac:dyDescent="0.2">
      <c r="Q3869" s="95"/>
    </row>
    <row r="3870" spans="17:17" x14ac:dyDescent="0.2">
      <c r="Q3870" s="95"/>
    </row>
    <row r="3871" spans="17:17" x14ac:dyDescent="0.2">
      <c r="Q3871" s="95"/>
    </row>
    <row r="3872" spans="17:17" x14ac:dyDescent="0.2">
      <c r="Q3872" s="95"/>
    </row>
    <row r="3873" spans="17:17" x14ac:dyDescent="0.2">
      <c r="Q3873" s="95"/>
    </row>
    <row r="3874" spans="17:17" x14ac:dyDescent="0.2">
      <c r="Q3874" s="95"/>
    </row>
    <row r="3875" spans="17:17" x14ac:dyDescent="0.2">
      <c r="Q3875" s="95"/>
    </row>
    <row r="3876" spans="17:17" x14ac:dyDescent="0.2">
      <c r="Q3876" s="95"/>
    </row>
    <row r="3877" spans="17:17" x14ac:dyDescent="0.2">
      <c r="Q3877" s="95"/>
    </row>
    <row r="3878" spans="17:17" x14ac:dyDescent="0.2">
      <c r="Q3878" s="95"/>
    </row>
    <row r="3879" spans="17:17" x14ac:dyDescent="0.2">
      <c r="Q3879" s="95"/>
    </row>
    <row r="3880" spans="17:17" x14ac:dyDescent="0.2">
      <c r="Q3880" s="95"/>
    </row>
    <row r="3881" spans="17:17" x14ac:dyDescent="0.2">
      <c r="Q3881" s="95"/>
    </row>
    <row r="3882" spans="17:17" x14ac:dyDescent="0.2">
      <c r="Q3882" s="95"/>
    </row>
    <row r="3883" spans="17:17" x14ac:dyDescent="0.2">
      <c r="Q3883" s="95"/>
    </row>
    <row r="3884" spans="17:17" x14ac:dyDescent="0.2">
      <c r="Q3884" s="95"/>
    </row>
    <row r="3885" spans="17:17" x14ac:dyDescent="0.2">
      <c r="Q3885" s="95"/>
    </row>
    <row r="3886" spans="17:17" x14ac:dyDescent="0.2">
      <c r="Q3886" s="95"/>
    </row>
    <row r="3887" spans="17:17" x14ac:dyDescent="0.2">
      <c r="Q3887" s="95"/>
    </row>
    <row r="3888" spans="17:17" x14ac:dyDescent="0.2">
      <c r="Q3888" s="95"/>
    </row>
    <row r="3889" spans="17:17" x14ac:dyDescent="0.2">
      <c r="Q3889" s="95"/>
    </row>
    <row r="3890" spans="17:17" x14ac:dyDescent="0.2">
      <c r="Q3890" s="95"/>
    </row>
    <row r="3891" spans="17:17" x14ac:dyDescent="0.2">
      <c r="Q3891" s="95"/>
    </row>
    <row r="3892" spans="17:17" x14ac:dyDescent="0.2">
      <c r="Q3892" s="95"/>
    </row>
    <row r="3893" spans="17:17" x14ac:dyDescent="0.2">
      <c r="Q3893" s="95"/>
    </row>
    <row r="3894" spans="17:17" x14ac:dyDescent="0.2">
      <c r="Q3894" s="95"/>
    </row>
    <row r="3895" spans="17:17" x14ac:dyDescent="0.2">
      <c r="Q3895" s="95"/>
    </row>
    <row r="3896" spans="17:17" x14ac:dyDescent="0.2">
      <c r="Q3896" s="95"/>
    </row>
    <row r="3897" spans="17:17" x14ac:dyDescent="0.2">
      <c r="Q3897" s="95"/>
    </row>
    <row r="3898" spans="17:17" x14ac:dyDescent="0.2">
      <c r="Q3898" s="95"/>
    </row>
    <row r="3899" spans="17:17" x14ac:dyDescent="0.2">
      <c r="Q3899" s="95"/>
    </row>
    <row r="3900" spans="17:17" x14ac:dyDescent="0.2">
      <c r="Q3900" s="95"/>
    </row>
    <row r="3901" spans="17:17" x14ac:dyDescent="0.2">
      <c r="Q3901" s="95"/>
    </row>
    <row r="3902" spans="17:17" x14ac:dyDescent="0.2">
      <c r="Q3902" s="95"/>
    </row>
    <row r="3903" spans="17:17" x14ac:dyDescent="0.2">
      <c r="Q3903" s="95"/>
    </row>
    <row r="3904" spans="17:17" x14ac:dyDescent="0.2">
      <c r="Q3904" s="95"/>
    </row>
    <row r="3905" spans="17:17" x14ac:dyDescent="0.2">
      <c r="Q3905" s="95"/>
    </row>
    <row r="3906" spans="17:17" x14ac:dyDescent="0.2">
      <c r="Q3906" s="95"/>
    </row>
    <row r="3907" spans="17:17" x14ac:dyDescent="0.2">
      <c r="Q3907" s="95"/>
    </row>
    <row r="3908" spans="17:17" x14ac:dyDescent="0.2">
      <c r="Q3908" s="95"/>
    </row>
    <row r="3909" spans="17:17" x14ac:dyDescent="0.2">
      <c r="Q3909" s="95"/>
    </row>
    <row r="3910" spans="17:17" x14ac:dyDescent="0.2">
      <c r="Q3910" s="95"/>
    </row>
    <row r="3911" spans="17:17" x14ac:dyDescent="0.2">
      <c r="Q3911" s="95"/>
    </row>
    <row r="3912" spans="17:17" x14ac:dyDescent="0.2">
      <c r="Q3912" s="95"/>
    </row>
    <row r="3913" spans="17:17" x14ac:dyDescent="0.2">
      <c r="Q3913" s="95"/>
    </row>
    <row r="3914" spans="17:17" x14ac:dyDescent="0.2">
      <c r="Q3914" s="95"/>
    </row>
    <row r="3915" spans="17:17" x14ac:dyDescent="0.2">
      <c r="Q3915" s="95"/>
    </row>
    <row r="3916" spans="17:17" x14ac:dyDescent="0.2">
      <c r="Q3916" s="95"/>
    </row>
    <row r="3917" spans="17:17" x14ac:dyDescent="0.2">
      <c r="Q3917" s="95"/>
    </row>
    <row r="3918" spans="17:17" x14ac:dyDescent="0.2">
      <c r="Q3918" s="95"/>
    </row>
    <row r="3919" spans="17:17" x14ac:dyDescent="0.2">
      <c r="Q3919" s="95"/>
    </row>
    <row r="3920" spans="17:17" x14ac:dyDescent="0.2">
      <c r="Q3920" s="95"/>
    </row>
    <row r="3921" spans="17:17" x14ac:dyDescent="0.2">
      <c r="Q3921" s="95"/>
    </row>
    <row r="3922" spans="17:17" x14ac:dyDescent="0.2">
      <c r="Q3922" s="95"/>
    </row>
    <row r="3923" spans="17:17" x14ac:dyDescent="0.2">
      <c r="Q3923" s="95"/>
    </row>
    <row r="3924" spans="17:17" x14ac:dyDescent="0.2">
      <c r="Q3924" s="95"/>
    </row>
    <row r="3925" spans="17:17" x14ac:dyDescent="0.2">
      <c r="Q3925" s="95"/>
    </row>
    <row r="3926" spans="17:17" x14ac:dyDescent="0.2">
      <c r="Q3926" s="95"/>
    </row>
    <row r="3927" spans="17:17" x14ac:dyDescent="0.2">
      <c r="Q3927" s="95"/>
    </row>
    <row r="3928" spans="17:17" x14ac:dyDescent="0.2">
      <c r="Q3928" s="95"/>
    </row>
    <row r="3929" spans="17:17" x14ac:dyDescent="0.2">
      <c r="Q3929" s="95"/>
    </row>
    <row r="3930" spans="17:17" x14ac:dyDescent="0.2">
      <c r="Q3930" s="95"/>
    </row>
    <row r="3931" spans="17:17" x14ac:dyDescent="0.2">
      <c r="Q3931" s="95"/>
    </row>
    <row r="3932" spans="17:17" x14ac:dyDescent="0.2">
      <c r="Q3932" s="95"/>
    </row>
    <row r="3933" spans="17:17" x14ac:dyDescent="0.2">
      <c r="Q3933" s="95"/>
    </row>
    <row r="3934" spans="17:17" x14ac:dyDescent="0.2">
      <c r="Q3934" s="95"/>
    </row>
    <row r="3935" spans="17:17" x14ac:dyDescent="0.2">
      <c r="Q3935" s="95"/>
    </row>
    <row r="3936" spans="17:17" x14ac:dyDescent="0.2">
      <c r="Q3936" s="95"/>
    </row>
    <row r="3937" spans="17:17" x14ac:dyDescent="0.2">
      <c r="Q3937" s="95"/>
    </row>
    <row r="3938" spans="17:17" x14ac:dyDescent="0.2">
      <c r="Q3938" s="95"/>
    </row>
    <row r="3939" spans="17:17" x14ac:dyDescent="0.2">
      <c r="Q3939" s="95"/>
    </row>
    <row r="3940" spans="17:17" x14ac:dyDescent="0.2">
      <c r="Q3940" s="95"/>
    </row>
    <row r="3941" spans="17:17" x14ac:dyDescent="0.2">
      <c r="Q3941" s="95"/>
    </row>
    <row r="3942" spans="17:17" x14ac:dyDescent="0.2">
      <c r="Q3942" s="95"/>
    </row>
    <row r="3943" spans="17:17" x14ac:dyDescent="0.2">
      <c r="Q3943" s="95"/>
    </row>
    <row r="3944" spans="17:17" x14ac:dyDescent="0.2">
      <c r="Q3944" s="95"/>
    </row>
    <row r="3945" spans="17:17" x14ac:dyDescent="0.2">
      <c r="Q3945" s="95"/>
    </row>
    <row r="3946" spans="17:17" x14ac:dyDescent="0.2">
      <c r="Q3946" s="95"/>
    </row>
    <row r="3947" spans="17:17" x14ac:dyDescent="0.2">
      <c r="Q3947" s="95"/>
    </row>
    <row r="3948" spans="17:17" x14ac:dyDescent="0.2">
      <c r="Q3948" s="95"/>
    </row>
    <row r="3949" spans="17:17" x14ac:dyDescent="0.2">
      <c r="Q3949" s="95"/>
    </row>
    <row r="3950" spans="17:17" x14ac:dyDescent="0.2">
      <c r="Q3950" s="95"/>
    </row>
    <row r="3951" spans="17:17" x14ac:dyDescent="0.2">
      <c r="Q3951" s="95"/>
    </row>
    <row r="3952" spans="17:17" x14ac:dyDescent="0.2">
      <c r="Q3952" s="95"/>
    </row>
    <row r="3953" spans="17:17" x14ac:dyDescent="0.2">
      <c r="Q3953" s="95"/>
    </row>
    <row r="3954" spans="17:17" x14ac:dyDescent="0.2">
      <c r="Q3954" s="95"/>
    </row>
    <row r="3955" spans="17:17" x14ac:dyDescent="0.2">
      <c r="Q3955" s="95"/>
    </row>
    <row r="3956" spans="17:17" x14ac:dyDescent="0.2">
      <c r="Q3956" s="95"/>
    </row>
    <row r="3957" spans="17:17" x14ac:dyDescent="0.2">
      <c r="Q3957" s="95"/>
    </row>
    <row r="3958" spans="17:17" x14ac:dyDescent="0.2">
      <c r="Q3958" s="95"/>
    </row>
    <row r="3959" spans="17:17" x14ac:dyDescent="0.2">
      <c r="Q3959" s="95"/>
    </row>
    <row r="3960" spans="17:17" x14ac:dyDescent="0.2">
      <c r="Q3960" s="95"/>
    </row>
    <row r="3961" spans="17:17" x14ac:dyDescent="0.2">
      <c r="Q3961" s="95"/>
    </row>
    <row r="3962" spans="17:17" x14ac:dyDescent="0.2">
      <c r="Q3962" s="95"/>
    </row>
    <row r="3963" spans="17:17" x14ac:dyDescent="0.2">
      <c r="Q3963" s="95"/>
    </row>
    <row r="3964" spans="17:17" x14ac:dyDescent="0.2">
      <c r="Q3964" s="95"/>
    </row>
    <row r="3965" spans="17:17" x14ac:dyDescent="0.2">
      <c r="Q3965" s="95"/>
    </row>
    <row r="3966" spans="17:17" x14ac:dyDescent="0.2">
      <c r="Q3966" s="95"/>
    </row>
    <row r="3967" spans="17:17" x14ac:dyDescent="0.2">
      <c r="Q3967" s="95"/>
    </row>
    <row r="3968" spans="17:17" x14ac:dyDescent="0.2">
      <c r="Q3968" s="95"/>
    </row>
    <row r="3969" spans="17:17" x14ac:dyDescent="0.2">
      <c r="Q3969" s="95"/>
    </row>
    <row r="3970" spans="17:17" x14ac:dyDescent="0.2">
      <c r="Q3970" s="95"/>
    </row>
    <row r="3971" spans="17:17" x14ac:dyDescent="0.2">
      <c r="Q3971" s="95"/>
    </row>
    <row r="3972" spans="17:17" x14ac:dyDescent="0.2">
      <c r="Q3972" s="95"/>
    </row>
    <row r="3973" spans="17:17" x14ac:dyDescent="0.2">
      <c r="Q3973" s="95"/>
    </row>
    <row r="3974" spans="17:17" x14ac:dyDescent="0.2">
      <c r="Q3974" s="95"/>
    </row>
    <row r="3975" spans="17:17" x14ac:dyDescent="0.2">
      <c r="Q3975" s="95"/>
    </row>
    <row r="3976" spans="17:17" x14ac:dyDescent="0.2">
      <c r="Q3976" s="95"/>
    </row>
    <row r="3977" spans="17:17" x14ac:dyDescent="0.2">
      <c r="Q3977" s="95"/>
    </row>
    <row r="3978" spans="17:17" x14ac:dyDescent="0.2">
      <c r="Q3978" s="95"/>
    </row>
    <row r="3979" spans="17:17" x14ac:dyDescent="0.2">
      <c r="Q3979" s="95"/>
    </row>
    <row r="3980" spans="17:17" x14ac:dyDescent="0.2">
      <c r="Q3980" s="95"/>
    </row>
    <row r="3981" spans="17:17" x14ac:dyDescent="0.2">
      <c r="Q3981" s="95"/>
    </row>
    <row r="3982" spans="17:17" x14ac:dyDescent="0.2">
      <c r="Q3982" s="95"/>
    </row>
    <row r="3983" spans="17:17" x14ac:dyDescent="0.2">
      <c r="Q3983" s="95"/>
    </row>
    <row r="3984" spans="17:17" x14ac:dyDescent="0.2">
      <c r="Q3984" s="95"/>
    </row>
    <row r="3985" spans="17:17" x14ac:dyDescent="0.2">
      <c r="Q3985" s="95"/>
    </row>
    <row r="3986" spans="17:17" x14ac:dyDescent="0.2">
      <c r="Q3986" s="95"/>
    </row>
    <row r="3987" spans="17:17" x14ac:dyDescent="0.2">
      <c r="Q3987" s="95"/>
    </row>
    <row r="3988" spans="17:17" x14ac:dyDescent="0.2">
      <c r="Q3988" s="95"/>
    </row>
    <row r="3989" spans="17:17" x14ac:dyDescent="0.2">
      <c r="Q3989" s="95"/>
    </row>
    <row r="3990" spans="17:17" x14ac:dyDescent="0.2">
      <c r="Q3990" s="95"/>
    </row>
    <row r="3991" spans="17:17" x14ac:dyDescent="0.2">
      <c r="Q3991" s="95"/>
    </row>
    <row r="3992" spans="17:17" x14ac:dyDescent="0.2">
      <c r="Q3992" s="95"/>
    </row>
    <row r="3993" spans="17:17" x14ac:dyDescent="0.2">
      <c r="Q3993" s="95"/>
    </row>
    <row r="3994" spans="17:17" x14ac:dyDescent="0.2">
      <c r="Q3994" s="95"/>
    </row>
    <row r="3995" spans="17:17" x14ac:dyDescent="0.2">
      <c r="Q3995" s="95"/>
    </row>
    <row r="3996" spans="17:17" x14ac:dyDescent="0.2">
      <c r="Q3996" s="95"/>
    </row>
    <row r="3997" spans="17:17" x14ac:dyDescent="0.2">
      <c r="Q3997" s="95"/>
    </row>
    <row r="3998" spans="17:17" x14ac:dyDescent="0.2">
      <c r="Q3998" s="95"/>
    </row>
    <row r="3999" spans="17:17" x14ac:dyDescent="0.2">
      <c r="Q3999" s="95"/>
    </row>
    <row r="4000" spans="17:17" x14ac:dyDescent="0.2">
      <c r="Q4000" s="95"/>
    </row>
    <row r="4001" spans="17:17" x14ac:dyDescent="0.2">
      <c r="Q4001" s="95"/>
    </row>
    <row r="4002" spans="17:17" x14ac:dyDescent="0.2">
      <c r="Q4002" s="95"/>
    </row>
    <row r="4003" spans="17:17" x14ac:dyDescent="0.2">
      <c r="Q4003" s="95"/>
    </row>
    <row r="4004" spans="17:17" x14ac:dyDescent="0.2">
      <c r="Q4004" s="95"/>
    </row>
    <row r="4005" spans="17:17" x14ac:dyDescent="0.2">
      <c r="Q4005" s="95"/>
    </row>
    <row r="4006" spans="17:17" x14ac:dyDescent="0.2">
      <c r="Q4006" s="95"/>
    </row>
    <row r="4007" spans="17:17" x14ac:dyDescent="0.2">
      <c r="Q4007" s="95"/>
    </row>
    <row r="4008" spans="17:17" x14ac:dyDescent="0.2">
      <c r="Q4008" s="95"/>
    </row>
    <row r="4009" spans="17:17" x14ac:dyDescent="0.2">
      <c r="Q4009" s="95"/>
    </row>
    <row r="4010" spans="17:17" x14ac:dyDescent="0.2">
      <c r="Q4010" s="95"/>
    </row>
    <row r="4011" spans="17:17" x14ac:dyDescent="0.2">
      <c r="Q4011" s="95"/>
    </row>
    <row r="4012" spans="17:17" x14ac:dyDescent="0.2">
      <c r="Q4012" s="95"/>
    </row>
    <row r="4013" spans="17:17" x14ac:dyDescent="0.2">
      <c r="Q4013" s="95"/>
    </row>
    <row r="4014" spans="17:17" x14ac:dyDescent="0.2">
      <c r="Q4014" s="95"/>
    </row>
    <row r="4015" spans="17:17" x14ac:dyDescent="0.2">
      <c r="Q4015" s="95"/>
    </row>
    <row r="4016" spans="17:17" x14ac:dyDescent="0.2">
      <c r="Q4016" s="95"/>
    </row>
    <row r="4017" spans="17:17" x14ac:dyDescent="0.2">
      <c r="Q4017" s="95"/>
    </row>
    <row r="4018" spans="17:17" x14ac:dyDescent="0.2">
      <c r="Q4018" s="95"/>
    </row>
    <row r="4019" spans="17:17" x14ac:dyDescent="0.2">
      <c r="Q4019" s="95"/>
    </row>
    <row r="4020" spans="17:17" x14ac:dyDescent="0.2">
      <c r="Q4020" s="95"/>
    </row>
    <row r="4021" spans="17:17" x14ac:dyDescent="0.2">
      <c r="Q4021" s="95"/>
    </row>
    <row r="4022" spans="17:17" x14ac:dyDescent="0.2">
      <c r="Q4022" s="95"/>
    </row>
    <row r="4023" spans="17:17" x14ac:dyDescent="0.2">
      <c r="Q4023" s="95"/>
    </row>
    <row r="4024" spans="17:17" x14ac:dyDescent="0.2">
      <c r="Q4024" s="95"/>
    </row>
    <row r="4025" spans="17:17" x14ac:dyDescent="0.2">
      <c r="Q4025" s="95"/>
    </row>
    <row r="4026" spans="17:17" x14ac:dyDescent="0.2">
      <c r="Q4026" s="95"/>
    </row>
    <row r="4027" spans="17:17" x14ac:dyDescent="0.2">
      <c r="Q4027" s="95"/>
    </row>
    <row r="4028" spans="17:17" x14ac:dyDescent="0.2">
      <c r="Q4028" s="95"/>
    </row>
    <row r="4029" spans="17:17" x14ac:dyDescent="0.2">
      <c r="Q4029" s="95"/>
    </row>
    <row r="4030" spans="17:17" x14ac:dyDescent="0.2">
      <c r="Q4030" s="95"/>
    </row>
    <row r="4031" spans="17:17" x14ac:dyDescent="0.2">
      <c r="Q4031" s="95"/>
    </row>
    <row r="4032" spans="17:17" x14ac:dyDescent="0.2">
      <c r="Q4032" s="95"/>
    </row>
    <row r="4033" spans="17:17" x14ac:dyDescent="0.2">
      <c r="Q4033" s="95"/>
    </row>
    <row r="4034" spans="17:17" x14ac:dyDescent="0.2">
      <c r="Q4034" s="95"/>
    </row>
    <row r="4035" spans="17:17" x14ac:dyDescent="0.2">
      <c r="Q4035" s="95"/>
    </row>
    <row r="4036" spans="17:17" x14ac:dyDescent="0.2">
      <c r="Q4036" s="95"/>
    </row>
    <row r="4037" spans="17:17" x14ac:dyDescent="0.2">
      <c r="Q4037" s="95"/>
    </row>
    <row r="4038" spans="17:17" x14ac:dyDescent="0.2">
      <c r="Q4038" s="95"/>
    </row>
    <row r="4039" spans="17:17" x14ac:dyDescent="0.2">
      <c r="Q4039" s="95"/>
    </row>
    <row r="4040" spans="17:17" x14ac:dyDescent="0.2">
      <c r="Q4040" s="95"/>
    </row>
    <row r="4041" spans="17:17" x14ac:dyDescent="0.2">
      <c r="Q4041" s="95"/>
    </row>
    <row r="4042" spans="17:17" x14ac:dyDescent="0.2">
      <c r="Q4042" s="95"/>
    </row>
    <row r="4043" spans="17:17" x14ac:dyDescent="0.2">
      <c r="Q4043" s="95"/>
    </row>
    <row r="4044" spans="17:17" x14ac:dyDescent="0.2">
      <c r="Q4044" s="95"/>
    </row>
    <row r="4045" spans="17:17" x14ac:dyDescent="0.2">
      <c r="Q4045" s="95"/>
    </row>
    <row r="4046" spans="17:17" x14ac:dyDescent="0.2">
      <c r="Q4046" s="95"/>
    </row>
    <row r="4047" spans="17:17" x14ac:dyDescent="0.2">
      <c r="Q4047" s="95"/>
    </row>
    <row r="4048" spans="17:17" x14ac:dyDescent="0.2">
      <c r="Q4048" s="95"/>
    </row>
    <row r="4049" spans="17:17" x14ac:dyDescent="0.2">
      <c r="Q4049" s="95"/>
    </row>
    <row r="4050" spans="17:17" x14ac:dyDescent="0.2">
      <c r="Q4050" s="95"/>
    </row>
    <row r="4051" spans="17:17" x14ac:dyDescent="0.2">
      <c r="Q4051" s="95"/>
    </row>
    <row r="4052" spans="17:17" x14ac:dyDescent="0.2">
      <c r="Q4052" s="95"/>
    </row>
    <row r="4053" spans="17:17" x14ac:dyDescent="0.2">
      <c r="Q4053" s="95"/>
    </row>
    <row r="4054" spans="17:17" x14ac:dyDescent="0.2">
      <c r="Q4054" s="95"/>
    </row>
    <row r="4055" spans="17:17" x14ac:dyDescent="0.2">
      <c r="Q4055" s="95"/>
    </row>
    <row r="4056" spans="17:17" x14ac:dyDescent="0.2">
      <c r="Q4056" s="95"/>
    </row>
    <row r="4057" spans="17:17" x14ac:dyDescent="0.2">
      <c r="Q4057" s="95"/>
    </row>
    <row r="4058" spans="17:17" x14ac:dyDescent="0.2">
      <c r="Q4058" s="95"/>
    </row>
    <row r="4059" spans="17:17" x14ac:dyDescent="0.2">
      <c r="Q4059" s="95"/>
    </row>
    <row r="4060" spans="17:17" x14ac:dyDescent="0.2">
      <c r="Q4060" s="95"/>
    </row>
    <row r="4061" spans="17:17" x14ac:dyDescent="0.2">
      <c r="Q4061" s="95"/>
    </row>
    <row r="4062" spans="17:17" x14ac:dyDescent="0.2">
      <c r="Q4062" s="95"/>
    </row>
    <row r="4063" spans="17:17" x14ac:dyDescent="0.2">
      <c r="Q4063" s="95"/>
    </row>
    <row r="4064" spans="17:17" x14ac:dyDescent="0.2">
      <c r="Q4064" s="95"/>
    </row>
    <row r="4065" spans="17:17" x14ac:dyDescent="0.2">
      <c r="Q4065" s="95"/>
    </row>
    <row r="4066" spans="17:17" x14ac:dyDescent="0.2">
      <c r="Q4066" s="95"/>
    </row>
    <row r="4067" spans="17:17" x14ac:dyDescent="0.2">
      <c r="Q4067" s="95"/>
    </row>
    <row r="4068" spans="17:17" x14ac:dyDescent="0.2">
      <c r="Q4068" s="95"/>
    </row>
    <row r="4069" spans="17:17" x14ac:dyDescent="0.2">
      <c r="Q4069" s="95"/>
    </row>
    <row r="4070" spans="17:17" x14ac:dyDescent="0.2">
      <c r="Q4070" s="95"/>
    </row>
    <row r="4071" spans="17:17" x14ac:dyDescent="0.2">
      <c r="Q4071" s="95"/>
    </row>
    <row r="4072" spans="17:17" x14ac:dyDescent="0.2">
      <c r="Q4072" s="95"/>
    </row>
    <row r="4073" spans="17:17" x14ac:dyDescent="0.2">
      <c r="Q4073" s="95"/>
    </row>
    <row r="4074" spans="17:17" x14ac:dyDescent="0.2">
      <c r="Q4074" s="95"/>
    </row>
    <row r="4075" spans="17:17" x14ac:dyDescent="0.2">
      <c r="Q4075" s="95"/>
    </row>
    <row r="4076" spans="17:17" x14ac:dyDescent="0.2">
      <c r="Q4076" s="95"/>
    </row>
    <row r="4077" spans="17:17" x14ac:dyDescent="0.2">
      <c r="Q4077" s="95"/>
    </row>
    <row r="4078" spans="17:17" x14ac:dyDescent="0.2">
      <c r="Q4078" s="95"/>
    </row>
    <row r="4079" spans="17:17" x14ac:dyDescent="0.2">
      <c r="Q4079" s="95"/>
    </row>
    <row r="4080" spans="17:17" x14ac:dyDescent="0.2">
      <c r="Q4080" s="95"/>
    </row>
    <row r="4081" spans="17:17" x14ac:dyDescent="0.2">
      <c r="Q4081" s="95"/>
    </row>
    <row r="4082" spans="17:17" x14ac:dyDescent="0.2">
      <c r="Q4082" s="95"/>
    </row>
    <row r="4083" spans="17:17" x14ac:dyDescent="0.2">
      <c r="Q4083" s="95"/>
    </row>
    <row r="4084" spans="17:17" x14ac:dyDescent="0.2">
      <c r="Q4084" s="95"/>
    </row>
    <row r="4085" spans="17:17" x14ac:dyDescent="0.2">
      <c r="Q4085" s="95"/>
    </row>
    <row r="4086" spans="17:17" x14ac:dyDescent="0.2">
      <c r="Q4086" s="95"/>
    </row>
    <row r="4087" spans="17:17" x14ac:dyDescent="0.2">
      <c r="Q4087" s="95"/>
    </row>
    <row r="4088" spans="17:17" x14ac:dyDescent="0.2">
      <c r="Q4088" s="95"/>
    </row>
    <row r="4089" spans="17:17" x14ac:dyDescent="0.2">
      <c r="Q4089" s="95"/>
    </row>
    <row r="4090" spans="17:17" x14ac:dyDescent="0.2">
      <c r="Q4090" s="95"/>
    </row>
    <row r="4091" spans="17:17" x14ac:dyDescent="0.2">
      <c r="Q4091" s="95"/>
    </row>
    <row r="4092" spans="17:17" x14ac:dyDescent="0.2">
      <c r="Q4092" s="95"/>
    </row>
    <row r="4093" spans="17:17" x14ac:dyDescent="0.2">
      <c r="Q4093" s="95"/>
    </row>
    <row r="4094" spans="17:17" x14ac:dyDescent="0.2">
      <c r="Q4094" s="95"/>
    </row>
    <row r="4095" spans="17:17" x14ac:dyDescent="0.2">
      <c r="Q4095" s="95"/>
    </row>
    <row r="4096" spans="17:17" x14ac:dyDescent="0.2">
      <c r="Q4096" s="95"/>
    </row>
    <row r="4097" spans="17:17" x14ac:dyDescent="0.2">
      <c r="Q4097" s="95"/>
    </row>
    <row r="4098" spans="17:17" x14ac:dyDescent="0.2">
      <c r="Q4098" s="95"/>
    </row>
    <row r="4099" spans="17:17" x14ac:dyDescent="0.2">
      <c r="Q4099" s="95"/>
    </row>
    <row r="4100" spans="17:17" x14ac:dyDescent="0.2">
      <c r="Q4100" s="95"/>
    </row>
    <row r="4101" spans="17:17" x14ac:dyDescent="0.2">
      <c r="Q4101" s="95"/>
    </row>
    <row r="4102" spans="17:17" x14ac:dyDescent="0.2">
      <c r="Q4102" s="95"/>
    </row>
    <row r="4103" spans="17:17" x14ac:dyDescent="0.2">
      <c r="Q4103" s="95"/>
    </row>
    <row r="4104" spans="17:17" x14ac:dyDescent="0.2">
      <c r="Q4104" s="95"/>
    </row>
    <row r="4105" spans="17:17" x14ac:dyDescent="0.2">
      <c r="Q4105" s="95"/>
    </row>
    <row r="4106" spans="17:17" x14ac:dyDescent="0.2">
      <c r="Q4106" s="95"/>
    </row>
    <row r="4107" spans="17:17" x14ac:dyDescent="0.2">
      <c r="Q4107" s="95"/>
    </row>
    <row r="4108" spans="17:17" x14ac:dyDescent="0.2">
      <c r="Q4108" s="95"/>
    </row>
    <row r="4109" spans="17:17" x14ac:dyDescent="0.2">
      <c r="Q4109" s="95"/>
    </row>
    <row r="4110" spans="17:17" x14ac:dyDescent="0.2">
      <c r="Q4110" s="95"/>
    </row>
    <row r="4111" spans="17:17" x14ac:dyDescent="0.2">
      <c r="Q4111" s="95"/>
    </row>
    <row r="4112" spans="17:17" x14ac:dyDescent="0.2">
      <c r="Q4112" s="95"/>
    </row>
    <row r="4113" spans="17:17" x14ac:dyDescent="0.2">
      <c r="Q4113" s="95"/>
    </row>
    <row r="4114" spans="17:17" x14ac:dyDescent="0.2">
      <c r="Q4114" s="95"/>
    </row>
    <row r="4115" spans="17:17" x14ac:dyDescent="0.2">
      <c r="Q4115" s="95"/>
    </row>
    <row r="4116" spans="17:17" x14ac:dyDescent="0.2">
      <c r="Q4116" s="95"/>
    </row>
    <row r="4117" spans="17:17" x14ac:dyDescent="0.2">
      <c r="Q4117" s="95"/>
    </row>
    <row r="4118" spans="17:17" x14ac:dyDescent="0.2">
      <c r="Q4118" s="95"/>
    </row>
    <row r="4119" spans="17:17" x14ac:dyDescent="0.2">
      <c r="Q4119" s="95"/>
    </row>
    <row r="4120" spans="17:17" x14ac:dyDescent="0.2">
      <c r="Q4120" s="95"/>
    </row>
    <row r="4121" spans="17:17" x14ac:dyDescent="0.2">
      <c r="Q4121" s="95"/>
    </row>
    <row r="4122" spans="17:17" x14ac:dyDescent="0.2">
      <c r="Q4122" s="95"/>
    </row>
    <row r="4123" spans="17:17" x14ac:dyDescent="0.2">
      <c r="Q4123" s="95"/>
    </row>
    <row r="4124" spans="17:17" x14ac:dyDescent="0.2">
      <c r="Q4124" s="95"/>
    </row>
    <row r="4125" spans="17:17" x14ac:dyDescent="0.2">
      <c r="Q4125" s="95"/>
    </row>
    <row r="4126" spans="17:17" x14ac:dyDescent="0.2">
      <c r="Q4126" s="95"/>
    </row>
    <row r="4127" spans="17:17" x14ac:dyDescent="0.2">
      <c r="Q4127" s="95"/>
    </row>
    <row r="4128" spans="17:17" x14ac:dyDescent="0.2">
      <c r="Q4128" s="95"/>
    </row>
    <row r="4129" spans="17:17" x14ac:dyDescent="0.2">
      <c r="Q4129" s="95"/>
    </row>
    <row r="4130" spans="17:17" x14ac:dyDescent="0.2">
      <c r="Q4130" s="95"/>
    </row>
    <row r="4131" spans="17:17" x14ac:dyDescent="0.2">
      <c r="Q4131" s="95"/>
    </row>
    <row r="4132" spans="17:17" x14ac:dyDescent="0.2">
      <c r="Q4132" s="95"/>
    </row>
    <row r="4133" spans="17:17" x14ac:dyDescent="0.2">
      <c r="Q4133" s="95"/>
    </row>
    <row r="4134" spans="17:17" x14ac:dyDescent="0.2">
      <c r="Q4134" s="95"/>
    </row>
    <row r="4135" spans="17:17" x14ac:dyDescent="0.2">
      <c r="Q4135" s="95"/>
    </row>
    <row r="4136" spans="17:17" x14ac:dyDescent="0.2">
      <c r="Q4136" s="95"/>
    </row>
    <row r="4137" spans="17:17" x14ac:dyDescent="0.2">
      <c r="Q4137" s="95"/>
    </row>
    <row r="4138" spans="17:17" x14ac:dyDescent="0.2">
      <c r="Q4138" s="95"/>
    </row>
    <row r="4139" spans="17:17" x14ac:dyDescent="0.2">
      <c r="Q4139" s="95"/>
    </row>
    <row r="4140" spans="17:17" x14ac:dyDescent="0.2">
      <c r="Q4140" s="95"/>
    </row>
    <row r="4141" spans="17:17" x14ac:dyDescent="0.2">
      <c r="Q4141" s="95"/>
    </row>
    <row r="4142" spans="17:17" x14ac:dyDescent="0.2">
      <c r="Q4142" s="95"/>
    </row>
    <row r="4143" spans="17:17" x14ac:dyDescent="0.2">
      <c r="Q4143" s="95"/>
    </row>
    <row r="4144" spans="17:17" x14ac:dyDescent="0.2">
      <c r="Q4144" s="95"/>
    </row>
    <row r="4145" spans="17:17" x14ac:dyDescent="0.2">
      <c r="Q4145" s="95"/>
    </row>
    <row r="4146" spans="17:17" x14ac:dyDescent="0.2">
      <c r="Q4146" s="95"/>
    </row>
    <row r="4147" spans="17:17" x14ac:dyDescent="0.2">
      <c r="Q4147" s="95"/>
    </row>
    <row r="4148" spans="17:17" x14ac:dyDescent="0.2">
      <c r="Q4148" s="95"/>
    </row>
    <row r="4149" spans="17:17" x14ac:dyDescent="0.2">
      <c r="Q4149" s="95"/>
    </row>
    <row r="4150" spans="17:17" x14ac:dyDescent="0.2">
      <c r="Q4150" s="95"/>
    </row>
    <row r="4151" spans="17:17" x14ac:dyDescent="0.2">
      <c r="Q4151" s="95"/>
    </row>
    <row r="4152" spans="17:17" x14ac:dyDescent="0.2">
      <c r="Q4152" s="95"/>
    </row>
    <row r="4153" spans="17:17" x14ac:dyDescent="0.2">
      <c r="Q4153" s="95"/>
    </row>
    <row r="4154" spans="17:17" x14ac:dyDescent="0.2">
      <c r="Q4154" s="95"/>
    </row>
    <row r="4155" spans="17:17" x14ac:dyDescent="0.2">
      <c r="Q4155" s="95"/>
    </row>
    <row r="4156" spans="17:17" x14ac:dyDescent="0.2">
      <c r="Q4156" s="95"/>
    </row>
    <row r="4157" spans="17:17" x14ac:dyDescent="0.2">
      <c r="Q4157" s="95"/>
    </row>
    <row r="4158" spans="17:17" x14ac:dyDescent="0.2">
      <c r="Q4158" s="95"/>
    </row>
    <row r="4159" spans="17:17" x14ac:dyDescent="0.2">
      <c r="Q4159" s="95"/>
    </row>
    <row r="4160" spans="17:17" x14ac:dyDescent="0.2">
      <c r="Q4160" s="95"/>
    </row>
    <row r="4161" spans="17:17" x14ac:dyDescent="0.2">
      <c r="Q4161" s="95"/>
    </row>
    <row r="4162" spans="17:17" x14ac:dyDescent="0.2">
      <c r="Q4162" s="95"/>
    </row>
    <row r="4163" spans="17:17" x14ac:dyDescent="0.2">
      <c r="Q4163" s="95"/>
    </row>
    <row r="4164" spans="17:17" x14ac:dyDescent="0.2">
      <c r="Q4164" s="95"/>
    </row>
    <row r="4165" spans="17:17" x14ac:dyDescent="0.2">
      <c r="Q4165" s="95"/>
    </row>
    <row r="4166" spans="17:17" x14ac:dyDescent="0.2">
      <c r="Q4166" s="95"/>
    </row>
    <row r="4167" spans="17:17" x14ac:dyDescent="0.2">
      <c r="Q4167" s="95"/>
    </row>
    <row r="4168" spans="17:17" x14ac:dyDescent="0.2">
      <c r="Q4168" s="95"/>
    </row>
    <row r="4169" spans="17:17" x14ac:dyDescent="0.2">
      <c r="Q4169" s="95"/>
    </row>
    <row r="4170" spans="17:17" x14ac:dyDescent="0.2">
      <c r="Q4170" s="95"/>
    </row>
    <row r="4171" spans="17:17" x14ac:dyDescent="0.2">
      <c r="Q4171" s="95"/>
    </row>
    <row r="4172" spans="17:17" x14ac:dyDescent="0.2">
      <c r="Q4172" s="95"/>
    </row>
    <row r="4173" spans="17:17" x14ac:dyDescent="0.2">
      <c r="Q4173" s="95"/>
    </row>
    <row r="4174" spans="17:17" x14ac:dyDescent="0.2">
      <c r="Q4174" s="95"/>
    </row>
    <row r="4175" spans="17:17" x14ac:dyDescent="0.2">
      <c r="Q4175" s="95"/>
    </row>
    <row r="4176" spans="17:17" x14ac:dyDescent="0.2">
      <c r="Q4176" s="95"/>
    </row>
    <row r="4177" spans="17:17" x14ac:dyDescent="0.2">
      <c r="Q4177" s="95"/>
    </row>
    <row r="4178" spans="17:17" x14ac:dyDescent="0.2">
      <c r="Q4178" s="95"/>
    </row>
    <row r="4179" spans="17:17" x14ac:dyDescent="0.2">
      <c r="Q4179" s="95"/>
    </row>
    <row r="4180" spans="17:17" x14ac:dyDescent="0.2">
      <c r="Q4180" s="95"/>
    </row>
    <row r="4181" spans="17:17" x14ac:dyDescent="0.2">
      <c r="Q4181" s="95"/>
    </row>
    <row r="4182" spans="17:17" x14ac:dyDescent="0.2">
      <c r="Q4182" s="95"/>
    </row>
    <row r="4183" spans="17:17" x14ac:dyDescent="0.2">
      <c r="Q4183" s="95"/>
    </row>
    <row r="4184" spans="17:17" x14ac:dyDescent="0.2">
      <c r="Q4184" s="95"/>
    </row>
    <row r="4185" spans="17:17" x14ac:dyDescent="0.2">
      <c r="Q4185" s="95"/>
    </row>
    <row r="4186" spans="17:17" x14ac:dyDescent="0.2">
      <c r="Q4186" s="95"/>
    </row>
    <row r="4187" spans="17:17" x14ac:dyDescent="0.2">
      <c r="Q4187" s="95"/>
    </row>
    <row r="4188" spans="17:17" x14ac:dyDescent="0.2">
      <c r="Q4188" s="95"/>
    </row>
    <row r="4189" spans="17:17" x14ac:dyDescent="0.2">
      <c r="Q4189" s="95"/>
    </row>
    <row r="4190" spans="17:17" x14ac:dyDescent="0.2">
      <c r="Q4190" s="95"/>
    </row>
    <row r="4191" spans="17:17" x14ac:dyDescent="0.2">
      <c r="Q4191" s="95"/>
    </row>
    <row r="4192" spans="17:17" x14ac:dyDescent="0.2">
      <c r="Q4192" s="95"/>
    </row>
    <row r="4193" spans="17:17" x14ac:dyDescent="0.2">
      <c r="Q4193" s="95"/>
    </row>
    <row r="4194" spans="17:17" x14ac:dyDescent="0.2">
      <c r="Q4194" s="95"/>
    </row>
    <row r="4195" spans="17:17" x14ac:dyDescent="0.2">
      <c r="Q4195" s="95"/>
    </row>
    <row r="4196" spans="17:17" x14ac:dyDescent="0.2">
      <c r="Q4196" s="95"/>
    </row>
    <row r="4197" spans="17:17" x14ac:dyDescent="0.2">
      <c r="Q4197" s="95"/>
    </row>
    <row r="4198" spans="17:17" x14ac:dyDescent="0.2">
      <c r="Q4198" s="95"/>
    </row>
    <row r="4199" spans="17:17" x14ac:dyDescent="0.2">
      <c r="Q4199" s="95"/>
    </row>
    <row r="4200" spans="17:17" x14ac:dyDescent="0.2">
      <c r="Q4200" s="95"/>
    </row>
    <row r="4201" spans="17:17" x14ac:dyDescent="0.2">
      <c r="Q4201" s="95"/>
    </row>
    <row r="4202" spans="17:17" x14ac:dyDescent="0.2">
      <c r="Q4202" s="95"/>
    </row>
    <row r="4203" spans="17:17" x14ac:dyDescent="0.2">
      <c r="Q4203" s="95"/>
    </row>
    <row r="4204" spans="17:17" x14ac:dyDescent="0.2">
      <c r="Q4204" s="95"/>
    </row>
    <row r="4205" spans="17:17" x14ac:dyDescent="0.2">
      <c r="Q4205" s="95"/>
    </row>
    <row r="4206" spans="17:17" x14ac:dyDescent="0.2">
      <c r="Q4206" s="95"/>
    </row>
    <row r="4207" spans="17:17" x14ac:dyDescent="0.2">
      <c r="Q4207" s="95"/>
    </row>
    <row r="4208" spans="17:17" x14ac:dyDescent="0.2">
      <c r="Q4208" s="95"/>
    </row>
    <row r="4209" spans="17:17" x14ac:dyDescent="0.2">
      <c r="Q4209" s="95"/>
    </row>
    <row r="4210" spans="17:17" x14ac:dyDescent="0.2">
      <c r="Q4210" s="95"/>
    </row>
    <row r="4211" spans="17:17" x14ac:dyDescent="0.2">
      <c r="Q4211" s="95"/>
    </row>
    <row r="4212" spans="17:17" x14ac:dyDescent="0.2">
      <c r="Q4212" s="95"/>
    </row>
    <row r="4213" spans="17:17" x14ac:dyDescent="0.2">
      <c r="Q4213" s="95"/>
    </row>
    <row r="4214" spans="17:17" x14ac:dyDescent="0.2">
      <c r="Q4214" s="95"/>
    </row>
    <row r="4215" spans="17:17" x14ac:dyDescent="0.2">
      <c r="Q4215" s="95"/>
    </row>
    <row r="4216" spans="17:17" x14ac:dyDescent="0.2">
      <c r="Q4216" s="95"/>
    </row>
    <row r="4217" spans="17:17" x14ac:dyDescent="0.2">
      <c r="Q4217" s="95"/>
    </row>
    <row r="4218" spans="17:17" x14ac:dyDescent="0.2">
      <c r="Q4218" s="95"/>
    </row>
    <row r="4219" spans="17:17" x14ac:dyDescent="0.2">
      <c r="Q4219" s="95"/>
    </row>
    <row r="4220" spans="17:17" x14ac:dyDescent="0.2">
      <c r="Q4220" s="95"/>
    </row>
    <row r="4221" spans="17:17" x14ac:dyDescent="0.2">
      <c r="Q4221" s="95"/>
    </row>
    <row r="4222" spans="17:17" x14ac:dyDescent="0.2">
      <c r="Q4222" s="95"/>
    </row>
    <row r="4223" spans="17:17" x14ac:dyDescent="0.2">
      <c r="Q4223" s="95"/>
    </row>
    <row r="4224" spans="17:17" x14ac:dyDescent="0.2">
      <c r="Q4224" s="95"/>
    </row>
    <row r="4225" spans="17:17" x14ac:dyDescent="0.2">
      <c r="Q4225" s="95"/>
    </row>
    <row r="4226" spans="17:17" x14ac:dyDescent="0.2">
      <c r="Q4226" s="95"/>
    </row>
    <row r="4227" spans="17:17" x14ac:dyDescent="0.2">
      <c r="Q4227" s="95"/>
    </row>
    <row r="4228" spans="17:17" x14ac:dyDescent="0.2">
      <c r="Q4228" s="95"/>
    </row>
    <row r="4229" spans="17:17" x14ac:dyDescent="0.2">
      <c r="Q4229" s="95"/>
    </row>
    <row r="4230" spans="17:17" x14ac:dyDescent="0.2">
      <c r="Q4230" s="95"/>
    </row>
    <row r="4231" spans="17:17" x14ac:dyDescent="0.2">
      <c r="Q4231" s="95"/>
    </row>
    <row r="4232" spans="17:17" x14ac:dyDescent="0.2">
      <c r="Q4232" s="95"/>
    </row>
    <row r="4233" spans="17:17" x14ac:dyDescent="0.2">
      <c r="Q4233" s="95"/>
    </row>
    <row r="4234" spans="17:17" x14ac:dyDescent="0.2">
      <c r="Q4234" s="95"/>
    </row>
    <row r="4235" spans="17:17" x14ac:dyDescent="0.2">
      <c r="Q4235" s="95"/>
    </row>
    <row r="4236" spans="17:17" x14ac:dyDescent="0.2">
      <c r="Q4236" s="95"/>
    </row>
    <row r="4237" spans="17:17" x14ac:dyDescent="0.2">
      <c r="Q4237" s="95"/>
    </row>
    <row r="4238" spans="17:17" x14ac:dyDescent="0.2">
      <c r="Q4238" s="95"/>
    </row>
    <row r="4239" spans="17:17" x14ac:dyDescent="0.2">
      <c r="Q4239" s="95"/>
    </row>
    <row r="4240" spans="17:17" x14ac:dyDescent="0.2">
      <c r="Q4240" s="95"/>
    </row>
    <row r="4241" spans="17:17" x14ac:dyDescent="0.2">
      <c r="Q4241" s="95"/>
    </row>
    <row r="4242" spans="17:17" x14ac:dyDescent="0.2">
      <c r="Q4242" s="95"/>
    </row>
    <row r="4243" spans="17:17" x14ac:dyDescent="0.2">
      <c r="Q4243" s="95"/>
    </row>
    <row r="4244" spans="17:17" x14ac:dyDescent="0.2">
      <c r="Q4244" s="95"/>
    </row>
    <row r="4245" spans="17:17" x14ac:dyDescent="0.2">
      <c r="Q4245" s="95"/>
    </row>
    <row r="4246" spans="17:17" x14ac:dyDescent="0.2">
      <c r="Q4246" s="95"/>
    </row>
    <row r="4247" spans="17:17" x14ac:dyDescent="0.2">
      <c r="Q4247" s="95"/>
    </row>
    <row r="4248" spans="17:17" x14ac:dyDescent="0.2">
      <c r="Q4248" s="95"/>
    </row>
    <row r="4249" spans="17:17" x14ac:dyDescent="0.2">
      <c r="Q4249" s="95"/>
    </row>
    <row r="4250" spans="17:17" x14ac:dyDescent="0.2">
      <c r="Q4250" s="95"/>
    </row>
    <row r="4251" spans="17:17" x14ac:dyDescent="0.2">
      <c r="Q4251" s="95"/>
    </row>
    <row r="4252" spans="17:17" x14ac:dyDescent="0.2">
      <c r="Q4252" s="95"/>
    </row>
    <row r="4253" spans="17:17" x14ac:dyDescent="0.2">
      <c r="Q4253" s="95"/>
    </row>
    <row r="4254" spans="17:17" x14ac:dyDescent="0.2">
      <c r="Q4254" s="95"/>
    </row>
    <row r="4255" spans="17:17" x14ac:dyDescent="0.2">
      <c r="Q4255" s="95"/>
    </row>
    <row r="4256" spans="17:17" x14ac:dyDescent="0.2">
      <c r="Q4256" s="95"/>
    </row>
    <row r="4257" spans="17:17" x14ac:dyDescent="0.2">
      <c r="Q4257" s="95"/>
    </row>
    <row r="4258" spans="17:17" x14ac:dyDescent="0.2">
      <c r="Q4258" s="95"/>
    </row>
    <row r="4259" spans="17:17" x14ac:dyDescent="0.2">
      <c r="Q4259" s="95"/>
    </row>
    <row r="4260" spans="17:17" x14ac:dyDescent="0.2">
      <c r="Q4260" s="95"/>
    </row>
    <row r="4261" spans="17:17" x14ac:dyDescent="0.2">
      <c r="Q4261" s="95"/>
    </row>
    <row r="4262" spans="17:17" x14ac:dyDescent="0.2">
      <c r="Q4262" s="95"/>
    </row>
    <row r="4263" spans="17:17" x14ac:dyDescent="0.2">
      <c r="Q4263" s="95"/>
    </row>
    <row r="4264" spans="17:17" x14ac:dyDescent="0.2">
      <c r="Q4264" s="95"/>
    </row>
    <row r="4265" spans="17:17" x14ac:dyDescent="0.2">
      <c r="Q4265" s="95"/>
    </row>
    <row r="4266" spans="17:17" x14ac:dyDescent="0.2">
      <c r="Q4266" s="95"/>
    </row>
    <row r="4267" spans="17:17" x14ac:dyDescent="0.2">
      <c r="Q4267" s="95"/>
    </row>
    <row r="4268" spans="17:17" x14ac:dyDescent="0.2">
      <c r="Q4268" s="95"/>
    </row>
    <row r="4269" spans="17:17" x14ac:dyDescent="0.2">
      <c r="Q4269" s="95"/>
    </row>
    <row r="4270" spans="17:17" x14ac:dyDescent="0.2">
      <c r="Q4270" s="95"/>
    </row>
    <row r="4271" spans="17:17" x14ac:dyDescent="0.2">
      <c r="Q4271" s="95"/>
    </row>
    <row r="4272" spans="17:17" x14ac:dyDescent="0.2">
      <c r="Q4272" s="95"/>
    </row>
    <row r="4273" spans="17:17" x14ac:dyDescent="0.2">
      <c r="Q4273" s="95"/>
    </row>
    <row r="4274" spans="17:17" x14ac:dyDescent="0.2">
      <c r="Q4274" s="95"/>
    </row>
    <row r="4275" spans="17:17" x14ac:dyDescent="0.2">
      <c r="Q4275" s="95"/>
    </row>
    <row r="4276" spans="17:17" x14ac:dyDescent="0.2">
      <c r="Q4276" s="95"/>
    </row>
    <row r="4277" spans="17:17" x14ac:dyDescent="0.2">
      <c r="Q4277" s="95"/>
    </row>
    <row r="4278" spans="17:17" x14ac:dyDescent="0.2">
      <c r="Q4278" s="95"/>
    </row>
    <row r="4279" spans="17:17" x14ac:dyDescent="0.2">
      <c r="Q4279" s="95"/>
    </row>
    <row r="4280" spans="17:17" x14ac:dyDescent="0.2">
      <c r="Q4280" s="95"/>
    </row>
    <row r="4281" spans="17:17" x14ac:dyDescent="0.2">
      <c r="Q4281" s="95"/>
    </row>
    <row r="4282" spans="17:17" x14ac:dyDescent="0.2">
      <c r="Q4282" s="95"/>
    </row>
    <row r="4283" spans="17:17" x14ac:dyDescent="0.2">
      <c r="Q4283" s="95"/>
    </row>
    <row r="4284" spans="17:17" x14ac:dyDescent="0.2">
      <c r="Q4284" s="95"/>
    </row>
    <row r="4285" spans="17:17" x14ac:dyDescent="0.2">
      <c r="Q4285" s="95"/>
    </row>
    <row r="4286" spans="17:17" x14ac:dyDescent="0.2">
      <c r="Q4286" s="95"/>
    </row>
    <row r="4287" spans="17:17" x14ac:dyDescent="0.2">
      <c r="Q4287" s="95"/>
    </row>
    <row r="4288" spans="17:17" x14ac:dyDescent="0.2">
      <c r="Q4288" s="95"/>
    </row>
    <row r="4289" spans="17:17" x14ac:dyDescent="0.2">
      <c r="Q4289" s="95"/>
    </row>
    <row r="4290" spans="17:17" x14ac:dyDescent="0.2">
      <c r="Q4290" s="95"/>
    </row>
    <row r="4291" spans="17:17" x14ac:dyDescent="0.2">
      <c r="Q4291" s="95"/>
    </row>
    <row r="4292" spans="17:17" x14ac:dyDescent="0.2">
      <c r="Q4292" s="95"/>
    </row>
    <row r="4293" spans="17:17" x14ac:dyDescent="0.2">
      <c r="Q4293" s="95"/>
    </row>
    <row r="4294" spans="17:17" x14ac:dyDescent="0.2">
      <c r="Q4294" s="95"/>
    </row>
    <row r="4295" spans="17:17" x14ac:dyDescent="0.2">
      <c r="Q4295" s="95"/>
    </row>
    <row r="4296" spans="17:17" x14ac:dyDescent="0.2">
      <c r="Q4296" s="95"/>
    </row>
    <row r="4297" spans="17:17" x14ac:dyDescent="0.2">
      <c r="Q4297" s="95"/>
    </row>
    <row r="4298" spans="17:17" x14ac:dyDescent="0.2">
      <c r="Q4298" s="95"/>
    </row>
    <row r="4299" spans="17:17" x14ac:dyDescent="0.2">
      <c r="Q4299" s="95"/>
    </row>
    <row r="4300" spans="17:17" x14ac:dyDescent="0.2">
      <c r="Q4300" s="95"/>
    </row>
    <row r="4301" spans="17:17" x14ac:dyDescent="0.2">
      <c r="Q4301" s="95"/>
    </row>
    <row r="4302" spans="17:17" x14ac:dyDescent="0.2">
      <c r="Q4302" s="95"/>
    </row>
    <row r="4303" spans="17:17" x14ac:dyDescent="0.2">
      <c r="Q4303" s="95"/>
    </row>
    <row r="4304" spans="17:17" x14ac:dyDescent="0.2">
      <c r="Q4304" s="95"/>
    </row>
    <row r="4305" spans="17:17" x14ac:dyDescent="0.2">
      <c r="Q4305" s="95"/>
    </row>
    <row r="4306" spans="17:17" x14ac:dyDescent="0.2">
      <c r="Q4306" s="95"/>
    </row>
    <row r="4307" spans="17:17" x14ac:dyDescent="0.2">
      <c r="Q4307" s="95"/>
    </row>
    <row r="4308" spans="17:17" x14ac:dyDescent="0.2">
      <c r="Q4308" s="95"/>
    </row>
    <row r="4309" spans="17:17" x14ac:dyDescent="0.2">
      <c r="Q4309" s="95"/>
    </row>
    <row r="4310" spans="17:17" x14ac:dyDescent="0.2">
      <c r="Q4310" s="95"/>
    </row>
    <row r="4311" spans="17:17" x14ac:dyDescent="0.2">
      <c r="Q4311" s="95"/>
    </row>
    <row r="4312" spans="17:17" x14ac:dyDescent="0.2">
      <c r="Q4312" s="95"/>
    </row>
    <row r="4313" spans="17:17" x14ac:dyDescent="0.2">
      <c r="Q4313" s="95"/>
    </row>
    <row r="4314" spans="17:17" x14ac:dyDescent="0.2">
      <c r="Q4314" s="95"/>
    </row>
    <row r="4315" spans="17:17" x14ac:dyDescent="0.2">
      <c r="Q4315" s="95"/>
    </row>
    <row r="4316" spans="17:17" x14ac:dyDescent="0.2">
      <c r="Q4316" s="95"/>
    </row>
    <row r="4317" spans="17:17" x14ac:dyDescent="0.2">
      <c r="Q4317" s="95"/>
    </row>
    <row r="4318" spans="17:17" x14ac:dyDescent="0.2">
      <c r="Q4318" s="95"/>
    </row>
    <row r="4319" spans="17:17" x14ac:dyDescent="0.2">
      <c r="Q4319" s="95"/>
    </row>
    <row r="4320" spans="17:17" x14ac:dyDescent="0.2">
      <c r="Q4320" s="95"/>
    </row>
    <row r="4321" spans="17:17" x14ac:dyDescent="0.2">
      <c r="Q4321" s="95"/>
    </row>
    <row r="4322" spans="17:17" x14ac:dyDescent="0.2">
      <c r="Q4322" s="95"/>
    </row>
    <row r="4323" spans="17:17" x14ac:dyDescent="0.2">
      <c r="Q4323" s="95"/>
    </row>
    <row r="4324" spans="17:17" x14ac:dyDescent="0.2">
      <c r="Q4324" s="95"/>
    </row>
    <row r="4325" spans="17:17" x14ac:dyDescent="0.2">
      <c r="Q4325" s="95"/>
    </row>
    <row r="4326" spans="17:17" x14ac:dyDescent="0.2">
      <c r="Q4326" s="95"/>
    </row>
    <row r="4327" spans="17:17" x14ac:dyDescent="0.2">
      <c r="Q4327" s="95"/>
    </row>
    <row r="4328" spans="17:17" x14ac:dyDescent="0.2">
      <c r="Q4328" s="95"/>
    </row>
    <row r="4329" spans="17:17" x14ac:dyDescent="0.2">
      <c r="Q4329" s="95"/>
    </row>
    <row r="4330" spans="17:17" x14ac:dyDescent="0.2">
      <c r="Q4330" s="95"/>
    </row>
    <row r="4331" spans="17:17" x14ac:dyDescent="0.2">
      <c r="Q4331" s="95"/>
    </row>
    <row r="4332" spans="17:17" x14ac:dyDescent="0.2">
      <c r="Q4332" s="95"/>
    </row>
    <row r="4333" spans="17:17" x14ac:dyDescent="0.2">
      <c r="Q4333" s="95"/>
    </row>
    <row r="4334" spans="17:17" x14ac:dyDescent="0.2">
      <c r="Q4334" s="95"/>
    </row>
    <row r="4335" spans="17:17" x14ac:dyDescent="0.2">
      <c r="Q4335" s="95"/>
    </row>
    <row r="4336" spans="17:17" x14ac:dyDescent="0.2">
      <c r="Q4336" s="95"/>
    </row>
    <row r="4337" spans="17:17" x14ac:dyDescent="0.2">
      <c r="Q4337" s="95"/>
    </row>
    <row r="4338" spans="17:17" x14ac:dyDescent="0.2">
      <c r="Q4338" s="95"/>
    </row>
    <row r="4339" spans="17:17" x14ac:dyDescent="0.2">
      <c r="Q4339" s="95"/>
    </row>
    <row r="4340" spans="17:17" x14ac:dyDescent="0.2">
      <c r="Q4340" s="95"/>
    </row>
    <row r="4341" spans="17:17" x14ac:dyDescent="0.2">
      <c r="Q4341" s="95"/>
    </row>
    <row r="4342" spans="17:17" x14ac:dyDescent="0.2">
      <c r="Q4342" s="95"/>
    </row>
    <row r="4343" spans="17:17" x14ac:dyDescent="0.2">
      <c r="Q4343" s="95"/>
    </row>
    <row r="4344" spans="17:17" x14ac:dyDescent="0.2">
      <c r="Q4344" s="95"/>
    </row>
    <row r="4345" spans="17:17" x14ac:dyDescent="0.2">
      <c r="Q4345" s="95"/>
    </row>
    <row r="4346" spans="17:17" x14ac:dyDescent="0.2">
      <c r="Q4346" s="95"/>
    </row>
    <row r="4347" spans="17:17" x14ac:dyDescent="0.2">
      <c r="Q4347" s="95"/>
    </row>
    <row r="4348" spans="17:17" x14ac:dyDescent="0.2">
      <c r="Q4348" s="95"/>
    </row>
    <row r="4349" spans="17:17" x14ac:dyDescent="0.2">
      <c r="Q4349" s="95"/>
    </row>
    <row r="4350" spans="17:17" x14ac:dyDescent="0.2">
      <c r="Q4350" s="95"/>
    </row>
    <row r="4351" spans="17:17" x14ac:dyDescent="0.2">
      <c r="Q4351" s="95"/>
    </row>
    <row r="4352" spans="17:17" x14ac:dyDescent="0.2">
      <c r="Q4352" s="95"/>
    </row>
    <row r="4353" spans="17:17" x14ac:dyDescent="0.2">
      <c r="Q4353" s="95"/>
    </row>
    <row r="4354" spans="17:17" x14ac:dyDescent="0.2">
      <c r="Q4354" s="95"/>
    </row>
    <row r="4355" spans="17:17" x14ac:dyDescent="0.2">
      <c r="Q4355" s="95"/>
    </row>
    <row r="4356" spans="17:17" x14ac:dyDescent="0.2">
      <c r="Q4356" s="95"/>
    </row>
    <row r="4357" spans="17:17" x14ac:dyDescent="0.2">
      <c r="Q4357" s="95"/>
    </row>
    <row r="4358" spans="17:17" x14ac:dyDescent="0.2">
      <c r="Q4358" s="95"/>
    </row>
    <row r="4359" spans="17:17" x14ac:dyDescent="0.2">
      <c r="Q4359" s="95"/>
    </row>
    <row r="4360" spans="17:17" x14ac:dyDescent="0.2">
      <c r="Q4360" s="95"/>
    </row>
    <row r="4361" spans="17:17" x14ac:dyDescent="0.2">
      <c r="Q4361" s="95"/>
    </row>
    <row r="4362" spans="17:17" x14ac:dyDescent="0.2">
      <c r="Q4362" s="95"/>
    </row>
    <row r="4363" spans="17:17" x14ac:dyDescent="0.2">
      <c r="Q4363" s="95"/>
    </row>
    <row r="4364" spans="17:17" x14ac:dyDescent="0.2">
      <c r="Q4364" s="95"/>
    </row>
    <row r="4365" spans="17:17" x14ac:dyDescent="0.2">
      <c r="Q4365" s="95"/>
    </row>
    <row r="4366" spans="17:17" x14ac:dyDescent="0.2">
      <c r="Q4366" s="95"/>
    </row>
    <row r="4367" spans="17:17" x14ac:dyDescent="0.2">
      <c r="Q4367" s="95"/>
    </row>
    <row r="4368" spans="17:17" x14ac:dyDescent="0.2">
      <c r="Q4368" s="95"/>
    </row>
    <row r="4369" spans="17:17" x14ac:dyDescent="0.2">
      <c r="Q4369" s="95"/>
    </row>
    <row r="4370" spans="17:17" x14ac:dyDescent="0.2">
      <c r="Q4370" s="95"/>
    </row>
    <row r="4371" spans="17:17" x14ac:dyDescent="0.2">
      <c r="Q4371" s="95"/>
    </row>
    <row r="4372" spans="17:17" x14ac:dyDescent="0.2">
      <c r="Q4372" s="95"/>
    </row>
    <row r="4373" spans="17:17" x14ac:dyDescent="0.2">
      <c r="Q4373" s="95"/>
    </row>
    <row r="4374" spans="17:17" x14ac:dyDescent="0.2">
      <c r="Q4374" s="95"/>
    </row>
    <row r="4375" spans="17:17" x14ac:dyDescent="0.2">
      <c r="Q4375" s="95"/>
    </row>
    <row r="4376" spans="17:17" x14ac:dyDescent="0.2">
      <c r="Q4376" s="95"/>
    </row>
    <row r="4377" spans="17:17" x14ac:dyDescent="0.2">
      <c r="Q4377" s="95"/>
    </row>
    <row r="4378" spans="17:17" x14ac:dyDescent="0.2">
      <c r="Q4378" s="95"/>
    </row>
    <row r="4379" spans="17:17" x14ac:dyDescent="0.2">
      <c r="Q4379" s="95"/>
    </row>
    <row r="4380" spans="17:17" x14ac:dyDescent="0.2">
      <c r="Q4380" s="95"/>
    </row>
    <row r="4381" spans="17:17" x14ac:dyDescent="0.2">
      <c r="Q4381" s="95"/>
    </row>
    <row r="4382" spans="17:17" x14ac:dyDescent="0.2">
      <c r="Q4382" s="95"/>
    </row>
    <row r="4383" spans="17:17" x14ac:dyDescent="0.2">
      <c r="Q4383" s="95"/>
    </row>
    <row r="4384" spans="17:17" x14ac:dyDescent="0.2">
      <c r="Q4384" s="95"/>
    </row>
    <row r="4385" spans="17:17" x14ac:dyDescent="0.2">
      <c r="Q4385" s="95"/>
    </row>
    <row r="4386" spans="17:17" x14ac:dyDescent="0.2">
      <c r="Q4386" s="95"/>
    </row>
    <row r="4387" spans="17:17" x14ac:dyDescent="0.2">
      <c r="Q4387" s="95"/>
    </row>
    <row r="4388" spans="17:17" x14ac:dyDescent="0.2">
      <c r="Q4388" s="95"/>
    </row>
    <row r="4389" spans="17:17" x14ac:dyDescent="0.2">
      <c r="Q4389" s="95"/>
    </row>
    <row r="4390" spans="17:17" x14ac:dyDescent="0.2">
      <c r="Q4390" s="95"/>
    </row>
    <row r="4391" spans="17:17" x14ac:dyDescent="0.2">
      <c r="Q4391" s="95"/>
    </row>
    <row r="4392" spans="17:17" x14ac:dyDescent="0.2">
      <c r="Q4392" s="95"/>
    </row>
    <row r="4393" spans="17:17" x14ac:dyDescent="0.2">
      <c r="Q4393" s="95"/>
    </row>
    <row r="4394" spans="17:17" x14ac:dyDescent="0.2">
      <c r="Q4394" s="95"/>
    </row>
    <row r="4395" spans="17:17" x14ac:dyDescent="0.2">
      <c r="Q4395" s="95"/>
    </row>
    <row r="4396" spans="17:17" x14ac:dyDescent="0.2">
      <c r="Q4396" s="95"/>
    </row>
    <row r="4397" spans="17:17" x14ac:dyDescent="0.2">
      <c r="Q4397" s="95"/>
    </row>
    <row r="4398" spans="17:17" x14ac:dyDescent="0.2">
      <c r="Q4398" s="95"/>
    </row>
    <row r="4399" spans="17:17" x14ac:dyDescent="0.2">
      <c r="Q4399" s="95"/>
    </row>
    <row r="4400" spans="17:17" x14ac:dyDescent="0.2">
      <c r="Q4400" s="95"/>
    </row>
    <row r="4401" spans="17:17" x14ac:dyDescent="0.2">
      <c r="Q4401" s="95"/>
    </row>
    <row r="4402" spans="17:17" x14ac:dyDescent="0.2">
      <c r="Q4402" s="95"/>
    </row>
    <row r="4403" spans="17:17" x14ac:dyDescent="0.2">
      <c r="Q4403" s="95"/>
    </row>
    <row r="4404" spans="17:17" x14ac:dyDescent="0.2">
      <c r="Q4404" s="95"/>
    </row>
    <row r="4405" spans="17:17" x14ac:dyDescent="0.2">
      <c r="Q4405" s="95"/>
    </row>
    <row r="4406" spans="17:17" x14ac:dyDescent="0.2">
      <c r="Q4406" s="95"/>
    </row>
    <row r="4407" spans="17:17" x14ac:dyDescent="0.2">
      <c r="Q4407" s="95"/>
    </row>
    <row r="4408" spans="17:17" x14ac:dyDescent="0.2">
      <c r="Q4408" s="95"/>
    </row>
    <row r="4409" spans="17:17" x14ac:dyDescent="0.2">
      <c r="Q4409" s="95"/>
    </row>
    <row r="4410" spans="17:17" x14ac:dyDescent="0.2">
      <c r="Q4410" s="95"/>
    </row>
    <row r="4411" spans="17:17" x14ac:dyDescent="0.2">
      <c r="Q4411" s="95"/>
    </row>
    <row r="4412" spans="17:17" x14ac:dyDescent="0.2">
      <c r="Q4412" s="95"/>
    </row>
    <row r="4413" spans="17:17" x14ac:dyDescent="0.2">
      <c r="Q4413" s="95"/>
    </row>
    <row r="4414" spans="17:17" x14ac:dyDescent="0.2">
      <c r="Q4414" s="95"/>
    </row>
    <row r="4415" spans="17:17" x14ac:dyDescent="0.2">
      <c r="Q4415" s="95"/>
    </row>
    <row r="4416" spans="17:17" x14ac:dyDescent="0.2">
      <c r="Q4416" s="95"/>
    </row>
    <row r="4417" spans="17:17" x14ac:dyDescent="0.2">
      <c r="Q4417" s="95"/>
    </row>
    <row r="4418" spans="17:17" x14ac:dyDescent="0.2">
      <c r="Q4418" s="95"/>
    </row>
    <row r="4419" spans="17:17" x14ac:dyDescent="0.2">
      <c r="Q4419" s="95"/>
    </row>
    <row r="4420" spans="17:17" x14ac:dyDescent="0.2">
      <c r="Q4420" s="95"/>
    </row>
    <row r="4421" spans="17:17" x14ac:dyDescent="0.2">
      <c r="Q4421" s="95"/>
    </row>
    <row r="4422" spans="17:17" x14ac:dyDescent="0.2">
      <c r="Q4422" s="95"/>
    </row>
    <row r="4423" spans="17:17" x14ac:dyDescent="0.2">
      <c r="Q4423" s="95"/>
    </row>
    <row r="4424" spans="17:17" x14ac:dyDescent="0.2">
      <c r="Q4424" s="95"/>
    </row>
    <row r="4425" spans="17:17" x14ac:dyDescent="0.2">
      <c r="Q4425" s="95"/>
    </row>
    <row r="4426" spans="17:17" x14ac:dyDescent="0.2">
      <c r="Q4426" s="95"/>
    </row>
    <row r="4427" spans="17:17" x14ac:dyDescent="0.2">
      <c r="Q4427" s="95"/>
    </row>
    <row r="4428" spans="17:17" x14ac:dyDescent="0.2">
      <c r="Q4428" s="95"/>
    </row>
    <row r="4429" spans="17:17" x14ac:dyDescent="0.2">
      <c r="Q4429" s="95"/>
    </row>
    <row r="4430" spans="17:17" x14ac:dyDescent="0.2">
      <c r="Q4430" s="95"/>
    </row>
    <row r="4431" spans="17:17" x14ac:dyDescent="0.2">
      <c r="Q4431" s="95"/>
    </row>
    <row r="4432" spans="17:17" x14ac:dyDescent="0.2">
      <c r="Q4432" s="95"/>
    </row>
    <row r="4433" spans="17:17" x14ac:dyDescent="0.2">
      <c r="Q4433" s="95"/>
    </row>
    <row r="4434" spans="17:17" x14ac:dyDescent="0.2">
      <c r="Q4434" s="95"/>
    </row>
    <row r="4435" spans="17:17" x14ac:dyDescent="0.2">
      <c r="Q4435" s="95"/>
    </row>
    <row r="4436" spans="17:17" x14ac:dyDescent="0.2">
      <c r="Q4436" s="95"/>
    </row>
    <row r="4437" spans="17:17" x14ac:dyDescent="0.2">
      <c r="Q4437" s="95"/>
    </row>
    <row r="4438" spans="17:17" x14ac:dyDescent="0.2">
      <c r="Q4438" s="95"/>
    </row>
    <row r="4439" spans="17:17" x14ac:dyDescent="0.2">
      <c r="Q4439" s="95"/>
    </row>
    <row r="4440" spans="17:17" x14ac:dyDescent="0.2">
      <c r="Q4440" s="95"/>
    </row>
    <row r="4441" spans="17:17" x14ac:dyDescent="0.2">
      <c r="Q4441" s="95"/>
    </row>
    <row r="4442" spans="17:17" x14ac:dyDescent="0.2">
      <c r="Q4442" s="95"/>
    </row>
    <row r="4443" spans="17:17" x14ac:dyDescent="0.2">
      <c r="Q4443" s="95"/>
    </row>
    <row r="4444" spans="17:17" x14ac:dyDescent="0.2">
      <c r="Q4444" s="95"/>
    </row>
    <row r="4445" spans="17:17" x14ac:dyDescent="0.2">
      <c r="Q4445" s="95"/>
    </row>
    <row r="4446" spans="17:17" x14ac:dyDescent="0.2">
      <c r="Q4446" s="95"/>
    </row>
    <row r="4447" spans="17:17" x14ac:dyDescent="0.2">
      <c r="Q4447" s="95"/>
    </row>
    <row r="4448" spans="17:17" x14ac:dyDescent="0.2">
      <c r="Q4448" s="95"/>
    </row>
    <row r="4449" spans="17:17" x14ac:dyDescent="0.2">
      <c r="Q4449" s="95"/>
    </row>
    <row r="4450" spans="17:17" x14ac:dyDescent="0.2">
      <c r="Q4450" s="95"/>
    </row>
    <row r="4451" spans="17:17" x14ac:dyDescent="0.2">
      <c r="Q4451" s="95"/>
    </row>
    <row r="4452" spans="17:17" x14ac:dyDescent="0.2">
      <c r="Q4452" s="95"/>
    </row>
    <row r="4453" spans="17:17" x14ac:dyDescent="0.2">
      <c r="Q4453" s="95"/>
    </row>
    <row r="4454" spans="17:17" x14ac:dyDescent="0.2">
      <c r="Q4454" s="95"/>
    </row>
    <row r="4455" spans="17:17" x14ac:dyDescent="0.2">
      <c r="Q4455" s="95"/>
    </row>
    <row r="4456" spans="17:17" x14ac:dyDescent="0.2">
      <c r="Q4456" s="95"/>
    </row>
    <row r="4457" spans="17:17" x14ac:dyDescent="0.2">
      <c r="Q4457" s="95"/>
    </row>
    <row r="4458" spans="17:17" x14ac:dyDescent="0.2">
      <c r="Q4458" s="95"/>
    </row>
    <row r="4459" spans="17:17" x14ac:dyDescent="0.2">
      <c r="Q4459" s="95"/>
    </row>
    <row r="4460" spans="17:17" x14ac:dyDescent="0.2">
      <c r="Q4460" s="95"/>
    </row>
    <row r="4461" spans="17:17" x14ac:dyDescent="0.2">
      <c r="Q4461" s="95"/>
    </row>
    <row r="4462" spans="17:17" x14ac:dyDescent="0.2">
      <c r="Q4462" s="95"/>
    </row>
    <row r="4463" spans="17:17" x14ac:dyDescent="0.2">
      <c r="Q4463" s="95"/>
    </row>
    <row r="4464" spans="17:17" x14ac:dyDescent="0.2">
      <c r="Q4464" s="95"/>
    </row>
    <row r="4465" spans="17:17" x14ac:dyDescent="0.2">
      <c r="Q4465" s="95"/>
    </row>
    <row r="4466" spans="17:17" x14ac:dyDescent="0.2">
      <c r="Q4466" s="95"/>
    </row>
    <row r="4467" spans="17:17" x14ac:dyDescent="0.2">
      <c r="Q4467" s="95"/>
    </row>
    <row r="4468" spans="17:17" x14ac:dyDescent="0.2">
      <c r="Q4468" s="95"/>
    </row>
    <row r="4469" spans="17:17" x14ac:dyDescent="0.2">
      <c r="Q4469" s="95"/>
    </row>
    <row r="4470" spans="17:17" x14ac:dyDescent="0.2">
      <c r="Q4470" s="95"/>
    </row>
    <row r="4471" spans="17:17" x14ac:dyDescent="0.2">
      <c r="Q4471" s="95"/>
    </row>
    <row r="4472" spans="17:17" x14ac:dyDescent="0.2">
      <c r="Q4472" s="95"/>
    </row>
    <row r="4473" spans="17:17" x14ac:dyDescent="0.2">
      <c r="Q4473" s="95"/>
    </row>
    <row r="4474" spans="17:17" x14ac:dyDescent="0.2">
      <c r="Q4474" s="95"/>
    </row>
    <row r="4475" spans="17:17" x14ac:dyDescent="0.2">
      <c r="Q4475" s="95"/>
    </row>
    <row r="4476" spans="17:17" x14ac:dyDescent="0.2">
      <c r="Q4476" s="95"/>
    </row>
    <row r="4477" spans="17:17" x14ac:dyDescent="0.2">
      <c r="Q4477" s="95"/>
    </row>
    <row r="4478" spans="17:17" x14ac:dyDescent="0.2">
      <c r="Q4478" s="95"/>
    </row>
    <row r="4479" spans="17:17" x14ac:dyDescent="0.2">
      <c r="Q4479" s="95"/>
    </row>
    <row r="4480" spans="17:17" x14ac:dyDescent="0.2">
      <c r="Q4480" s="95"/>
    </row>
    <row r="4481" spans="17:17" x14ac:dyDescent="0.2">
      <c r="Q4481" s="95"/>
    </row>
    <row r="4482" spans="17:17" x14ac:dyDescent="0.2">
      <c r="Q4482" s="95"/>
    </row>
    <row r="4483" spans="17:17" x14ac:dyDescent="0.2">
      <c r="Q4483" s="95"/>
    </row>
    <row r="4484" spans="17:17" x14ac:dyDescent="0.2">
      <c r="Q4484" s="95"/>
    </row>
    <row r="4485" spans="17:17" x14ac:dyDescent="0.2">
      <c r="Q4485" s="95"/>
    </row>
    <row r="4486" spans="17:17" x14ac:dyDescent="0.2">
      <c r="Q4486" s="95"/>
    </row>
    <row r="4487" spans="17:17" x14ac:dyDescent="0.2">
      <c r="Q4487" s="95"/>
    </row>
    <row r="4488" spans="17:17" x14ac:dyDescent="0.2">
      <c r="Q4488" s="95"/>
    </row>
    <row r="4489" spans="17:17" x14ac:dyDescent="0.2">
      <c r="Q4489" s="95"/>
    </row>
    <row r="4490" spans="17:17" x14ac:dyDescent="0.2">
      <c r="Q4490" s="95"/>
    </row>
    <row r="4491" spans="17:17" x14ac:dyDescent="0.2">
      <c r="Q4491" s="95"/>
    </row>
    <row r="4492" spans="17:17" x14ac:dyDescent="0.2">
      <c r="Q4492" s="95"/>
    </row>
    <row r="4493" spans="17:17" x14ac:dyDescent="0.2">
      <c r="Q4493" s="95"/>
    </row>
    <row r="4494" spans="17:17" x14ac:dyDescent="0.2">
      <c r="Q4494" s="95"/>
    </row>
    <row r="4495" spans="17:17" x14ac:dyDescent="0.2">
      <c r="Q4495" s="95"/>
    </row>
    <row r="4496" spans="17:17" x14ac:dyDescent="0.2">
      <c r="Q4496" s="95"/>
    </row>
    <row r="4497" spans="17:17" x14ac:dyDescent="0.2">
      <c r="Q4497" s="95"/>
    </row>
    <row r="4498" spans="17:17" x14ac:dyDescent="0.2">
      <c r="Q4498" s="95"/>
    </row>
    <row r="4499" spans="17:17" x14ac:dyDescent="0.2">
      <c r="Q4499" s="95"/>
    </row>
    <row r="4500" spans="17:17" x14ac:dyDescent="0.2">
      <c r="Q4500" s="95"/>
    </row>
    <row r="4501" spans="17:17" x14ac:dyDescent="0.2">
      <c r="Q4501" s="95"/>
    </row>
    <row r="4502" spans="17:17" x14ac:dyDescent="0.2">
      <c r="Q4502" s="95"/>
    </row>
    <row r="4503" spans="17:17" x14ac:dyDescent="0.2">
      <c r="Q4503" s="95"/>
    </row>
    <row r="4504" spans="17:17" x14ac:dyDescent="0.2">
      <c r="Q4504" s="95"/>
    </row>
    <row r="4505" spans="17:17" x14ac:dyDescent="0.2">
      <c r="Q4505" s="95"/>
    </row>
    <row r="4506" spans="17:17" x14ac:dyDescent="0.2">
      <c r="Q4506" s="95"/>
    </row>
    <row r="4507" spans="17:17" x14ac:dyDescent="0.2">
      <c r="Q4507" s="95"/>
    </row>
    <row r="4508" spans="17:17" x14ac:dyDescent="0.2">
      <c r="Q4508" s="95"/>
    </row>
    <row r="4509" spans="17:17" x14ac:dyDescent="0.2">
      <c r="Q4509" s="95"/>
    </row>
    <row r="4510" spans="17:17" x14ac:dyDescent="0.2">
      <c r="Q4510" s="95"/>
    </row>
    <row r="4511" spans="17:17" x14ac:dyDescent="0.2">
      <c r="Q4511" s="95"/>
    </row>
    <row r="4512" spans="17:17" x14ac:dyDescent="0.2">
      <c r="Q4512" s="95"/>
    </row>
    <row r="4513" spans="17:17" x14ac:dyDescent="0.2">
      <c r="Q4513" s="95"/>
    </row>
    <row r="4514" spans="17:17" x14ac:dyDescent="0.2">
      <c r="Q4514" s="95"/>
    </row>
    <row r="4515" spans="17:17" x14ac:dyDescent="0.2">
      <c r="Q4515" s="95"/>
    </row>
    <row r="4516" spans="17:17" x14ac:dyDescent="0.2">
      <c r="Q4516" s="95"/>
    </row>
    <row r="4517" spans="17:17" x14ac:dyDescent="0.2">
      <c r="Q4517" s="95"/>
    </row>
    <row r="4518" spans="17:17" x14ac:dyDescent="0.2">
      <c r="Q4518" s="95"/>
    </row>
    <row r="4519" spans="17:17" x14ac:dyDescent="0.2">
      <c r="Q4519" s="95"/>
    </row>
    <row r="4520" spans="17:17" x14ac:dyDescent="0.2">
      <c r="Q4520" s="95"/>
    </row>
    <row r="4521" spans="17:17" x14ac:dyDescent="0.2">
      <c r="Q4521" s="95"/>
    </row>
    <row r="4522" spans="17:17" x14ac:dyDescent="0.2">
      <c r="Q4522" s="95"/>
    </row>
    <row r="4523" spans="17:17" x14ac:dyDescent="0.2">
      <c r="Q4523" s="95"/>
    </row>
    <row r="4524" spans="17:17" x14ac:dyDescent="0.2">
      <c r="Q4524" s="95"/>
    </row>
    <row r="4525" spans="17:17" x14ac:dyDescent="0.2">
      <c r="Q4525" s="95"/>
    </row>
    <row r="4526" spans="17:17" x14ac:dyDescent="0.2">
      <c r="Q4526" s="95"/>
    </row>
    <row r="4527" spans="17:17" x14ac:dyDescent="0.2">
      <c r="Q4527" s="95"/>
    </row>
    <row r="4528" spans="17:17" x14ac:dyDescent="0.2">
      <c r="Q4528" s="95"/>
    </row>
    <row r="4529" spans="17:17" x14ac:dyDescent="0.2">
      <c r="Q4529" s="95"/>
    </row>
    <row r="4530" spans="17:17" x14ac:dyDescent="0.2">
      <c r="Q4530" s="95"/>
    </row>
    <row r="4531" spans="17:17" x14ac:dyDescent="0.2">
      <c r="Q4531" s="95"/>
    </row>
    <row r="4532" spans="17:17" x14ac:dyDescent="0.2">
      <c r="Q4532" s="95"/>
    </row>
    <row r="4533" spans="17:17" x14ac:dyDescent="0.2">
      <c r="Q4533" s="95"/>
    </row>
    <row r="4534" spans="17:17" x14ac:dyDescent="0.2">
      <c r="Q4534" s="95"/>
    </row>
    <row r="4535" spans="17:17" x14ac:dyDescent="0.2">
      <c r="Q4535" s="95"/>
    </row>
    <row r="4536" spans="17:17" x14ac:dyDescent="0.2">
      <c r="Q4536" s="95"/>
    </row>
    <row r="4537" spans="17:17" x14ac:dyDescent="0.2">
      <c r="Q4537" s="95"/>
    </row>
    <row r="4538" spans="17:17" x14ac:dyDescent="0.2">
      <c r="Q4538" s="95"/>
    </row>
    <row r="4539" spans="17:17" x14ac:dyDescent="0.2">
      <c r="Q4539" s="95"/>
    </row>
    <row r="4540" spans="17:17" x14ac:dyDescent="0.2">
      <c r="Q4540" s="95"/>
    </row>
    <row r="4541" spans="17:17" x14ac:dyDescent="0.2">
      <c r="Q4541" s="95"/>
    </row>
    <row r="4542" spans="17:17" x14ac:dyDescent="0.2">
      <c r="Q4542" s="95"/>
    </row>
    <row r="4543" spans="17:17" x14ac:dyDescent="0.2">
      <c r="Q4543" s="95"/>
    </row>
    <row r="4544" spans="17:17" x14ac:dyDescent="0.2">
      <c r="Q4544" s="95"/>
    </row>
    <row r="4545" spans="17:17" x14ac:dyDescent="0.2">
      <c r="Q4545" s="95"/>
    </row>
    <row r="4546" spans="17:17" x14ac:dyDescent="0.2">
      <c r="Q4546" s="95"/>
    </row>
    <row r="4547" spans="17:17" x14ac:dyDescent="0.2">
      <c r="Q4547" s="95"/>
    </row>
    <row r="4548" spans="17:17" x14ac:dyDescent="0.2">
      <c r="Q4548" s="95"/>
    </row>
    <row r="4549" spans="17:17" x14ac:dyDescent="0.2">
      <c r="Q4549" s="95"/>
    </row>
    <row r="4550" spans="17:17" x14ac:dyDescent="0.2">
      <c r="Q4550" s="95"/>
    </row>
    <row r="4551" spans="17:17" x14ac:dyDescent="0.2">
      <c r="Q4551" s="95"/>
    </row>
    <row r="4552" spans="17:17" x14ac:dyDescent="0.2">
      <c r="Q4552" s="95"/>
    </row>
    <row r="4553" spans="17:17" x14ac:dyDescent="0.2">
      <c r="Q4553" s="95"/>
    </row>
    <row r="4554" spans="17:17" x14ac:dyDescent="0.2">
      <c r="Q4554" s="95"/>
    </row>
    <row r="4555" spans="17:17" x14ac:dyDescent="0.2">
      <c r="Q4555" s="95"/>
    </row>
    <row r="4556" spans="17:17" x14ac:dyDescent="0.2">
      <c r="Q4556" s="95"/>
    </row>
    <row r="4557" spans="17:17" x14ac:dyDescent="0.2">
      <c r="Q4557" s="95"/>
    </row>
    <row r="4558" spans="17:17" x14ac:dyDescent="0.2">
      <c r="Q4558" s="95"/>
    </row>
    <row r="4559" spans="17:17" x14ac:dyDescent="0.2">
      <c r="Q4559" s="95"/>
    </row>
    <row r="4560" spans="17:17" x14ac:dyDescent="0.2">
      <c r="Q4560" s="95"/>
    </row>
    <row r="4561" spans="17:17" x14ac:dyDescent="0.2">
      <c r="Q4561" s="95"/>
    </row>
    <row r="4562" spans="17:17" x14ac:dyDescent="0.2">
      <c r="Q4562" s="95"/>
    </row>
    <row r="4563" spans="17:17" x14ac:dyDescent="0.2">
      <c r="Q4563" s="95"/>
    </row>
    <row r="4564" spans="17:17" x14ac:dyDescent="0.2">
      <c r="Q4564" s="95"/>
    </row>
    <row r="4565" spans="17:17" x14ac:dyDescent="0.2">
      <c r="Q4565" s="95"/>
    </row>
    <row r="4566" spans="17:17" x14ac:dyDescent="0.2">
      <c r="Q4566" s="95"/>
    </row>
    <row r="4567" spans="17:17" x14ac:dyDescent="0.2">
      <c r="Q4567" s="95"/>
    </row>
    <row r="4568" spans="17:17" x14ac:dyDescent="0.2">
      <c r="Q4568" s="95"/>
    </row>
    <row r="4569" spans="17:17" x14ac:dyDescent="0.2">
      <c r="Q4569" s="95"/>
    </row>
    <row r="4570" spans="17:17" x14ac:dyDescent="0.2">
      <c r="Q4570" s="95"/>
    </row>
    <row r="4571" spans="17:17" x14ac:dyDescent="0.2">
      <c r="Q4571" s="95"/>
    </row>
    <row r="4572" spans="17:17" x14ac:dyDescent="0.2">
      <c r="Q4572" s="95"/>
    </row>
    <row r="4573" spans="17:17" x14ac:dyDescent="0.2">
      <c r="Q4573" s="95"/>
    </row>
    <row r="4574" spans="17:17" x14ac:dyDescent="0.2">
      <c r="Q4574" s="95"/>
    </row>
    <row r="4575" spans="17:17" x14ac:dyDescent="0.2">
      <c r="Q4575" s="95"/>
    </row>
    <row r="4576" spans="17:17" x14ac:dyDescent="0.2">
      <c r="Q4576" s="95"/>
    </row>
    <row r="4577" spans="17:17" x14ac:dyDescent="0.2">
      <c r="Q4577" s="95"/>
    </row>
    <row r="4578" spans="17:17" x14ac:dyDescent="0.2">
      <c r="Q4578" s="95"/>
    </row>
    <row r="4579" spans="17:17" x14ac:dyDescent="0.2">
      <c r="Q4579" s="95"/>
    </row>
    <row r="4580" spans="17:17" x14ac:dyDescent="0.2">
      <c r="Q4580" s="95"/>
    </row>
    <row r="4581" spans="17:17" x14ac:dyDescent="0.2">
      <c r="Q4581" s="95"/>
    </row>
    <row r="4582" spans="17:17" x14ac:dyDescent="0.2">
      <c r="Q4582" s="95"/>
    </row>
    <row r="4583" spans="17:17" x14ac:dyDescent="0.2">
      <c r="Q4583" s="95"/>
    </row>
    <row r="4584" spans="17:17" x14ac:dyDescent="0.2">
      <c r="Q4584" s="95"/>
    </row>
    <row r="4585" spans="17:17" x14ac:dyDescent="0.2">
      <c r="Q4585" s="95"/>
    </row>
    <row r="4586" spans="17:17" x14ac:dyDescent="0.2">
      <c r="Q4586" s="95"/>
    </row>
    <row r="4587" spans="17:17" x14ac:dyDescent="0.2">
      <c r="Q4587" s="95"/>
    </row>
    <row r="4588" spans="17:17" x14ac:dyDescent="0.2">
      <c r="Q4588" s="95"/>
    </row>
    <row r="4589" spans="17:17" x14ac:dyDescent="0.2">
      <c r="Q4589" s="95"/>
    </row>
    <row r="4590" spans="17:17" x14ac:dyDescent="0.2">
      <c r="Q4590" s="95"/>
    </row>
    <row r="4591" spans="17:17" x14ac:dyDescent="0.2">
      <c r="Q4591" s="95"/>
    </row>
    <row r="4592" spans="17:17" x14ac:dyDescent="0.2">
      <c r="Q4592" s="95"/>
    </row>
    <row r="4593" spans="17:17" x14ac:dyDescent="0.2">
      <c r="Q4593" s="95"/>
    </row>
    <row r="4594" spans="17:17" x14ac:dyDescent="0.2">
      <c r="Q4594" s="95"/>
    </row>
    <row r="4595" spans="17:17" x14ac:dyDescent="0.2">
      <c r="Q4595" s="95"/>
    </row>
    <row r="4596" spans="17:17" x14ac:dyDescent="0.2">
      <c r="Q4596" s="95"/>
    </row>
    <row r="4597" spans="17:17" x14ac:dyDescent="0.2">
      <c r="Q4597" s="95"/>
    </row>
    <row r="4598" spans="17:17" x14ac:dyDescent="0.2">
      <c r="Q4598" s="95"/>
    </row>
    <row r="4599" spans="17:17" x14ac:dyDescent="0.2">
      <c r="Q4599" s="95"/>
    </row>
    <row r="4600" spans="17:17" x14ac:dyDescent="0.2">
      <c r="Q4600" s="95"/>
    </row>
    <row r="4601" spans="17:17" x14ac:dyDescent="0.2">
      <c r="Q4601" s="95"/>
    </row>
    <row r="4602" spans="17:17" x14ac:dyDescent="0.2">
      <c r="Q4602" s="95"/>
    </row>
    <row r="4603" spans="17:17" x14ac:dyDescent="0.2">
      <c r="Q4603" s="95"/>
    </row>
    <row r="4604" spans="17:17" x14ac:dyDescent="0.2">
      <c r="Q4604" s="95"/>
    </row>
    <row r="4605" spans="17:17" x14ac:dyDescent="0.2">
      <c r="Q4605" s="95"/>
    </row>
    <row r="4606" spans="17:17" x14ac:dyDescent="0.2">
      <c r="Q4606" s="95"/>
    </row>
    <row r="4607" spans="17:17" x14ac:dyDescent="0.2">
      <c r="Q4607" s="95"/>
    </row>
    <row r="4608" spans="17:17" x14ac:dyDescent="0.2">
      <c r="Q4608" s="95"/>
    </row>
    <row r="4609" spans="17:17" x14ac:dyDescent="0.2">
      <c r="Q4609" s="95"/>
    </row>
    <row r="4610" spans="17:17" x14ac:dyDescent="0.2">
      <c r="Q4610" s="95"/>
    </row>
    <row r="4611" spans="17:17" x14ac:dyDescent="0.2">
      <c r="Q4611" s="95"/>
    </row>
    <row r="4612" spans="17:17" x14ac:dyDescent="0.2">
      <c r="Q4612" s="95"/>
    </row>
    <row r="4613" spans="17:17" x14ac:dyDescent="0.2">
      <c r="Q4613" s="95"/>
    </row>
    <row r="4614" spans="17:17" x14ac:dyDescent="0.2">
      <c r="Q4614" s="95"/>
    </row>
    <row r="4615" spans="17:17" x14ac:dyDescent="0.2">
      <c r="Q4615" s="95"/>
    </row>
    <row r="4616" spans="17:17" x14ac:dyDescent="0.2">
      <c r="Q4616" s="95"/>
    </row>
    <row r="4617" spans="17:17" x14ac:dyDescent="0.2">
      <c r="Q4617" s="95"/>
    </row>
    <row r="4618" spans="17:17" x14ac:dyDescent="0.2">
      <c r="Q4618" s="95"/>
    </row>
    <row r="4619" spans="17:17" x14ac:dyDescent="0.2">
      <c r="Q4619" s="95"/>
    </row>
    <row r="4620" spans="17:17" x14ac:dyDescent="0.2">
      <c r="Q4620" s="95"/>
    </row>
    <row r="4621" spans="17:17" x14ac:dyDescent="0.2">
      <c r="Q4621" s="95"/>
    </row>
    <row r="4622" spans="17:17" x14ac:dyDescent="0.2">
      <c r="Q4622" s="95"/>
    </row>
    <row r="4623" spans="17:17" x14ac:dyDescent="0.2">
      <c r="Q4623" s="95"/>
    </row>
    <row r="4624" spans="17:17" x14ac:dyDescent="0.2">
      <c r="Q4624" s="95"/>
    </row>
    <row r="4625" spans="17:17" x14ac:dyDescent="0.2">
      <c r="Q4625" s="95"/>
    </row>
    <row r="4626" spans="17:17" x14ac:dyDescent="0.2">
      <c r="Q4626" s="95"/>
    </row>
    <row r="4627" spans="17:17" x14ac:dyDescent="0.2">
      <c r="Q4627" s="95"/>
    </row>
    <row r="4628" spans="17:17" x14ac:dyDescent="0.2">
      <c r="Q4628" s="95"/>
    </row>
    <row r="4629" spans="17:17" x14ac:dyDescent="0.2">
      <c r="Q4629" s="95"/>
    </row>
    <row r="4630" spans="17:17" x14ac:dyDescent="0.2">
      <c r="Q4630" s="95"/>
    </row>
    <row r="4631" spans="17:17" x14ac:dyDescent="0.2">
      <c r="Q4631" s="95"/>
    </row>
    <row r="4632" spans="17:17" x14ac:dyDescent="0.2">
      <c r="Q4632" s="95"/>
    </row>
    <row r="4633" spans="17:17" x14ac:dyDescent="0.2">
      <c r="Q4633" s="95"/>
    </row>
    <row r="4634" spans="17:17" x14ac:dyDescent="0.2">
      <c r="Q4634" s="95"/>
    </row>
    <row r="4635" spans="17:17" x14ac:dyDescent="0.2">
      <c r="Q4635" s="95"/>
    </row>
    <row r="4636" spans="17:17" x14ac:dyDescent="0.2">
      <c r="Q4636" s="95"/>
    </row>
    <row r="4637" spans="17:17" x14ac:dyDescent="0.2">
      <c r="Q4637" s="95"/>
    </row>
    <row r="4638" spans="17:17" x14ac:dyDescent="0.2">
      <c r="Q4638" s="95"/>
    </row>
    <row r="4639" spans="17:17" x14ac:dyDescent="0.2">
      <c r="Q4639" s="95"/>
    </row>
    <row r="4640" spans="17:17" x14ac:dyDescent="0.2">
      <c r="Q4640" s="95"/>
    </row>
    <row r="4641" spans="17:17" x14ac:dyDescent="0.2">
      <c r="Q4641" s="95"/>
    </row>
    <row r="4642" spans="17:17" x14ac:dyDescent="0.2">
      <c r="Q4642" s="95"/>
    </row>
    <row r="4643" spans="17:17" x14ac:dyDescent="0.2">
      <c r="Q4643" s="95"/>
    </row>
    <row r="4644" spans="17:17" x14ac:dyDescent="0.2">
      <c r="Q4644" s="95"/>
    </row>
    <row r="4645" spans="17:17" x14ac:dyDescent="0.2">
      <c r="Q4645" s="95"/>
    </row>
    <row r="4646" spans="17:17" x14ac:dyDescent="0.2">
      <c r="Q4646" s="95"/>
    </row>
    <row r="4647" spans="17:17" x14ac:dyDescent="0.2">
      <c r="Q4647" s="95"/>
    </row>
    <row r="4648" spans="17:17" x14ac:dyDescent="0.2">
      <c r="Q4648" s="95"/>
    </row>
    <row r="4649" spans="17:17" x14ac:dyDescent="0.2">
      <c r="Q4649" s="95"/>
    </row>
    <row r="4650" spans="17:17" x14ac:dyDescent="0.2">
      <c r="Q4650" s="95"/>
    </row>
    <row r="4651" spans="17:17" x14ac:dyDescent="0.2">
      <c r="Q4651" s="95"/>
    </row>
    <row r="4652" spans="17:17" x14ac:dyDescent="0.2">
      <c r="Q4652" s="95"/>
    </row>
    <row r="4653" spans="17:17" x14ac:dyDescent="0.2">
      <c r="Q4653" s="95"/>
    </row>
    <row r="4654" spans="17:17" x14ac:dyDescent="0.2">
      <c r="Q4654" s="95"/>
    </row>
    <row r="4655" spans="17:17" x14ac:dyDescent="0.2">
      <c r="Q4655" s="95"/>
    </row>
    <row r="4656" spans="17:17" x14ac:dyDescent="0.2">
      <c r="Q4656" s="95"/>
    </row>
    <row r="4657" spans="17:17" x14ac:dyDescent="0.2">
      <c r="Q4657" s="95"/>
    </row>
    <row r="4658" spans="17:17" x14ac:dyDescent="0.2">
      <c r="Q4658" s="95"/>
    </row>
    <row r="4659" spans="17:17" x14ac:dyDescent="0.2">
      <c r="Q4659" s="95"/>
    </row>
    <row r="4660" spans="17:17" x14ac:dyDescent="0.2">
      <c r="Q4660" s="95"/>
    </row>
    <row r="4661" spans="17:17" x14ac:dyDescent="0.2">
      <c r="Q4661" s="95"/>
    </row>
    <row r="4662" spans="17:17" x14ac:dyDescent="0.2">
      <c r="Q4662" s="95"/>
    </row>
    <row r="4663" spans="17:17" x14ac:dyDescent="0.2">
      <c r="Q4663" s="95"/>
    </row>
    <row r="4664" spans="17:17" x14ac:dyDescent="0.2">
      <c r="Q4664" s="95"/>
    </row>
    <row r="4665" spans="17:17" x14ac:dyDescent="0.2">
      <c r="Q4665" s="95"/>
    </row>
    <row r="4666" spans="17:17" x14ac:dyDescent="0.2">
      <c r="Q4666" s="95"/>
    </row>
    <row r="4667" spans="17:17" x14ac:dyDescent="0.2">
      <c r="Q4667" s="95"/>
    </row>
    <row r="4668" spans="17:17" x14ac:dyDescent="0.2">
      <c r="Q4668" s="95"/>
    </row>
    <row r="4669" spans="17:17" x14ac:dyDescent="0.2">
      <c r="Q4669" s="95"/>
    </row>
    <row r="4670" spans="17:17" x14ac:dyDescent="0.2">
      <c r="Q4670" s="95"/>
    </row>
    <row r="4671" spans="17:17" x14ac:dyDescent="0.2">
      <c r="Q4671" s="95"/>
    </row>
    <row r="4672" spans="17:17" x14ac:dyDescent="0.2">
      <c r="Q4672" s="95"/>
    </row>
    <row r="4673" spans="17:17" x14ac:dyDescent="0.2">
      <c r="Q4673" s="95"/>
    </row>
    <row r="4674" spans="17:17" x14ac:dyDescent="0.2">
      <c r="Q4674" s="95"/>
    </row>
    <row r="4675" spans="17:17" x14ac:dyDescent="0.2">
      <c r="Q4675" s="95"/>
    </row>
    <row r="4676" spans="17:17" x14ac:dyDescent="0.2">
      <c r="Q4676" s="95"/>
    </row>
    <row r="4677" spans="17:17" x14ac:dyDescent="0.2">
      <c r="Q4677" s="95"/>
    </row>
    <row r="4678" spans="17:17" x14ac:dyDescent="0.2">
      <c r="Q4678" s="95"/>
    </row>
    <row r="4679" spans="17:17" x14ac:dyDescent="0.2">
      <c r="Q4679" s="95"/>
    </row>
    <row r="4680" spans="17:17" x14ac:dyDescent="0.2">
      <c r="Q4680" s="95"/>
    </row>
    <row r="4681" spans="17:17" x14ac:dyDescent="0.2">
      <c r="Q4681" s="95"/>
    </row>
    <row r="4682" spans="17:17" x14ac:dyDescent="0.2">
      <c r="Q4682" s="95"/>
    </row>
    <row r="4683" spans="17:17" x14ac:dyDescent="0.2">
      <c r="Q4683" s="95"/>
    </row>
    <row r="4684" spans="17:17" x14ac:dyDescent="0.2">
      <c r="Q4684" s="95"/>
    </row>
    <row r="4685" spans="17:17" x14ac:dyDescent="0.2">
      <c r="Q4685" s="95"/>
    </row>
    <row r="4686" spans="17:17" x14ac:dyDescent="0.2">
      <c r="Q4686" s="95"/>
    </row>
    <row r="4687" spans="17:17" x14ac:dyDescent="0.2">
      <c r="Q4687" s="95"/>
    </row>
    <row r="4688" spans="17:17" x14ac:dyDescent="0.2">
      <c r="Q4688" s="95"/>
    </row>
    <row r="4689" spans="17:17" x14ac:dyDescent="0.2">
      <c r="Q4689" s="95"/>
    </row>
    <row r="4690" spans="17:17" x14ac:dyDescent="0.2">
      <c r="Q4690" s="95"/>
    </row>
    <row r="4691" spans="17:17" x14ac:dyDescent="0.2">
      <c r="Q4691" s="95"/>
    </row>
    <row r="4692" spans="17:17" x14ac:dyDescent="0.2">
      <c r="Q4692" s="95"/>
    </row>
    <row r="4693" spans="17:17" x14ac:dyDescent="0.2">
      <c r="Q4693" s="95"/>
    </row>
    <row r="4694" spans="17:17" x14ac:dyDescent="0.2">
      <c r="Q4694" s="95"/>
    </row>
    <row r="4695" spans="17:17" x14ac:dyDescent="0.2">
      <c r="Q4695" s="95"/>
    </row>
    <row r="4696" spans="17:17" x14ac:dyDescent="0.2">
      <c r="Q4696" s="95"/>
    </row>
    <row r="4697" spans="17:17" x14ac:dyDescent="0.2">
      <c r="Q4697" s="95"/>
    </row>
    <row r="4698" spans="17:17" x14ac:dyDescent="0.2">
      <c r="Q4698" s="95"/>
    </row>
    <row r="4699" spans="17:17" x14ac:dyDescent="0.2">
      <c r="Q4699" s="95"/>
    </row>
    <row r="4700" spans="17:17" x14ac:dyDescent="0.2">
      <c r="Q4700" s="95"/>
    </row>
    <row r="4701" spans="17:17" x14ac:dyDescent="0.2">
      <c r="Q4701" s="95"/>
    </row>
    <row r="4702" spans="17:17" x14ac:dyDescent="0.2">
      <c r="Q4702" s="95"/>
    </row>
    <row r="4703" spans="17:17" x14ac:dyDescent="0.2">
      <c r="Q4703" s="95"/>
    </row>
    <row r="4704" spans="17:17" x14ac:dyDescent="0.2">
      <c r="Q4704" s="95"/>
    </row>
    <row r="4705" spans="17:17" x14ac:dyDescent="0.2">
      <c r="Q4705" s="95"/>
    </row>
    <row r="4706" spans="17:17" x14ac:dyDescent="0.2">
      <c r="Q4706" s="95"/>
    </row>
    <row r="4707" spans="17:17" x14ac:dyDescent="0.2">
      <c r="Q4707" s="95"/>
    </row>
    <row r="4708" spans="17:17" x14ac:dyDescent="0.2">
      <c r="Q4708" s="95"/>
    </row>
    <row r="4709" spans="17:17" x14ac:dyDescent="0.2">
      <c r="Q4709" s="95"/>
    </row>
    <row r="4710" spans="17:17" x14ac:dyDescent="0.2">
      <c r="Q4710" s="95"/>
    </row>
    <row r="4711" spans="17:17" x14ac:dyDescent="0.2">
      <c r="Q4711" s="95"/>
    </row>
    <row r="4712" spans="17:17" x14ac:dyDescent="0.2">
      <c r="Q4712" s="95"/>
    </row>
    <row r="4713" spans="17:17" x14ac:dyDescent="0.2">
      <c r="Q4713" s="95"/>
    </row>
    <row r="4714" spans="17:17" x14ac:dyDescent="0.2">
      <c r="Q4714" s="95"/>
    </row>
    <row r="4715" spans="17:17" x14ac:dyDescent="0.2">
      <c r="Q4715" s="95"/>
    </row>
    <row r="4716" spans="17:17" x14ac:dyDescent="0.2">
      <c r="Q4716" s="95"/>
    </row>
    <row r="4717" spans="17:17" x14ac:dyDescent="0.2">
      <c r="Q4717" s="95"/>
    </row>
    <row r="4718" spans="17:17" x14ac:dyDescent="0.2">
      <c r="Q4718" s="95"/>
    </row>
    <row r="4719" spans="17:17" x14ac:dyDescent="0.2">
      <c r="Q4719" s="95"/>
    </row>
    <row r="4720" spans="17:17" x14ac:dyDescent="0.2">
      <c r="Q4720" s="95"/>
    </row>
    <row r="4721" spans="17:17" x14ac:dyDescent="0.2">
      <c r="Q4721" s="95"/>
    </row>
    <row r="4722" spans="17:17" x14ac:dyDescent="0.2">
      <c r="Q4722" s="95"/>
    </row>
    <row r="4723" spans="17:17" x14ac:dyDescent="0.2">
      <c r="Q4723" s="95"/>
    </row>
    <row r="4724" spans="17:17" x14ac:dyDescent="0.2">
      <c r="Q4724" s="95"/>
    </row>
    <row r="4725" spans="17:17" x14ac:dyDescent="0.2">
      <c r="Q4725" s="95"/>
    </row>
    <row r="4726" spans="17:17" x14ac:dyDescent="0.2">
      <c r="Q4726" s="95"/>
    </row>
    <row r="4727" spans="17:17" x14ac:dyDescent="0.2">
      <c r="Q4727" s="95"/>
    </row>
    <row r="4728" spans="17:17" x14ac:dyDescent="0.2">
      <c r="Q4728" s="95"/>
    </row>
    <row r="4729" spans="17:17" x14ac:dyDescent="0.2">
      <c r="Q4729" s="95"/>
    </row>
    <row r="4730" spans="17:17" x14ac:dyDescent="0.2">
      <c r="Q4730" s="95"/>
    </row>
    <row r="4731" spans="17:17" x14ac:dyDescent="0.2">
      <c r="Q4731" s="95"/>
    </row>
    <row r="4732" spans="17:17" x14ac:dyDescent="0.2">
      <c r="Q4732" s="95"/>
    </row>
    <row r="4733" spans="17:17" x14ac:dyDescent="0.2">
      <c r="Q4733" s="95"/>
    </row>
    <row r="4734" spans="17:17" x14ac:dyDescent="0.2">
      <c r="Q4734" s="95"/>
    </row>
    <row r="4735" spans="17:17" x14ac:dyDescent="0.2">
      <c r="Q4735" s="95"/>
    </row>
    <row r="4736" spans="17:17" x14ac:dyDescent="0.2">
      <c r="Q4736" s="95"/>
    </row>
    <row r="4737" spans="17:17" x14ac:dyDescent="0.2">
      <c r="Q4737" s="95"/>
    </row>
    <row r="4738" spans="17:17" x14ac:dyDescent="0.2">
      <c r="Q4738" s="95"/>
    </row>
    <row r="4739" spans="17:17" x14ac:dyDescent="0.2">
      <c r="Q4739" s="95"/>
    </row>
    <row r="4740" spans="17:17" x14ac:dyDescent="0.2">
      <c r="Q4740" s="95"/>
    </row>
    <row r="4741" spans="17:17" x14ac:dyDescent="0.2">
      <c r="Q4741" s="95"/>
    </row>
    <row r="4742" spans="17:17" x14ac:dyDescent="0.2">
      <c r="Q4742" s="95"/>
    </row>
    <row r="4743" spans="17:17" x14ac:dyDescent="0.2">
      <c r="Q4743" s="95"/>
    </row>
    <row r="4744" spans="17:17" x14ac:dyDescent="0.2">
      <c r="Q4744" s="95"/>
    </row>
    <row r="4745" spans="17:17" x14ac:dyDescent="0.2">
      <c r="Q4745" s="95"/>
    </row>
    <row r="4746" spans="17:17" x14ac:dyDescent="0.2">
      <c r="Q4746" s="95"/>
    </row>
    <row r="4747" spans="17:17" x14ac:dyDescent="0.2">
      <c r="Q4747" s="95"/>
    </row>
    <row r="4748" spans="17:17" x14ac:dyDescent="0.2">
      <c r="Q4748" s="95"/>
    </row>
    <row r="4749" spans="17:17" x14ac:dyDescent="0.2">
      <c r="Q4749" s="95"/>
    </row>
    <row r="4750" spans="17:17" x14ac:dyDescent="0.2">
      <c r="Q4750" s="95"/>
    </row>
    <row r="4751" spans="17:17" x14ac:dyDescent="0.2">
      <c r="Q4751" s="95"/>
    </row>
    <row r="4752" spans="17:17" x14ac:dyDescent="0.2">
      <c r="Q4752" s="95"/>
    </row>
    <row r="4753" spans="17:17" x14ac:dyDescent="0.2">
      <c r="Q4753" s="95"/>
    </row>
    <row r="4754" spans="17:17" x14ac:dyDescent="0.2">
      <c r="Q4754" s="95"/>
    </row>
    <row r="4755" spans="17:17" x14ac:dyDescent="0.2">
      <c r="Q4755" s="95"/>
    </row>
    <row r="4756" spans="17:17" x14ac:dyDescent="0.2">
      <c r="Q4756" s="95"/>
    </row>
    <row r="4757" spans="17:17" x14ac:dyDescent="0.2">
      <c r="Q4757" s="95"/>
    </row>
    <row r="4758" spans="17:17" x14ac:dyDescent="0.2">
      <c r="Q4758" s="95"/>
    </row>
    <row r="4759" spans="17:17" x14ac:dyDescent="0.2">
      <c r="Q4759" s="95"/>
    </row>
    <row r="4760" spans="17:17" x14ac:dyDescent="0.2">
      <c r="Q4760" s="95"/>
    </row>
    <row r="4761" spans="17:17" x14ac:dyDescent="0.2">
      <c r="Q4761" s="95"/>
    </row>
    <row r="4762" spans="17:17" x14ac:dyDescent="0.2">
      <c r="Q4762" s="95"/>
    </row>
    <row r="4763" spans="17:17" x14ac:dyDescent="0.2">
      <c r="Q4763" s="95"/>
    </row>
    <row r="4764" spans="17:17" x14ac:dyDescent="0.2">
      <c r="Q4764" s="95"/>
    </row>
    <row r="4765" spans="17:17" x14ac:dyDescent="0.2">
      <c r="Q4765" s="95"/>
    </row>
    <row r="4766" spans="17:17" x14ac:dyDescent="0.2">
      <c r="Q4766" s="95"/>
    </row>
    <row r="4767" spans="17:17" x14ac:dyDescent="0.2">
      <c r="Q4767" s="95"/>
    </row>
    <row r="4768" spans="17:17" x14ac:dyDescent="0.2">
      <c r="Q4768" s="95"/>
    </row>
    <row r="4769" spans="17:17" x14ac:dyDescent="0.2">
      <c r="Q4769" s="95"/>
    </row>
    <row r="4770" spans="17:17" x14ac:dyDescent="0.2">
      <c r="Q4770" s="95"/>
    </row>
    <row r="4771" spans="17:17" x14ac:dyDescent="0.2">
      <c r="Q4771" s="95"/>
    </row>
    <row r="4772" spans="17:17" x14ac:dyDescent="0.2">
      <c r="Q4772" s="95"/>
    </row>
    <row r="4773" spans="17:17" x14ac:dyDescent="0.2">
      <c r="Q4773" s="95"/>
    </row>
    <row r="4774" spans="17:17" x14ac:dyDescent="0.2">
      <c r="Q4774" s="95"/>
    </row>
    <row r="4775" spans="17:17" x14ac:dyDescent="0.2">
      <c r="Q4775" s="95"/>
    </row>
    <row r="4776" spans="17:17" x14ac:dyDescent="0.2">
      <c r="Q4776" s="95"/>
    </row>
    <row r="4777" spans="17:17" x14ac:dyDescent="0.2">
      <c r="Q4777" s="95"/>
    </row>
    <row r="4778" spans="17:17" x14ac:dyDescent="0.2">
      <c r="Q4778" s="95"/>
    </row>
    <row r="4779" spans="17:17" x14ac:dyDescent="0.2">
      <c r="Q4779" s="95"/>
    </row>
    <row r="4780" spans="17:17" x14ac:dyDescent="0.2">
      <c r="Q4780" s="95"/>
    </row>
    <row r="4781" spans="17:17" x14ac:dyDescent="0.2">
      <c r="Q4781" s="95"/>
    </row>
    <row r="4782" spans="17:17" x14ac:dyDescent="0.2">
      <c r="Q4782" s="95"/>
    </row>
    <row r="4783" spans="17:17" x14ac:dyDescent="0.2">
      <c r="Q4783" s="95"/>
    </row>
    <row r="4784" spans="17:17" x14ac:dyDescent="0.2">
      <c r="Q4784" s="95"/>
    </row>
    <row r="4785" spans="17:17" x14ac:dyDescent="0.2">
      <c r="Q4785" s="95"/>
    </row>
    <row r="4786" spans="17:17" x14ac:dyDescent="0.2">
      <c r="Q4786" s="95"/>
    </row>
    <row r="4787" spans="17:17" x14ac:dyDescent="0.2">
      <c r="Q4787" s="95"/>
    </row>
    <row r="4788" spans="17:17" x14ac:dyDescent="0.2">
      <c r="Q4788" s="95"/>
    </row>
    <row r="4789" spans="17:17" x14ac:dyDescent="0.2">
      <c r="Q4789" s="95"/>
    </row>
    <row r="4790" spans="17:17" x14ac:dyDescent="0.2">
      <c r="Q4790" s="95"/>
    </row>
    <row r="4791" spans="17:17" x14ac:dyDescent="0.2">
      <c r="Q4791" s="95"/>
    </row>
    <row r="4792" spans="17:17" x14ac:dyDescent="0.2">
      <c r="Q4792" s="95"/>
    </row>
    <row r="4793" spans="17:17" x14ac:dyDescent="0.2">
      <c r="Q4793" s="95"/>
    </row>
    <row r="4794" spans="17:17" x14ac:dyDescent="0.2">
      <c r="Q4794" s="95"/>
    </row>
    <row r="4795" spans="17:17" x14ac:dyDescent="0.2">
      <c r="Q4795" s="95"/>
    </row>
    <row r="4796" spans="17:17" x14ac:dyDescent="0.2">
      <c r="Q4796" s="95"/>
    </row>
    <row r="4797" spans="17:17" x14ac:dyDescent="0.2">
      <c r="Q4797" s="95"/>
    </row>
    <row r="4798" spans="17:17" x14ac:dyDescent="0.2">
      <c r="Q4798" s="95"/>
    </row>
    <row r="4799" spans="17:17" x14ac:dyDescent="0.2">
      <c r="Q4799" s="95"/>
    </row>
    <row r="4800" spans="17:17" x14ac:dyDescent="0.2">
      <c r="Q4800" s="95"/>
    </row>
    <row r="4801" spans="17:17" x14ac:dyDescent="0.2">
      <c r="Q4801" s="95"/>
    </row>
    <row r="4802" spans="17:17" x14ac:dyDescent="0.2">
      <c r="Q4802" s="95"/>
    </row>
    <row r="4803" spans="17:17" x14ac:dyDescent="0.2">
      <c r="Q4803" s="95"/>
    </row>
    <row r="4804" spans="17:17" x14ac:dyDescent="0.2">
      <c r="Q4804" s="95"/>
    </row>
    <row r="4805" spans="17:17" x14ac:dyDescent="0.2">
      <c r="Q4805" s="95"/>
    </row>
    <row r="4806" spans="17:17" x14ac:dyDescent="0.2">
      <c r="Q4806" s="95"/>
    </row>
    <row r="4807" spans="17:17" x14ac:dyDescent="0.2">
      <c r="Q4807" s="95"/>
    </row>
    <row r="4808" spans="17:17" x14ac:dyDescent="0.2">
      <c r="Q4808" s="95"/>
    </row>
    <row r="4809" spans="17:17" x14ac:dyDescent="0.2">
      <c r="Q4809" s="95"/>
    </row>
    <row r="4810" spans="17:17" x14ac:dyDescent="0.2">
      <c r="Q4810" s="95"/>
    </row>
    <row r="4811" spans="17:17" x14ac:dyDescent="0.2">
      <c r="Q4811" s="95"/>
    </row>
    <row r="4812" spans="17:17" x14ac:dyDescent="0.2">
      <c r="Q4812" s="95"/>
    </row>
    <row r="4813" spans="17:17" x14ac:dyDescent="0.2">
      <c r="Q4813" s="95"/>
    </row>
    <row r="4814" spans="17:17" x14ac:dyDescent="0.2">
      <c r="Q4814" s="95"/>
    </row>
    <row r="4815" spans="17:17" x14ac:dyDescent="0.2">
      <c r="Q4815" s="95"/>
    </row>
    <row r="4816" spans="17:17" x14ac:dyDescent="0.2">
      <c r="Q4816" s="95"/>
    </row>
    <row r="4817" spans="17:17" x14ac:dyDescent="0.2">
      <c r="Q4817" s="95"/>
    </row>
    <row r="4818" spans="17:17" x14ac:dyDescent="0.2">
      <c r="Q4818" s="95"/>
    </row>
    <row r="4819" spans="17:17" x14ac:dyDescent="0.2">
      <c r="Q4819" s="95"/>
    </row>
    <row r="4820" spans="17:17" x14ac:dyDescent="0.2">
      <c r="Q4820" s="95"/>
    </row>
    <row r="4821" spans="17:17" x14ac:dyDescent="0.2">
      <c r="Q4821" s="95"/>
    </row>
    <row r="4822" spans="17:17" x14ac:dyDescent="0.2">
      <c r="Q4822" s="95"/>
    </row>
    <row r="4823" spans="17:17" x14ac:dyDescent="0.2">
      <c r="Q4823" s="95"/>
    </row>
    <row r="4824" spans="17:17" x14ac:dyDescent="0.2">
      <c r="Q4824" s="95"/>
    </row>
    <row r="4825" spans="17:17" x14ac:dyDescent="0.2">
      <c r="Q4825" s="95"/>
    </row>
    <row r="4826" spans="17:17" x14ac:dyDescent="0.2">
      <c r="Q4826" s="95"/>
    </row>
    <row r="4827" spans="17:17" x14ac:dyDescent="0.2">
      <c r="Q4827" s="95"/>
    </row>
    <row r="4828" spans="17:17" x14ac:dyDescent="0.2">
      <c r="Q4828" s="95"/>
    </row>
    <row r="4829" spans="17:17" x14ac:dyDescent="0.2">
      <c r="Q4829" s="95"/>
    </row>
    <row r="4830" spans="17:17" x14ac:dyDescent="0.2">
      <c r="Q4830" s="95"/>
    </row>
    <row r="4831" spans="17:17" x14ac:dyDescent="0.2">
      <c r="Q4831" s="95"/>
    </row>
    <row r="4832" spans="17:17" x14ac:dyDescent="0.2">
      <c r="Q4832" s="95"/>
    </row>
    <row r="4833" spans="17:17" x14ac:dyDescent="0.2">
      <c r="Q4833" s="95"/>
    </row>
    <row r="4834" spans="17:17" x14ac:dyDescent="0.2">
      <c r="Q4834" s="95"/>
    </row>
    <row r="4835" spans="17:17" x14ac:dyDescent="0.2">
      <c r="Q4835" s="95"/>
    </row>
    <row r="4836" spans="17:17" x14ac:dyDescent="0.2">
      <c r="Q4836" s="95"/>
    </row>
    <row r="4837" spans="17:17" x14ac:dyDescent="0.2">
      <c r="Q4837" s="95"/>
    </row>
    <row r="4838" spans="17:17" x14ac:dyDescent="0.2">
      <c r="Q4838" s="95"/>
    </row>
    <row r="4839" spans="17:17" x14ac:dyDescent="0.2">
      <c r="Q4839" s="95"/>
    </row>
    <row r="4840" spans="17:17" x14ac:dyDescent="0.2">
      <c r="Q4840" s="95"/>
    </row>
    <row r="4841" spans="17:17" x14ac:dyDescent="0.2">
      <c r="Q4841" s="95"/>
    </row>
    <row r="4842" spans="17:17" x14ac:dyDescent="0.2">
      <c r="Q4842" s="95"/>
    </row>
    <row r="4843" spans="17:17" x14ac:dyDescent="0.2">
      <c r="Q4843" s="95"/>
    </row>
    <row r="4844" spans="17:17" x14ac:dyDescent="0.2">
      <c r="Q4844" s="95"/>
    </row>
    <row r="4845" spans="17:17" x14ac:dyDescent="0.2">
      <c r="Q4845" s="95"/>
    </row>
    <row r="4846" spans="17:17" x14ac:dyDescent="0.2">
      <c r="Q4846" s="95"/>
    </row>
    <row r="4847" spans="17:17" x14ac:dyDescent="0.2">
      <c r="Q4847" s="95"/>
    </row>
    <row r="4848" spans="17:17" x14ac:dyDescent="0.2">
      <c r="Q4848" s="95"/>
    </row>
    <row r="4849" spans="17:17" x14ac:dyDescent="0.2">
      <c r="Q4849" s="95"/>
    </row>
    <row r="4850" spans="17:17" x14ac:dyDescent="0.2">
      <c r="Q4850" s="95"/>
    </row>
    <row r="4851" spans="17:17" x14ac:dyDescent="0.2">
      <c r="Q4851" s="95"/>
    </row>
    <row r="4852" spans="17:17" x14ac:dyDescent="0.2">
      <c r="Q4852" s="95"/>
    </row>
    <row r="4853" spans="17:17" x14ac:dyDescent="0.2">
      <c r="Q4853" s="95"/>
    </row>
    <row r="4854" spans="17:17" x14ac:dyDescent="0.2">
      <c r="Q4854" s="95"/>
    </row>
    <row r="4855" spans="17:17" x14ac:dyDescent="0.2">
      <c r="Q4855" s="95"/>
    </row>
    <row r="4856" spans="17:17" x14ac:dyDescent="0.2">
      <c r="Q4856" s="95"/>
    </row>
    <row r="4857" spans="17:17" x14ac:dyDescent="0.2">
      <c r="Q4857" s="95"/>
    </row>
    <row r="4858" spans="17:17" x14ac:dyDescent="0.2">
      <c r="Q4858" s="95"/>
    </row>
    <row r="4859" spans="17:17" x14ac:dyDescent="0.2">
      <c r="Q4859" s="95"/>
    </row>
    <row r="4860" spans="17:17" x14ac:dyDescent="0.2">
      <c r="Q4860" s="95"/>
    </row>
    <row r="4861" spans="17:17" x14ac:dyDescent="0.2">
      <c r="Q4861" s="95"/>
    </row>
    <row r="4862" spans="17:17" x14ac:dyDescent="0.2">
      <c r="Q4862" s="95"/>
    </row>
    <row r="4863" spans="17:17" x14ac:dyDescent="0.2">
      <c r="Q4863" s="95"/>
    </row>
    <row r="4864" spans="17:17" x14ac:dyDescent="0.2">
      <c r="Q4864" s="95"/>
    </row>
    <row r="4865" spans="17:17" x14ac:dyDescent="0.2">
      <c r="Q4865" s="95"/>
    </row>
    <row r="4866" spans="17:17" x14ac:dyDescent="0.2">
      <c r="Q4866" s="95"/>
    </row>
    <row r="4867" spans="17:17" x14ac:dyDescent="0.2">
      <c r="Q4867" s="95"/>
    </row>
    <row r="4868" spans="17:17" x14ac:dyDescent="0.2">
      <c r="Q4868" s="95"/>
    </row>
    <row r="4869" spans="17:17" x14ac:dyDescent="0.2">
      <c r="Q4869" s="95"/>
    </row>
    <row r="4870" spans="17:17" x14ac:dyDescent="0.2">
      <c r="Q4870" s="95"/>
    </row>
    <row r="4871" spans="17:17" x14ac:dyDescent="0.2">
      <c r="Q4871" s="95"/>
    </row>
    <row r="4872" spans="17:17" x14ac:dyDescent="0.2">
      <c r="Q4872" s="95"/>
    </row>
    <row r="4873" spans="17:17" x14ac:dyDescent="0.2">
      <c r="Q4873" s="95"/>
    </row>
    <row r="4874" spans="17:17" x14ac:dyDescent="0.2">
      <c r="Q4874" s="95"/>
    </row>
    <row r="4875" spans="17:17" x14ac:dyDescent="0.2">
      <c r="Q4875" s="95"/>
    </row>
    <row r="4876" spans="17:17" x14ac:dyDescent="0.2">
      <c r="Q4876" s="95"/>
    </row>
    <row r="4877" spans="17:17" x14ac:dyDescent="0.2">
      <c r="Q4877" s="95"/>
    </row>
    <row r="4878" spans="17:17" x14ac:dyDescent="0.2">
      <c r="Q4878" s="95"/>
    </row>
    <row r="4879" spans="17:17" x14ac:dyDescent="0.2">
      <c r="Q4879" s="95"/>
    </row>
    <row r="4880" spans="17:17" x14ac:dyDescent="0.2">
      <c r="Q4880" s="95"/>
    </row>
    <row r="4881" spans="17:17" x14ac:dyDescent="0.2">
      <c r="Q4881" s="95"/>
    </row>
    <row r="4882" spans="17:17" x14ac:dyDescent="0.2">
      <c r="Q4882" s="95"/>
    </row>
    <row r="4883" spans="17:17" x14ac:dyDescent="0.2">
      <c r="Q4883" s="95"/>
    </row>
    <row r="4884" spans="17:17" x14ac:dyDescent="0.2">
      <c r="Q4884" s="95"/>
    </row>
    <row r="4885" spans="17:17" x14ac:dyDescent="0.2">
      <c r="Q4885" s="95"/>
    </row>
    <row r="4886" spans="17:17" x14ac:dyDescent="0.2">
      <c r="Q4886" s="95"/>
    </row>
    <row r="4887" spans="17:17" x14ac:dyDescent="0.2">
      <c r="Q4887" s="95"/>
    </row>
    <row r="4888" spans="17:17" x14ac:dyDescent="0.2">
      <c r="Q4888" s="95"/>
    </row>
    <row r="4889" spans="17:17" x14ac:dyDescent="0.2">
      <c r="Q4889" s="95"/>
    </row>
    <row r="4890" spans="17:17" x14ac:dyDescent="0.2">
      <c r="Q4890" s="95"/>
    </row>
    <row r="4891" spans="17:17" x14ac:dyDescent="0.2">
      <c r="Q4891" s="95"/>
    </row>
    <row r="4892" spans="17:17" x14ac:dyDescent="0.2">
      <c r="Q4892" s="95"/>
    </row>
    <row r="4893" spans="17:17" x14ac:dyDescent="0.2">
      <c r="Q4893" s="95"/>
    </row>
    <row r="4894" spans="17:17" x14ac:dyDescent="0.2">
      <c r="Q4894" s="95"/>
    </row>
    <row r="4895" spans="17:17" x14ac:dyDescent="0.2">
      <c r="Q4895" s="95"/>
    </row>
    <row r="4896" spans="17:17" x14ac:dyDescent="0.2">
      <c r="Q4896" s="95"/>
    </row>
    <row r="4897" spans="17:17" x14ac:dyDescent="0.2">
      <c r="Q4897" s="95"/>
    </row>
    <row r="4898" spans="17:17" x14ac:dyDescent="0.2">
      <c r="Q4898" s="95"/>
    </row>
    <row r="4899" spans="17:17" x14ac:dyDescent="0.2">
      <c r="Q4899" s="95"/>
    </row>
    <row r="4900" spans="17:17" x14ac:dyDescent="0.2">
      <c r="Q4900" s="95"/>
    </row>
    <row r="4901" spans="17:17" x14ac:dyDescent="0.2">
      <c r="Q4901" s="95"/>
    </row>
    <row r="4902" spans="17:17" x14ac:dyDescent="0.2">
      <c r="Q4902" s="95"/>
    </row>
    <row r="4903" spans="17:17" x14ac:dyDescent="0.2">
      <c r="Q4903" s="95"/>
    </row>
    <row r="4904" spans="17:17" x14ac:dyDescent="0.2">
      <c r="Q4904" s="95"/>
    </row>
    <row r="4905" spans="17:17" x14ac:dyDescent="0.2">
      <c r="Q4905" s="95"/>
    </row>
    <row r="4906" spans="17:17" x14ac:dyDescent="0.2">
      <c r="Q4906" s="95"/>
    </row>
    <row r="4907" spans="17:17" x14ac:dyDescent="0.2">
      <c r="Q4907" s="95"/>
    </row>
    <row r="4908" spans="17:17" x14ac:dyDescent="0.2">
      <c r="Q4908" s="95"/>
    </row>
    <row r="4909" spans="17:17" x14ac:dyDescent="0.2">
      <c r="Q4909" s="95"/>
    </row>
    <row r="4910" spans="17:17" x14ac:dyDescent="0.2">
      <c r="Q4910" s="95"/>
    </row>
    <row r="4911" spans="17:17" x14ac:dyDescent="0.2">
      <c r="Q4911" s="95"/>
    </row>
    <row r="4912" spans="17:17" x14ac:dyDescent="0.2">
      <c r="Q4912" s="95"/>
    </row>
    <row r="4913" spans="17:17" x14ac:dyDescent="0.2">
      <c r="Q4913" s="95"/>
    </row>
    <row r="4914" spans="17:17" x14ac:dyDescent="0.2">
      <c r="Q4914" s="95"/>
    </row>
    <row r="4915" spans="17:17" x14ac:dyDescent="0.2">
      <c r="Q4915" s="95"/>
    </row>
    <row r="4916" spans="17:17" x14ac:dyDescent="0.2">
      <c r="Q4916" s="95"/>
    </row>
    <row r="4917" spans="17:17" x14ac:dyDescent="0.2">
      <c r="Q4917" s="95"/>
    </row>
    <row r="4918" spans="17:17" x14ac:dyDescent="0.2">
      <c r="Q4918" s="95"/>
    </row>
    <row r="4919" spans="17:17" x14ac:dyDescent="0.2">
      <c r="Q4919" s="95"/>
    </row>
    <row r="4920" spans="17:17" x14ac:dyDescent="0.2">
      <c r="Q4920" s="95"/>
    </row>
    <row r="4921" spans="17:17" x14ac:dyDescent="0.2">
      <c r="Q4921" s="95"/>
    </row>
    <row r="4922" spans="17:17" x14ac:dyDescent="0.2">
      <c r="Q4922" s="95"/>
    </row>
    <row r="4923" spans="17:17" x14ac:dyDescent="0.2">
      <c r="Q4923" s="95"/>
    </row>
    <row r="4924" spans="17:17" x14ac:dyDescent="0.2">
      <c r="Q4924" s="95"/>
    </row>
    <row r="4925" spans="17:17" x14ac:dyDescent="0.2">
      <c r="Q4925" s="95"/>
    </row>
    <row r="4926" spans="17:17" x14ac:dyDescent="0.2">
      <c r="Q4926" s="95"/>
    </row>
    <row r="4927" spans="17:17" x14ac:dyDescent="0.2">
      <c r="Q4927" s="95"/>
    </row>
    <row r="4928" spans="17:17" x14ac:dyDescent="0.2">
      <c r="Q4928" s="95"/>
    </row>
    <row r="4929" spans="17:17" x14ac:dyDescent="0.2">
      <c r="Q4929" s="95"/>
    </row>
    <row r="4930" spans="17:17" x14ac:dyDescent="0.2">
      <c r="Q4930" s="95"/>
    </row>
    <row r="4931" spans="17:17" x14ac:dyDescent="0.2">
      <c r="Q4931" s="95"/>
    </row>
    <row r="4932" spans="17:17" x14ac:dyDescent="0.2">
      <c r="Q4932" s="95"/>
    </row>
    <row r="4933" spans="17:17" x14ac:dyDescent="0.2">
      <c r="Q4933" s="95"/>
    </row>
    <row r="4934" spans="17:17" x14ac:dyDescent="0.2">
      <c r="Q4934" s="95"/>
    </row>
    <row r="4935" spans="17:17" x14ac:dyDescent="0.2">
      <c r="Q4935" s="95"/>
    </row>
    <row r="4936" spans="17:17" x14ac:dyDescent="0.2">
      <c r="Q4936" s="95"/>
    </row>
    <row r="4937" spans="17:17" x14ac:dyDescent="0.2">
      <c r="Q4937" s="95"/>
    </row>
    <row r="4938" spans="17:17" x14ac:dyDescent="0.2">
      <c r="Q4938" s="95"/>
    </row>
    <row r="4939" spans="17:17" x14ac:dyDescent="0.2">
      <c r="Q4939" s="95"/>
    </row>
    <row r="4940" spans="17:17" x14ac:dyDescent="0.2">
      <c r="Q4940" s="95"/>
    </row>
    <row r="4941" spans="17:17" x14ac:dyDescent="0.2">
      <c r="Q4941" s="95"/>
    </row>
    <row r="4942" spans="17:17" x14ac:dyDescent="0.2">
      <c r="Q4942" s="95"/>
    </row>
    <row r="4943" spans="17:17" x14ac:dyDescent="0.2">
      <c r="Q4943" s="95"/>
    </row>
    <row r="4944" spans="17:17" x14ac:dyDescent="0.2">
      <c r="Q4944" s="95"/>
    </row>
    <row r="4945" spans="17:17" x14ac:dyDescent="0.2">
      <c r="Q4945" s="95"/>
    </row>
    <row r="4946" spans="17:17" x14ac:dyDescent="0.2">
      <c r="Q4946" s="95"/>
    </row>
    <row r="4947" spans="17:17" x14ac:dyDescent="0.2">
      <c r="Q4947" s="95"/>
    </row>
    <row r="4948" spans="17:17" x14ac:dyDescent="0.2">
      <c r="Q4948" s="95"/>
    </row>
    <row r="4949" spans="17:17" x14ac:dyDescent="0.2">
      <c r="Q4949" s="95"/>
    </row>
    <row r="4950" spans="17:17" x14ac:dyDescent="0.2">
      <c r="Q4950" s="95"/>
    </row>
    <row r="4951" spans="17:17" x14ac:dyDescent="0.2">
      <c r="Q4951" s="95"/>
    </row>
    <row r="4952" spans="17:17" x14ac:dyDescent="0.2">
      <c r="Q4952" s="95"/>
    </row>
    <row r="4953" spans="17:17" x14ac:dyDescent="0.2">
      <c r="Q4953" s="95"/>
    </row>
    <row r="4954" spans="17:17" x14ac:dyDescent="0.2">
      <c r="Q4954" s="95"/>
    </row>
    <row r="4955" spans="17:17" x14ac:dyDescent="0.2">
      <c r="Q4955" s="95"/>
    </row>
    <row r="4956" spans="17:17" x14ac:dyDescent="0.2">
      <c r="Q4956" s="95"/>
    </row>
    <row r="4957" spans="17:17" x14ac:dyDescent="0.2">
      <c r="Q4957" s="95"/>
    </row>
    <row r="4958" spans="17:17" x14ac:dyDescent="0.2">
      <c r="Q4958" s="95"/>
    </row>
    <row r="4959" spans="17:17" x14ac:dyDescent="0.2">
      <c r="Q4959" s="95"/>
    </row>
    <row r="4960" spans="17:17" x14ac:dyDescent="0.2">
      <c r="Q4960" s="95"/>
    </row>
    <row r="4961" spans="17:17" x14ac:dyDescent="0.2">
      <c r="Q4961" s="95"/>
    </row>
    <row r="4962" spans="17:17" x14ac:dyDescent="0.2">
      <c r="Q4962" s="95"/>
    </row>
    <row r="4963" spans="17:17" x14ac:dyDescent="0.2">
      <c r="Q4963" s="95"/>
    </row>
    <row r="4964" spans="17:17" x14ac:dyDescent="0.2">
      <c r="Q4964" s="95"/>
    </row>
    <row r="4965" spans="17:17" x14ac:dyDescent="0.2">
      <c r="Q4965" s="95"/>
    </row>
    <row r="4966" spans="17:17" x14ac:dyDescent="0.2">
      <c r="Q4966" s="95"/>
    </row>
    <row r="4967" spans="17:17" x14ac:dyDescent="0.2">
      <c r="Q4967" s="95"/>
    </row>
    <row r="4968" spans="17:17" x14ac:dyDescent="0.2">
      <c r="Q4968" s="95"/>
    </row>
    <row r="4969" spans="17:17" x14ac:dyDescent="0.2">
      <c r="Q4969" s="95"/>
    </row>
    <row r="4970" spans="17:17" x14ac:dyDescent="0.2">
      <c r="Q4970" s="95"/>
    </row>
    <row r="4971" spans="17:17" x14ac:dyDescent="0.2">
      <c r="Q4971" s="95"/>
    </row>
    <row r="4972" spans="17:17" x14ac:dyDescent="0.2">
      <c r="Q4972" s="95"/>
    </row>
    <row r="4973" spans="17:17" x14ac:dyDescent="0.2">
      <c r="Q4973" s="95"/>
    </row>
    <row r="4974" spans="17:17" x14ac:dyDescent="0.2">
      <c r="Q4974" s="95"/>
    </row>
    <row r="4975" spans="17:17" x14ac:dyDescent="0.2">
      <c r="Q4975" s="95"/>
    </row>
    <row r="4976" spans="17:17" x14ac:dyDescent="0.2">
      <c r="Q4976" s="95"/>
    </row>
    <row r="4977" spans="17:17" x14ac:dyDescent="0.2">
      <c r="Q4977" s="95"/>
    </row>
    <row r="4978" spans="17:17" x14ac:dyDescent="0.2">
      <c r="Q4978" s="95"/>
    </row>
    <row r="4979" spans="17:17" x14ac:dyDescent="0.2">
      <c r="Q4979" s="95"/>
    </row>
    <row r="4980" spans="17:17" x14ac:dyDescent="0.2">
      <c r="Q4980" s="95"/>
    </row>
    <row r="4981" spans="17:17" x14ac:dyDescent="0.2">
      <c r="Q4981" s="95"/>
    </row>
    <row r="4982" spans="17:17" x14ac:dyDescent="0.2">
      <c r="Q4982" s="95"/>
    </row>
    <row r="4983" spans="17:17" x14ac:dyDescent="0.2">
      <c r="Q4983" s="95"/>
    </row>
    <row r="4984" spans="17:17" x14ac:dyDescent="0.2">
      <c r="Q4984" s="95"/>
    </row>
    <row r="4985" spans="17:17" x14ac:dyDescent="0.2">
      <c r="Q4985" s="95"/>
    </row>
    <row r="4986" spans="17:17" x14ac:dyDescent="0.2">
      <c r="Q4986" s="95"/>
    </row>
    <row r="4987" spans="17:17" x14ac:dyDescent="0.2">
      <c r="Q4987" s="95"/>
    </row>
    <row r="4988" spans="17:17" x14ac:dyDescent="0.2">
      <c r="Q4988" s="95"/>
    </row>
    <row r="4989" spans="17:17" x14ac:dyDescent="0.2">
      <c r="Q4989" s="95"/>
    </row>
    <row r="4990" spans="17:17" x14ac:dyDescent="0.2">
      <c r="Q4990" s="95"/>
    </row>
    <row r="4991" spans="17:17" x14ac:dyDescent="0.2">
      <c r="Q4991" s="95"/>
    </row>
    <row r="4992" spans="17:17" x14ac:dyDescent="0.2">
      <c r="Q4992" s="95"/>
    </row>
    <row r="4993" spans="17:17" x14ac:dyDescent="0.2">
      <c r="Q4993" s="95"/>
    </row>
    <row r="4994" spans="17:17" x14ac:dyDescent="0.2">
      <c r="Q4994" s="95"/>
    </row>
    <row r="4995" spans="17:17" x14ac:dyDescent="0.2">
      <c r="Q4995" s="95"/>
    </row>
    <row r="4996" spans="17:17" x14ac:dyDescent="0.2">
      <c r="Q4996" s="95"/>
    </row>
    <row r="4997" spans="17:17" x14ac:dyDescent="0.2">
      <c r="Q4997" s="95"/>
    </row>
    <row r="4998" spans="17:17" x14ac:dyDescent="0.2">
      <c r="Q4998" s="95"/>
    </row>
    <row r="4999" spans="17:17" x14ac:dyDescent="0.2">
      <c r="Q4999" s="95"/>
    </row>
    <row r="5000" spans="17:17" x14ac:dyDescent="0.2">
      <c r="Q5000" s="95"/>
    </row>
    <row r="5001" spans="17:17" x14ac:dyDescent="0.2">
      <c r="Q5001" s="95"/>
    </row>
    <row r="5002" spans="17:17" x14ac:dyDescent="0.2">
      <c r="Q5002" s="95"/>
    </row>
    <row r="5003" spans="17:17" x14ac:dyDescent="0.2">
      <c r="Q5003" s="95"/>
    </row>
    <row r="5004" spans="17:17" x14ac:dyDescent="0.2">
      <c r="Q5004" s="95"/>
    </row>
    <row r="5005" spans="17:17" x14ac:dyDescent="0.2">
      <c r="Q5005" s="95"/>
    </row>
    <row r="5006" spans="17:17" x14ac:dyDescent="0.2">
      <c r="Q5006" s="95"/>
    </row>
    <row r="5007" spans="17:17" x14ac:dyDescent="0.2">
      <c r="Q5007" s="95"/>
    </row>
    <row r="5008" spans="17:17" x14ac:dyDescent="0.2">
      <c r="Q5008" s="95"/>
    </row>
    <row r="5009" spans="17:17" x14ac:dyDescent="0.2">
      <c r="Q5009" s="95"/>
    </row>
    <row r="5010" spans="17:17" x14ac:dyDescent="0.2">
      <c r="Q5010" s="95"/>
    </row>
    <row r="5011" spans="17:17" x14ac:dyDescent="0.2">
      <c r="Q5011" s="95"/>
    </row>
    <row r="5012" spans="17:17" x14ac:dyDescent="0.2">
      <c r="Q5012" s="95"/>
    </row>
    <row r="5013" spans="17:17" x14ac:dyDescent="0.2">
      <c r="Q5013" s="95"/>
    </row>
    <row r="5014" spans="17:17" x14ac:dyDescent="0.2">
      <c r="Q5014" s="95"/>
    </row>
    <row r="5015" spans="17:17" x14ac:dyDescent="0.2">
      <c r="Q5015" s="95"/>
    </row>
    <row r="5016" spans="17:17" x14ac:dyDescent="0.2">
      <c r="Q5016" s="95"/>
    </row>
    <row r="5017" spans="17:17" x14ac:dyDescent="0.2">
      <c r="Q5017" s="95"/>
    </row>
    <row r="5018" spans="17:17" x14ac:dyDescent="0.2">
      <c r="Q5018" s="95"/>
    </row>
    <row r="5019" spans="17:17" x14ac:dyDescent="0.2">
      <c r="Q5019" s="95"/>
    </row>
    <row r="5020" spans="17:17" x14ac:dyDescent="0.2">
      <c r="Q5020" s="95"/>
    </row>
    <row r="5021" spans="17:17" x14ac:dyDescent="0.2">
      <c r="Q5021" s="95"/>
    </row>
    <row r="5022" spans="17:17" x14ac:dyDescent="0.2">
      <c r="Q5022" s="95"/>
    </row>
    <row r="5023" spans="17:17" x14ac:dyDescent="0.2">
      <c r="Q5023" s="95"/>
    </row>
    <row r="5024" spans="17:17" x14ac:dyDescent="0.2">
      <c r="Q5024" s="95"/>
    </row>
    <row r="5025" spans="17:17" x14ac:dyDescent="0.2">
      <c r="Q5025" s="95"/>
    </row>
    <row r="5026" spans="17:17" x14ac:dyDescent="0.2">
      <c r="Q5026" s="95"/>
    </row>
    <row r="5027" spans="17:17" x14ac:dyDescent="0.2">
      <c r="Q5027" s="95"/>
    </row>
    <row r="5028" spans="17:17" x14ac:dyDescent="0.2">
      <c r="Q5028" s="95"/>
    </row>
    <row r="5029" spans="17:17" x14ac:dyDescent="0.2">
      <c r="Q5029" s="95"/>
    </row>
    <row r="5030" spans="17:17" x14ac:dyDescent="0.2">
      <c r="Q5030" s="95"/>
    </row>
    <row r="5031" spans="17:17" x14ac:dyDescent="0.2">
      <c r="Q5031" s="95"/>
    </row>
    <row r="5032" spans="17:17" x14ac:dyDescent="0.2">
      <c r="Q5032" s="95"/>
    </row>
    <row r="5033" spans="17:17" x14ac:dyDescent="0.2">
      <c r="Q5033" s="95"/>
    </row>
    <row r="5034" spans="17:17" x14ac:dyDescent="0.2">
      <c r="Q5034" s="95"/>
    </row>
    <row r="5035" spans="17:17" x14ac:dyDescent="0.2">
      <c r="Q5035" s="95"/>
    </row>
    <row r="5036" spans="17:17" x14ac:dyDescent="0.2">
      <c r="Q5036" s="95"/>
    </row>
    <row r="5037" spans="17:17" x14ac:dyDescent="0.2">
      <c r="Q5037" s="95"/>
    </row>
    <row r="5038" spans="17:17" x14ac:dyDescent="0.2">
      <c r="Q5038" s="95"/>
    </row>
    <row r="5039" spans="17:17" x14ac:dyDescent="0.2">
      <c r="Q5039" s="95"/>
    </row>
    <row r="5040" spans="17:17" x14ac:dyDescent="0.2">
      <c r="Q5040" s="95"/>
    </row>
    <row r="5041" spans="17:17" x14ac:dyDescent="0.2">
      <c r="Q5041" s="95"/>
    </row>
  </sheetData>
  <sheetProtection algorithmName="SHA-512" hashValue="Xh5zitIhzglKTIB1HktoUy9fUooRuTtc3NF6/TNqoAFcUPqdVg1HucWeVHi/mUxlv41PsqbYcTqT9B7WZmtbFw==" saltValue="BeFEJv8Ww1txjr+eJIfqCw==" spinCount="100000" sheet="1" objects="1" scenarios="1"/>
  <mergeCells count="12">
    <mergeCell ref="F14:G14"/>
    <mergeCell ref="A15:J15"/>
    <mergeCell ref="A12:J12"/>
    <mergeCell ref="A13:B13"/>
    <mergeCell ref="F13:G13"/>
    <mergeCell ref="D13:E13"/>
    <mergeCell ref="D14:E14"/>
    <mergeCell ref="A7:B7"/>
    <mergeCell ref="A8:B8"/>
    <mergeCell ref="A9:B9"/>
    <mergeCell ref="A10:B10"/>
    <mergeCell ref="A14:B14"/>
  </mergeCells>
  <conditionalFormatting sqref="A14:C14">
    <cfRule type="cellIs" priority="13" operator="equal">
      <formula>0</formula>
    </cfRule>
    <cfRule type="cellIs" dxfId="10" priority="14" operator="equal">
      <formula>0</formula>
    </cfRule>
    <cfRule type="cellIs" dxfId="9" priority="15" operator="equal">
      <formula>0</formula>
    </cfRule>
  </conditionalFormatting>
  <conditionalFormatting sqref="A17:P5041 R17:S5041 Q25:Q2001">
    <cfRule type="expression" dxfId="8" priority="8">
      <formula>$O17="Low"</formula>
    </cfRule>
    <cfRule type="expression" dxfId="7" priority="9">
      <formula>$O17="Moderate"</formula>
    </cfRule>
    <cfRule type="expression" dxfId="6" priority="10">
      <formula>$O17="High"</formula>
    </cfRule>
    <cfRule type="expression" dxfId="5" priority="11">
      <formula>$O17="Critical"</formula>
    </cfRule>
  </conditionalFormatting>
  <conditionalFormatting sqref="P18:P24">
    <cfRule type="expression" dxfId="4" priority="1">
      <formula>$N24="Risk Accepted"</formula>
    </cfRule>
  </conditionalFormatting>
  <conditionalFormatting sqref="Q17:Q24 Q2002:Q5041">
    <cfRule type="expression" dxfId="3" priority="4">
      <formula>$O17="Low"</formula>
    </cfRule>
    <cfRule type="expression" dxfId="2" priority="5">
      <formula>$O17="Moderate"</formula>
    </cfRule>
    <cfRule type="expression" dxfId="1" priority="6">
      <formula>$O17="High"</formula>
    </cfRule>
    <cfRule type="expression" dxfId="0" priority="7">
      <formula>$O17="Critical"</formula>
    </cfRule>
  </conditionalFormatting>
  <dataValidations count="2">
    <dataValidation type="custom" allowBlank="1" showInputMessage="1" showErrorMessage="1" errorTitle="Enter Column O" error="When Finding Status = Risk Accepted, please provide the title of the associated Risk Acceptance Form in Column O." sqref="P1:P17 P25:P1048576" xr:uid="{DDE85841-1AC0-48C0-868B-E597760089D2}">
      <formula1>OR($N18&lt;&gt;"Risk Accepted", AND($N18="Risk Accepted", $O18&lt;&gt;""))</formula1>
    </dataValidation>
    <dataValidation type="custom" showInputMessage="1" showErrorMessage="1" errorTitle="Enter Column O" error="When Finding Status = Risk Accepted, please provide the title of the associated Risk Acceptance Form in Column O." sqref="P18:P24" xr:uid="{A8317D38-4442-415C-A5B3-E8E9E204B8B0}">
      <formula1>OR($N35&lt;&gt;"Risk Accepted", AND($N35="Risk Accepted", $O35&lt;&gt;""))</formula1>
    </dataValidation>
  </dataValidations>
  <pageMargins left="0.7" right="0.7" top="0.75" bottom="0.75" header="0.3" footer="0.3"/>
  <pageSetup scale="28" fitToHeight="0" orientation="landscape"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400-000001000000}">
          <x14:formula1>
            <xm:f>'Data Sheet'!$C$2:$C$8</xm:f>
          </x14:formula1>
          <xm:sqref>J14</xm:sqref>
        </x14:dataValidation>
        <x14:dataValidation type="list" allowBlank="1" showInputMessage="1" showErrorMessage="1" xr:uid="{00000000-0002-0000-0400-000002000000}">
          <x14:formula1>
            <xm:f>'Data Sheet'!$B$2:$B$6</xm:f>
          </x14:formula1>
          <xm:sqref>O18:O24</xm:sqref>
        </x14:dataValidation>
        <x14:dataValidation type="list" allowBlank="1" showInputMessage="1" showErrorMessage="1" xr:uid="{00000000-0002-0000-0400-000000000000}">
          <x14:formula1>
            <xm:f>'Data Sheet'!$D$2:$D$6</xm:f>
          </x14:formula1>
          <xm:sqref>C10:D10</xm:sqref>
        </x14:dataValidation>
        <x14:dataValidation type="list" allowBlank="1" showInputMessage="1" showErrorMessage="1" xr:uid="{0EFDC965-A764-4816-8950-0B8B73F72AAC}">
          <x14:formula1>
            <xm:f>'Data Sheet'!$F$2:$F$3</xm:f>
          </x14:formula1>
          <xm:sqref>Q18:Q24 Q2002:Q5041</xm:sqref>
        </x14:dataValidation>
        <x14:dataValidation type="list" allowBlank="1" showInputMessage="1" showErrorMessage="1" xr:uid="{D777CCD8-6792-403F-AD30-6F6F3054D7DD}">
          <x14:formula1>
            <xm:f>'Data Sheet'!$F$1:$F$3</xm:f>
          </x14:formula1>
          <xm:sqref>Q17</xm:sqref>
        </x14:dataValidation>
        <x14:dataValidation type="list" allowBlank="1" showInputMessage="1" showErrorMessage="1" xr:uid="{929114F3-C2DF-42D1-AC93-B7D82C7C81B9}">
          <x14:formula1>
            <xm:f>'Data Sheet'!$A$2:$A$6</xm:f>
          </x14:formula1>
          <xm:sqref>N18:N24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G23"/>
  <sheetViews>
    <sheetView zoomScale="115" zoomScaleNormal="115" workbookViewId="0">
      <selection activeCell="B1" sqref="B1"/>
    </sheetView>
  </sheetViews>
  <sheetFormatPr defaultColWidth="8.7109375" defaultRowHeight="12.75" x14ac:dyDescent="0.2"/>
  <cols>
    <col min="1" max="1" width="18.42578125" style="45" customWidth="1"/>
    <col min="2" max="2" width="17" style="45" customWidth="1"/>
    <col min="3" max="3" width="32.42578125" style="45" customWidth="1"/>
    <col min="4" max="4" width="19.42578125" style="45" customWidth="1"/>
    <col min="5" max="5" width="15.28515625" style="45" customWidth="1"/>
    <col min="6" max="6" width="29.7109375" style="45" customWidth="1"/>
    <col min="7" max="7" width="17" style="45" customWidth="1"/>
    <col min="8" max="16384" width="8.7109375" style="45"/>
  </cols>
  <sheetData>
    <row r="1" spans="1:7" x14ac:dyDescent="0.2">
      <c r="A1" s="70" t="s">
        <v>61</v>
      </c>
      <c r="B1" s="70" t="s">
        <v>62</v>
      </c>
      <c r="C1" s="70" t="s">
        <v>163</v>
      </c>
      <c r="D1" s="70" t="s">
        <v>164</v>
      </c>
      <c r="E1" s="70" t="s">
        <v>165</v>
      </c>
      <c r="F1" s="70" t="s">
        <v>189</v>
      </c>
      <c r="G1" s="70" t="s">
        <v>234</v>
      </c>
    </row>
    <row r="2" spans="1:7" x14ac:dyDescent="0.2">
      <c r="A2" s="71"/>
      <c r="B2" s="71"/>
      <c r="C2" s="3"/>
      <c r="D2" s="84"/>
      <c r="E2" s="3"/>
      <c r="F2" s="44" t="s">
        <v>5</v>
      </c>
    </row>
    <row r="3" spans="1:7" x14ac:dyDescent="0.2">
      <c r="A3" s="3" t="s">
        <v>65</v>
      </c>
      <c r="B3" s="45" t="s">
        <v>76</v>
      </c>
      <c r="C3" s="85" t="s">
        <v>166</v>
      </c>
      <c r="D3" s="84">
        <v>2024</v>
      </c>
      <c r="E3" s="158" t="s">
        <v>11</v>
      </c>
      <c r="F3" s="44" t="s">
        <v>240</v>
      </c>
      <c r="G3" s="44" t="s">
        <v>235</v>
      </c>
    </row>
    <row r="4" spans="1:7" x14ac:dyDescent="0.2">
      <c r="A4" s="3" t="s">
        <v>8</v>
      </c>
      <c r="B4" s="3" t="s">
        <v>80</v>
      </c>
      <c r="C4" s="85" t="s">
        <v>167</v>
      </c>
      <c r="D4" s="84">
        <v>2025</v>
      </c>
      <c r="E4" s="158" t="s">
        <v>13</v>
      </c>
      <c r="G4" s="44" t="s">
        <v>239</v>
      </c>
    </row>
    <row r="5" spans="1:7" x14ac:dyDescent="0.2">
      <c r="A5" s="3" t="s">
        <v>7</v>
      </c>
      <c r="B5" s="3" t="s">
        <v>49</v>
      </c>
      <c r="C5" s="85" t="s">
        <v>168</v>
      </c>
      <c r="D5" s="84">
        <v>2026</v>
      </c>
      <c r="E5" s="158" t="s">
        <v>15</v>
      </c>
      <c r="G5" s="44" t="s">
        <v>236</v>
      </c>
    </row>
    <row r="6" spans="1:7" x14ac:dyDescent="0.2">
      <c r="A6" s="3" t="s">
        <v>9</v>
      </c>
      <c r="B6" s="3" t="s">
        <v>86</v>
      </c>
      <c r="C6" s="85" t="s">
        <v>169</v>
      </c>
      <c r="D6" s="84">
        <v>2027</v>
      </c>
      <c r="E6" s="158" t="s">
        <v>17</v>
      </c>
      <c r="G6" s="44" t="s">
        <v>237</v>
      </c>
    </row>
    <row r="7" spans="1:7" x14ac:dyDescent="0.2">
      <c r="C7" s="85" t="s">
        <v>170</v>
      </c>
      <c r="D7" s="84">
        <v>2028</v>
      </c>
      <c r="E7" s="158" t="s">
        <v>19</v>
      </c>
      <c r="G7" s="44" t="s">
        <v>238</v>
      </c>
    </row>
    <row r="8" spans="1:7" x14ac:dyDescent="0.2">
      <c r="C8" s="85" t="s">
        <v>171</v>
      </c>
      <c r="D8" s="84">
        <v>2029</v>
      </c>
      <c r="E8" s="158" t="s">
        <v>21</v>
      </c>
    </row>
    <row r="9" spans="1:7" x14ac:dyDescent="0.2">
      <c r="D9" s="84">
        <v>2030</v>
      </c>
      <c r="E9" s="158" t="s">
        <v>22</v>
      </c>
    </row>
    <row r="10" spans="1:7" x14ac:dyDescent="0.2">
      <c r="D10" s="84">
        <v>2031</v>
      </c>
      <c r="E10" s="158" t="s">
        <v>24</v>
      </c>
    </row>
    <row r="11" spans="1:7" x14ac:dyDescent="0.2">
      <c r="D11" s="84">
        <v>2032</v>
      </c>
      <c r="E11" s="158" t="s">
        <v>26</v>
      </c>
    </row>
    <row r="12" spans="1:7" x14ac:dyDescent="0.2">
      <c r="D12" s="84">
        <v>2033</v>
      </c>
      <c r="E12" s="158" t="s">
        <v>28</v>
      </c>
    </row>
    <row r="13" spans="1:7" x14ac:dyDescent="0.2">
      <c r="D13" s="84">
        <v>2034</v>
      </c>
      <c r="E13" s="158" t="s">
        <v>30</v>
      </c>
    </row>
    <row r="14" spans="1:7" x14ac:dyDescent="0.2">
      <c r="E14" s="158" t="s">
        <v>32</v>
      </c>
    </row>
    <row r="15" spans="1:7" x14ac:dyDescent="0.2">
      <c r="E15" s="158" t="s">
        <v>38</v>
      </c>
    </row>
    <row r="16" spans="1:7" x14ac:dyDescent="0.2">
      <c r="E16" s="158" t="s">
        <v>33</v>
      </c>
    </row>
    <row r="17" spans="5:5" x14ac:dyDescent="0.2">
      <c r="E17" s="158" t="s">
        <v>195</v>
      </c>
    </row>
    <row r="18" spans="5:5" x14ac:dyDescent="0.2">
      <c r="E18" s="158" t="s">
        <v>34</v>
      </c>
    </row>
    <row r="19" spans="5:5" x14ac:dyDescent="0.2">
      <c r="E19" s="158" t="s">
        <v>35</v>
      </c>
    </row>
    <row r="20" spans="5:5" x14ac:dyDescent="0.2">
      <c r="E20" s="158" t="s">
        <v>36</v>
      </c>
    </row>
    <row r="21" spans="5:5" x14ac:dyDescent="0.2">
      <c r="E21" s="158" t="s">
        <v>37</v>
      </c>
    </row>
    <row r="22" spans="5:5" x14ac:dyDescent="0.2">
      <c r="E22" s="158" t="s">
        <v>196</v>
      </c>
    </row>
    <row r="23" spans="5:5" x14ac:dyDescent="0.2">
      <c r="E23" s="158" t="s">
        <v>245</v>
      </c>
    </row>
  </sheetData>
  <sheetProtection algorithmName="SHA-512" hashValue="ml2WAgdrfBV5ujJ8d3/KUbXRQn0isnEPHVM/jN+btDSi3dO+zuE/f4O6XigNgVK/uHm/AjlangUsEmwbcja/Xg==" saltValue="Jx15o50DEtEbIFgbNN7vUA==" spinCount="100000" sheet="1" objects="1" scenarios="1"/>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F8"/>
  <sheetViews>
    <sheetView zoomScaleNormal="100" workbookViewId="0">
      <selection activeCell="E17" sqref="E17"/>
    </sheetView>
  </sheetViews>
  <sheetFormatPr defaultRowHeight="12.75" x14ac:dyDescent="0.2"/>
  <cols>
    <col min="1" max="1" width="19.28515625" style="147" customWidth="1"/>
    <col min="2" max="2" width="22.7109375" customWidth="1"/>
    <col min="3" max="3" width="26" customWidth="1"/>
    <col min="4" max="4" width="21.7109375" customWidth="1"/>
    <col min="5" max="5" width="134.5703125" customWidth="1"/>
    <col min="6" max="6" width="36.42578125" customWidth="1"/>
  </cols>
  <sheetData>
    <row r="1" spans="1:6" ht="18" x14ac:dyDescent="0.2">
      <c r="A1" s="190" t="s">
        <v>172</v>
      </c>
      <c r="B1" s="191"/>
      <c r="C1" s="191"/>
      <c r="D1" s="191"/>
      <c r="E1" s="191"/>
      <c r="F1" s="192"/>
    </row>
    <row r="2" spans="1:6" ht="45" x14ac:dyDescent="0.2">
      <c r="A2" s="145" t="s">
        <v>173</v>
      </c>
      <c r="B2" s="23" t="s">
        <v>174</v>
      </c>
      <c r="C2" s="23" t="s">
        <v>175</v>
      </c>
      <c r="D2" s="24" t="s">
        <v>176</v>
      </c>
      <c r="E2" s="23" t="s">
        <v>177</v>
      </c>
      <c r="F2" s="24" t="s">
        <v>230</v>
      </c>
    </row>
    <row r="3" spans="1:6" ht="15" x14ac:dyDescent="0.2">
      <c r="A3" s="146" t="s">
        <v>229</v>
      </c>
      <c r="B3" s="27">
        <v>45582</v>
      </c>
      <c r="C3" s="138"/>
      <c r="D3" s="26" t="s">
        <v>178</v>
      </c>
      <c r="E3" s="25" t="s">
        <v>197</v>
      </c>
      <c r="F3" s="26" t="s">
        <v>231</v>
      </c>
    </row>
    <row r="4" spans="1:6" ht="15" x14ac:dyDescent="0.2">
      <c r="A4" s="146">
        <v>6.1</v>
      </c>
      <c r="B4" s="27">
        <v>45757</v>
      </c>
      <c r="C4" s="138"/>
      <c r="D4" s="26" t="s">
        <v>178</v>
      </c>
      <c r="E4" s="25" t="s">
        <v>232</v>
      </c>
      <c r="F4" s="26" t="s">
        <v>231</v>
      </c>
    </row>
    <row r="5" spans="1:6" ht="15" x14ac:dyDescent="0.2">
      <c r="A5" s="146" t="s">
        <v>241</v>
      </c>
      <c r="B5" s="27">
        <v>45825</v>
      </c>
      <c r="C5" s="138"/>
      <c r="D5" s="26" t="s">
        <v>178</v>
      </c>
      <c r="E5" s="25" t="s">
        <v>243</v>
      </c>
      <c r="F5" s="26" t="s">
        <v>242</v>
      </c>
    </row>
    <row r="6" spans="1:6" ht="30" x14ac:dyDescent="0.2">
      <c r="A6" s="146" t="s">
        <v>247</v>
      </c>
      <c r="B6" s="27">
        <v>45959</v>
      </c>
      <c r="C6" s="138"/>
      <c r="D6" s="26" t="s">
        <v>178</v>
      </c>
      <c r="E6" s="25" t="s">
        <v>250</v>
      </c>
      <c r="F6" s="26" t="s">
        <v>242</v>
      </c>
    </row>
    <row r="7" spans="1:6" ht="15" x14ac:dyDescent="0.2">
      <c r="A7" s="146" t="s">
        <v>251</v>
      </c>
      <c r="B7" s="27">
        <v>46057</v>
      </c>
      <c r="C7" s="138"/>
      <c r="D7" s="26" t="s">
        <v>178</v>
      </c>
      <c r="E7" s="25" t="s">
        <v>258</v>
      </c>
      <c r="F7" s="26" t="s">
        <v>242</v>
      </c>
    </row>
    <row r="8" spans="1:6" ht="15" customHeight="1" x14ac:dyDescent="0.2">
      <c r="A8" s="146" t="s">
        <v>269</v>
      </c>
      <c r="B8" s="27">
        <v>46092</v>
      </c>
      <c r="C8" s="138"/>
      <c r="D8" s="26" t="s">
        <v>178</v>
      </c>
      <c r="E8" s="25" t="s">
        <v>273</v>
      </c>
      <c r="F8" s="26" t="s">
        <v>242</v>
      </c>
    </row>
  </sheetData>
  <sheetProtection algorithmName="SHA-512" hashValue="V4TtfG0QdUWSAPXezwbLtSwCX8Xe0OMdmUIjvsGVygxAqvp+u8ixc82RD1XKm8QdyCl8OsJPOkss+l7dGbYq1g==" saltValue="TzrREqpori2Kz7laNKDSIw==" spinCount="100000" sheet="1" objects="1" scenarios="1"/>
  <mergeCells count="1">
    <mergeCell ref="A1:F1"/>
  </mergeCells>
  <phoneticPr fontId="25" type="noConversion"/>
  <pageMargins left="0.7" right="0.7" top="0.75" bottom="0.75" header="0.3" footer="0.3"/>
  <pageSetup orientation="portrait" r:id="rId1"/>
  <ignoredErrors>
    <ignoredError sqref="A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DD1C2117BE02A4C868CE705A0581794" ma:contentTypeVersion="6" ma:contentTypeDescription="Create a new document." ma:contentTypeScope="" ma:versionID="6a672c19ac2575ba92057b4fc133b661">
  <xsd:schema xmlns:xsd="http://www.w3.org/2001/XMLSchema" xmlns:xs="http://www.w3.org/2001/XMLSchema" xmlns:p="http://schemas.microsoft.com/office/2006/metadata/properties" xmlns:ns2="58ad4e5c-ec04-496f-a1e8-4d2f2e39653c" targetNamespace="http://schemas.microsoft.com/office/2006/metadata/properties" ma:root="true" ma:fieldsID="91793b101f03f2a5bd0ac94ee1ac79d3" ns2:_="">
    <xsd:import namespace="58ad4e5c-ec04-496f-a1e8-4d2f2e39653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ad4e5c-ec04-496f-a1e8-4d2f2e3965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131204-9198-4F81-967E-C2F8C6A78207}">
  <ds:schemaRefs>
    <ds:schemaRef ds:uri="http://schemas.microsoft.com/sharepoint/v3/contenttype/forms"/>
  </ds:schemaRefs>
</ds:datastoreItem>
</file>

<file path=customXml/itemProps2.xml><?xml version="1.0" encoding="utf-8"?>
<ds:datastoreItem xmlns:ds="http://schemas.openxmlformats.org/officeDocument/2006/customXml" ds:itemID="{A22EE796-1319-4365-A078-12B6305FCD70}">
  <ds:schemaRefs>
    <ds:schemaRef ds:uri="http://purl.org/dc/dcmitype/"/>
    <ds:schemaRef ds:uri="http://www.w3.org/XML/1998/namespace"/>
    <ds:schemaRef ds:uri="http://schemas.microsoft.com/office/infopath/2007/PartnerControls"/>
    <ds:schemaRef ds:uri="58ad4e5c-ec04-496f-a1e8-4d2f2e39653c"/>
    <ds:schemaRef ds:uri="http://schemas.microsoft.com/office/2006/documentManagement/types"/>
    <ds:schemaRef ds:uri="http://schemas.openxmlformats.org/package/2006/metadata/core-properties"/>
    <ds:schemaRef ds:uri="http://schemas.microsoft.com/office/2006/metadata/properties"/>
    <ds:schemaRef ds:uri="http://purl.org/dc/terms/"/>
    <ds:schemaRef ds:uri="http://purl.org/dc/elements/1.1/"/>
  </ds:schemaRefs>
</ds:datastoreItem>
</file>

<file path=customXml/itemProps3.xml><?xml version="1.0" encoding="utf-8"?>
<ds:datastoreItem xmlns:ds="http://schemas.openxmlformats.org/officeDocument/2006/customXml" ds:itemID="{12FEBEC9-B454-4EDF-92BC-C9FF9FEAE6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ad4e5c-ec04-496f-a1e8-4d2f2e3965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POA&amp;M Metrics</vt:lpstr>
      <vt:lpstr>POA&amp;M Template</vt:lpstr>
      <vt:lpstr>Vulnerability Tracking</vt:lpstr>
      <vt:lpstr>POA&amp;M Instructions</vt:lpstr>
      <vt:lpstr>Risk Calculation Instructions</vt:lpstr>
      <vt:lpstr>POA&amp;M Sample</vt:lpstr>
      <vt:lpstr>Data Sheet</vt:lpstr>
      <vt:lpstr>Change Log </vt:lpstr>
    </vt:vector>
  </TitlesOfParts>
  <Manager/>
  <Company>CDC/OCISO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POA&amp;M Template</dc:title>
  <dc:subject/>
  <dc:creator>Myrna Leonard</dc:creator>
  <cp:keywords/>
  <dc:description/>
  <cp:lastModifiedBy>Sean Drumheller</cp:lastModifiedBy>
  <cp:revision/>
  <dcterms:created xsi:type="dcterms:W3CDTF">2005-02-24T21:11:51Z</dcterms:created>
  <dcterms:modified xsi:type="dcterms:W3CDTF">2026-03-11T20:49:10Z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0x010100BDD1C2117BE02A4C868CE705A0581794</vt:lpwstr>
  </property>
</Properties>
</file>