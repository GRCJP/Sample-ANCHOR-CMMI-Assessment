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showInkAnnotation="0"/>
  <mc:AlternateContent xmlns:mc="http://schemas.openxmlformats.org/markup-compatibility/2006">
    <mc:Choice Requires="x15">
      <x15ac:absPath xmlns:x15ac="http://schemas.microsoft.com/office/spreadsheetml/2010/11/ac" url="C:\Users\Assurit-Prime\Desktop\CMMC_Current\Assessment\"/>
    </mc:Choice>
  </mc:AlternateContent>
  <xr:revisionPtr revIDLastSave="0" documentId="13_ncr:1_{5F479491-7DC6-4588-AB73-C2DFF15110AA}" xr6:coauthVersionLast="47" xr6:coauthVersionMax="47" xr10:uidLastSave="{00000000-0000-0000-0000-000000000000}"/>
  <bookViews>
    <workbookView xWindow="180" yWindow="24" windowWidth="37932" windowHeight="16524" tabRatio="656" activeTab="1" xr2:uid="{00000000-000D-0000-FFFF-FFFF00000000}"/>
  </bookViews>
  <sheets>
    <sheet name="Version Control" sheetId="50" r:id="rId1"/>
    <sheet name="System" sheetId="2" r:id="rId2"/>
    <sheet name="CtrlSummary" sheetId="3" r:id="rId3"/>
    <sheet name="AC" sheetId="30" r:id="rId4"/>
    <sheet name="AT" sheetId="33" r:id="rId5"/>
    <sheet name="AU" sheetId="34" r:id="rId6"/>
    <sheet name="CA" sheetId="52" r:id="rId7"/>
    <sheet name="CM" sheetId="36" r:id="rId8"/>
    <sheet name="IA" sheetId="38" r:id="rId9"/>
    <sheet name="IR" sheetId="39" r:id="rId10"/>
    <sheet name="MA" sheetId="40" r:id="rId11"/>
    <sheet name="MP" sheetId="41" r:id="rId12"/>
    <sheet name="PE" sheetId="42" r:id="rId13"/>
    <sheet name="PS" sheetId="44" r:id="rId14"/>
    <sheet name="RA" sheetId="45" r:id="rId15"/>
    <sheet name="SC" sheetId="32" r:id="rId16"/>
    <sheet name="SI" sheetId="47" r:id="rId17"/>
    <sheet name="Interview Questionnaire" sheetId="51" r:id="rId18"/>
    <sheet name="Findings Summary" sheetId="29" r:id="rId19"/>
  </sheets>
  <definedNames>
    <definedName name="_xlnm._FilterDatabase" localSheetId="3" hidden="1">AC!$A$1:$K$1</definedName>
    <definedName name="_xlnm._FilterDatabase" localSheetId="4" hidden="1">AT!$A$1:$K$1</definedName>
    <definedName name="_xlnm._FilterDatabase" localSheetId="5" hidden="1">AU!$A$1:$K$1</definedName>
    <definedName name="_xlnm._FilterDatabase" localSheetId="6" hidden="1">CA!$A$1:$K$1</definedName>
    <definedName name="_xlnm._FilterDatabase" localSheetId="7" hidden="1">CM!$A$1:$K$1</definedName>
    <definedName name="_xlnm._FilterDatabase" localSheetId="2" hidden="1">CtrlSummary!$A$1:$H$125</definedName>
    <definedName name="_xlnm._FilterDatabase" localSheetId="8" hidden="1">IA!$A$1:$K$1</definedName>
    <definedName name="_xlnm._FilterDatabase" localSheetId="9" hidden="1">IR!$A$1:$K$15</definedName>
    <definedName name="_xlnm._FilterDatabase" localSheetId="10" hidden="1">MA!$A$1:$K$11</definedName>
    <definedName name="_xlnm._FilterDatabase" localSheetId="11" hidden="1">MP!$A$1:$K$14</definedName>
    <definedName name="_xlnm._FilterDatabase" localSheetId="12" hidden="1">PE!$A$1:$K$17</definedName>
    <definedName name="_xlnm._FilterDatabase" localSheetId="13" hidden="1">PS!$A$1:$K$5</definedName>
    <definedName name="_xlnm._FilterDatabase" localSheetId="14" hidden="1">RA!$A$1:$K$10</definedName>
    <definedName name="_xlnm._FilterDatabase" localSheetId="15" hidden="1">SC!$A$1:$K$42</definedName>
    <definedName name="_xlnm._FilterDatabase" localSheetId="16" hidden="1">SI!$A$1:$K$21</definedName>
    <definedName name="_xlnm._FilterDatabase" localSheetId="1" hidden="1">System!#REF!</definedName>
    <definedName name="Low" localSheetId="6">#REF!</definedName>
    <definedName name="Low" localSheetId="2">CtrlSummary!#REF!</definedName>
    <definedName name="Low" localSheetId="18">#REF!</definedName>
    <definedName name="Lo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5" i="3" l="1"/>
  <c r="F86" i="3"/>
  <c r="E85" i="3"/>
  <c r="E86" i="3"/>
  <c r="F43" i="3"/>
  <c r="F42" i="3"/>
  <c r="F41" i="3"/>
  <c r="F40" i="3"/>
  <c r="E43" i="3"/>
  <c r="E42" i="3"/>
  <c r="E41" i="3"/>
  <c r="E40" i="3"/>
  <c r="C23" i="2"/>
  <c r="C25" i="2" s="1"/>
  <c r="L8" i="2"/>
  <c r="L7" i="2"/>
  <c r="F24" i="3"/>
  <c r="F23" i="3"/>
  <c r="F22" i="3"/>
  <c r="F21" i="3"/>
  <c r="F20" i="3"/>
  <c r="F19" i="3"/>
  <c r="F18" i="3"/>
  <c r="F17" i="3"/>
  <c r="F16" i="3"/>
  <c r="F15" i="3"/>
  <c r="F14" i="3"/>
  <c r="F13" i="3"/>
  <c r="F12" i="3"/>
  <c r="F11" i="3"/>
  <c r="F10" i="3"/>
  <c r="F9" i="3"/>
  <c r="F8" i="3"/>
  <c r="F7" i="3"/>
  <c r="F6" i="3"/>
  <c r="F5" i="3"/>
  <c r="F4" i="3"/>
  <c r="F3" i="3"/>
  <c r="F125" i="3"/>
  <c r="F124" i="3"/>
  <c r="F123" i="3"/>
  <c r="F122" i="3"/>
  <c r="F121" i="3"/>
  <c r="F120" i="3"/>
  <c r="F119" i="3"/>
  <c r="F117" i="3"/>
  <c r="F116" i="3"/>
  <c r="F115" i="3"/>
  <c r="F114" i="3"/>
  <c r="F113" i="3"/>
  <c r="F112" i="3"/>
  <c r="F111" i="3"/>
  <c r="F110" i="3"/>
  <c r="F109" i="3"/>
  <c r="F108" i="3"/>
  <c r="F107" i="3"/>
  <c r="F106" i="3"/>
  <c r="F105" i="3"/>
  <c r="F104" i="3"/>
  <c r="F103" i="3"/>
  <c r="F102" i="3"/>
  <c r="F100" i="3"/>
  <c r="F99" i="3"/>
  <c r="F98" i="3"/>
  <c r="F96" i="3"/>
  <c r="F95" i="3"/>
  <c r="F93" i="3"/>
  <c r="F92" i="3"/>
  <c r="F91" i="3"/>
  <c r="F90" i="3"/>
  <c r="F89" i="3"/>
  <c r="F88" i="3"/>
  <c r="F84" i="3"/>
  <c r="F83" i="3"/>
  <c r="F82" i="3"/>
  <c r="F81" i="3"/>
  <c r="F80" i="3"/>
  <c r="F79" i="3"/>
  <c r="F78" i="3"/>
  <c r="F76" i="3"/>
  <c r="F75" i="3"/>
  <c r="F74" i="3"/>
  <c r="F73" i="3"/>
  <c r="F72" i="3"/>
  <c r="F71" i="3"/>
  <c r="F69" i="3"/>
  <c r="F68" i="3"/>
  <c r="F67" i="3"/>
  <c r="F65" i="3"/>
  <c r="F64" i="3"/>
  <c r="F63" i="3"/>
  <c r="F62" i="3"/>
  <c r="F61" i="3"/>
  <c r="F60" i="3"/>
  <c r="F59" i="3"/>
  <c r="F58" i="3"/>
  <c r="F57" i="3"/>
  <c r="F56" i="3"/>
  <c r="F55" i="3"/>
  <c r="F53" i="3"/>
  <c r="F52" i="3"/>
  <c r="F51" i="3"/>
  <c r="F50" i="3"/>
  <c r="F49" i="3"/>
  <c r="F48" i="3"/>
  <c r="F47" i="3"/>
  <c r="F46" i="3"/>
  <c r="F45" i="3"/>
  <c r="P8" i="2" s="1"/>
  <c r="F38" i="3"/>
  <c r="F37" i="3"/>
  <c r="F36" i="3"/>
  <c r="F35" i="3"/>
  <c r="F34" i="3"/>
  <c r="F33" i="3"/>
  <c r="F32" i="3"/>
  <c r="F31" i="3"/>
  <c r="F30" i="3"/>
  <c r="F28" i="3"/>
  <c r="F27" i="3"/>
  <c r="F26" i="3"/>
  <c r="E125" i="3"/>
  <c r="E124" i="3"/>
  <c r="E123" i="3"/>
  <c r="E122" i="3"/>
  <c r="E121" i="3"/>
  <c r="E120" i="3"/>
  <c r="E119" i="3"/>
  <c r="E117" i="3"/>
  <c r="E116" i="3"/>
  <c r="E115" i="3"/>
  <c r="E114" i="3"/>
  <c r="E113" i="3"/>
  <c r="E112" i="3"/>
  <c r="E111" i="3"/>
  <c r="E110" i="3"/>
  <c r="E109" i="3"/>
  <c r="E108" i="3"/>
  <c r="E107" i="3"/>
  <c r="E106" i="3"/>
  <c r="E105" i="3"/>
  <c r="E104" i="3"/>
  <c r="E103" i="3"/>
  <c r="E102" i="3"/>
  <c r="E100" i="3"/>
  <c r="E99" i="3"/>
  <c r="E98" i="3"/>
  <c r="E96" i="3"/>
  <c r="E95" i="3"/>
  <c r="E93" i="3"/>
  <c r="E92" i="3"/>
  <c r="E91" i="3"/>
  <c r="E90" i="3"/>
  <c r="E89" i="3"/>
  <c r="E88" i="3"/>
  <c r="E84" i="3"/>
  <c r="E83" i="3"/>
  <c r="E82" i="3"/>
  <c r="E81" i="3"/>
  <c r="E80" i="3"/>
  <c r="E79" i="3"/>
  <c r="E78" i="3"/>
  <c r="E76" i="3"/>
  <c r="E75" i="3"/>
  <c r="E74" i="3"/>
  <c r="E73" i="3"/>
  <c r="E72" i="3"/>
  <c r="E71" i="3"/>
  <c r="E69" i="3"/>
  <c r="E68" i="3"/>
  <c r="E67" i="3"/>
  <c r="E65" i="3"/>
  <c r="E64" i="3"/>
  <c r="E63" i="3"/>
  <c r="E62" i="3"/>
  <c r="E61" i="3"/>
  <c r="E60" i="3"/>
  <c r="E59" i="3"/>
  <c r="E58" i="3"/>
  <c r="E57" i="3"/>
  <c r="E56" i="3"/>
  <c r="E55" i="3"/>
  <c r="E53" i="3"/>
  <c r="E52" i="3"/>
  <c r="E51" i="3"/>
  <c r="E50" i="3"/>
  <c r="E49" i="3"/>
  <c r="E48" i="3"/>
  <c r="E47" i="3"/>
  <c r="E46" i="3"/>
  <c r="E45" i="3"/>
  <c r="E38" i="3"/>
  <c r="E37" i="3"/>
  <c r="E36" i="3"/>
  <c r="E35" i="3"/>
  <c r="E34" i="3"/>
  <c r="E33" i="3"/>
  <c r="E32" i="3"/>
  <c r="E31" i="3"/>
  <c r="E30" i="3"/>
  <c r="E28" i="3"/>
  <c r="E27" i="3"/>
  <c r="E26" i="3"/>
  <c r="E24" i="3"/>
  <c r="E23" i="3"/>
  <c r="E22" i="3"/>
  <c r="E21" i="3"/>
  <c r="E20" i="3"/>
  <c r="E19" i="3"/>
  <c r="E18" i="3"/>
  <c r="E17" i="3"/>
  <c r="E16" i="3"/>
  <c r="E15" i="3"/>
  <c r="E14" i="3"/>
  <c r="E13" i="3"/>
  <c r="E12" i="3"/>
  <c r="E11" i="3"/>
  <c r="E10" i="3"/>
  <c r="E9" i="3"/>
  <c r="E8" i="3"/>
  <c r="E7" i="3"/>
  <c r="E6" i="3"/>
  <c r="E5" i="3"/>
  <c r="E4" i="3"/>
  <c r="E3" i="3"/>
  <c r="T8" i="2" l="1"/>
  <c r="T7" i="2"/>
  <c r="T13" i="2"/>
  <c r="T12" i="2"/>
  <c r="T18" i="2"/>
  <c r="T17" i="2"/>
  <c r="L28" i="2"/>
  <c r="L27" i="2"/>
  <c r="L12" i="2"/>
  <c r="L13" i="2"/>
  <c r="P7" i="2"/>
  <c r="H18" i="2"/>
  <c r="H17" i="2"/>
  <c r="L23" i="2"/>
  <c r="L22" i="2"/>
  <c r="H13" i="2"/>
  <c r="H12" i="2"/>
  <c r="H8" i="2"/>
  <c r="P13" i="2"/>
  <c r="P12" i="2"/>
  <c r="P18" i="2"/>
  <c r="P17" i="2"/>
  <c r="L18" i="2"/>
  <c r="L17" i="2"/>
  <c r="H7" i="2"/>
  <c r="C19" i="2"/>
  <c r="C11" i="2"/>
  <c r="C7" i="2"/>
  <c r="D11" i="2" l="1"/>
  <c r="C18" i="2"/>
  <c r="C20" i="2" s="1"/>
  <c r="D20" i="2" s="1"/>
  <c r="C13" i="2"/>
  <c r="D13" i="2" s="1"/>
  <c r="C9" i="2"/>
  <c r="D9" i="2" s="1"/>
  <c r="C12" i="2"/>
  <c r="D12" i="2" s="1"/>
  <c r="C10" i="2"/>
  <c r="D10" i="2" s="1"/>
  <c r="D19" i="2" l="1"/>
  <c r="D18" i="2"/>
  <c r="C14" i="2"/>
  <c r="D14" i="2" s="1"/>
</calcChain>
</file>

<file path=xl/sharedStrings.xml><?xml version="1.0" encoding="utf-8"?>
<sst xmlns="http://schemas.openxmlformats.org/spreadsheetml/2006/main" count="3284" uniqueCount="1635">
  <si>
    <t>Security Requirements Traceability Matrix (SRTM) Workbook</t>
  </si>
  <si>
    <t>Description</t>
  </si>
  <si>
    <t>Template Version Control</t>
  </si>
  <si>
    <t>Date</t>
  </si>
  <si>
    <t>Person entering change</t>
  </si>
  <si>
    <t>Version #</t>
  </si>
  <si>
    <t>Comment</t>
  </si>
  <si>
    <t>Thang Pham</t>
  </si>
  <si>
    <t>1.0</t>
  </si>
  <si>
    <t>Template Owner</t>
  </si>
  <si>
    <t>Name:</t>
  </si>
  <si>
    <t>Org:</t>
  </si>
  <si>
    <t>Assurit</t>
  </si>
  <si>
    <t>Title:</t>
  </si>
  <si>
    <t>Vice President</t>
  </si>
  <si>
    <t>Phone:</t>
  </si>
  <si>
    <t>703-403-4939</t>
  </si>
  <si>
    <t>E-mail:</t>
  </si>
  <si>
    <t>Internal</t>
  </si>
  <si>
    <t>External</t>
  </si>
  <si>
    <t>Stand-alone</t>
  </si>
  <si>
    <t>System Name</t>
  </si>
  <si>
    <t xml:space="preserve">Organization </t>
  </si>
  <si>
    <t>Categorization Level</t>
  </si>
  <si>
    <t>Access Control Summary</t>
  </si>
  <si>
    <t>IMPLEMENTATION STATUS</t>
  </si>
  <si>
    <t>Count</t>
  </si>
  <si>
    <t>Status</t>
  </si>
  <si>
    <t>% of Total Controls</t>
  </si>
  <si>
    <t>Implemented</t>
  </si>
  <si>
    <t>Partially Implemented</t>
  </si>
  <si>
    <t>Planned</t>
  </si>
  <si>
    <t>Configuration Management Summary</t>
  </si>
  <si>
    <t>Media Protection Summary</t>
  </si>
  <si>
    <t>Inherited</t>
  </si>
  <si>
    <t>Not Selected</t>
  </si>
  <si>
    <t>Total</t>
  </si>
  <si>
    <t>ASSESSMENT RESULTS (CURRENT)</t>
  </si>
  <si>
    <t>Result</t>
  </si>
  <si>
    <t>Risk Assessment Summary</t>
  </si>
  <si>
    <t>Incident Response Summary</t>
  </si>
  <si>
    <t>Personnel Security Summary</t>
  </si>
  <si>
    <t>Control ID</t>
  </si>
  <si>
    <t>Control Name</t>
  </si>
  <si>
    <t>Implementation Status</t>
  </si>
  <si>
    <t>Assessment Result</t>
  </si>
  <si>
    <t>Access Control (AC)</t>
  </si>
  <si>
    <t>AC</t>
  </si>
  <si>
    <t>Separation of Duties</t>
  </si>
  <si>
    <t>Least Privilege</t>
  </si>
  <si>
    <t>Unsuccessful Logon Attempts</t>
  </si>
  <si>
    <t>Session Termination</t>
  </si>
  <si>
    <t>Awareness and Training (AT)</t>
  </si>
  <si>
    <t>AT</t>
  </si>
  <si>
    <t>Role-Based Training</t>
  </si>
  <si>
    <t>Audit and Accountability (AU)</t>
  </si>
  <si>
    <t>AU</t>
  </si>
  <si>
    <t>CA</t>
  </si>
  <si>
    <t>Configuration Management (CM)</t>
  </si>
  <si>
    <t>CM</t>
  </si>
  <si>
    <t>Access Restrictions for Change</t>
  </si>
  <si>
    <t>Least Functionality</t>
  </si>
  <si>
    <t>User-Installed Software</t>
  </si>
  <si>
    <t>Identification and Authentication (IA)</t>
  </si>
  <si>
    <t>IA</t>
  </si>
  <si>
    <t>Incident Response (IR)</t>
  </si>
  <si>
    <t>IR</t>
  </si>
  <si>
    <t>Incident Response Testing</t>
  </si>
  <si>
    <t>Incident Handling</t>
  </si>
  <si>
    <t>Incident Reporting</t>
  </si>
  <si>
    <t>Maintenance (MA)</t>
  </si>
  <si>
    <t>MA</t>
  </si>
  <si>
    <t>Nonlocal Maintenance</t>
  </si>
  <si>
    <t>Maintenance Personnel</t>
  </si>
  <si>
    <t>Media Protection (MP)</t>
  </si>
  <si>
    <t>MP</t>
  </si>
  <si>
    <t>Media Access</t>
  </si>
  <si>
    <t>Physical and Environmental Protection (PE)</t>
  </si>
  <si>
    <t>PE</t>
  </si>
  <si>
    <t>Personnel Security (PS)</t>
  </si>
  <si>
    <t>PS</t>
  </si>
  <si>
    <t>Risk Assessment (RA)</t>
  </si>
  <si>
    <t>RA</t>
  </si>
  <si>
    <t>System and Communications Protection (SC)</t>
  </si>
  <si>
    <t>SC</t>
  </si>
  <si>
    <t>Boundary Protection</t>
  </si>
  <si>
    <t>Mobile Code</t>
  </si>
  <si>
    <t>System and Information Integrity (SI)</t>
  </si>
  <si>
    <t>SI</t>
  </si>
  <si>
    <t>Flaw Remediation</t>
  </si>
  <si>
    <t>Malicious Code Protection</t>
  </si>
  <si>
    <t>Observation/Reason for Failure</t>
  </si>
  <si>
    <t>Reconcilied</t>
  </si>
  <si>
    <t>Procedure ID</t>
  </si>
  <si>
    <t>Assessment Objective/Determine if:</t>
  </si>
  <si>
    <t>EXAMINE</t>
  </si>
  <si>
    <t>INTERVIEW</t>
  </si>
  <si>
    <t>TEST</t>
  </si>
  <si>
    <t>Observation Statement</t>
  </si>
  <si>
    <t>Evidence/Artifacts</t>
  </si>
  <si>
    <t xml:space="preserve"> Controls Interview Questionnaire</t>
  </si>
  <si>
    <t>ID</t>
  </si>
  <si>
    <t>Interview Question</t>
  </si>
  <si>
    <t>Answer</t>
  </si>
  <si>
    <t>Personnel Name/Role</t>
  </si>
  <si>
    <t>All Controls</t>
  </si>
  <si>
    <t>Created from NIST SP 800-171R2 &amp; 800-171A</t>
  </si>
  <si>
    <t>IDENTIFICATION &amp; ACCESS MANAGEMENT</t>
  </si>
  <si>
    <t>CYBERSECURITY OVERSIGHT &amp; MANAGEMENT</t>
  </si>
  <si>
    <t>CONFIGURATION MANAGEMENT</t>
  </si>
  <si>
    <t>NETWORK DEFENSE</t>
  </si>
  <si>
    <t>MET</t>
  </si>
  <si>
    <t>NOT MET</t>
  </si>
  <si>
    <t>Audit &amp; Accountability Summary</t>
  </si>
  <si>
    <t>Identification &amp; Authentication Summary</t>
  </si>
  <si>
    <t>Awareness &amp; Training Summary</t>
  </si>
  <si>
    <t>Physical Protection Summary</t>
  </si>
  <si>
    <t>Security Assessment Summary</t>
  </si>
  <si>
    <t>Maintenance Summary</t>
  </si>
  <si>
    <t>System &amp; Communications Protection Summary</t>
  </si>
  <si>
    <t>System &amp; Information Integrity Summary</t>
  </si>
  <si>
    <t>Total Allowable Points</t>
  </si>
  <si>
    <t>Percentage</t>
  </si>
  <si>
    <t>Domain</t>
  </si>
  <si>
    <t>CMMC ID</t>
  </si>
  <si>
    <t>Practice Name</t>
  </si>
  <si>
    <t>Assurit ID</t>
  </si>
  <si>
    <t>Authorized Access Control</t>
  </si>
  <si>
    <t>AC.L1-3.1.1</t>
  </si>
  <si>
    <t>3.1.1 [a]</t>
  </si>
  <si>
    <t>3.1.1 [b]</t>
  </si>
  <si>
    <t>3.1.1 [c]</t>
  </si>
  <si>
    <t>3.1.1 [d]</t>
  </si>
  <si>
    <t>3.1.1 [e]</t>
  </si>
  <si>
    <t>3.1.1 [f]</t>
  </si>
  <si>
    <t>Transaction &amp; Function Control</t>
  </si>
  <si>
    <t>AC.L1-3.1.2</t>
  </si>
  <si>
    <t>3.1.2 [a]</t>
  </si>
  <si>
    <t>3.1.2 [b]</t>
  </si>
  <si>
    <t>AC.L2-3.1.3</t>
  </si>
  <si>
    <t>AC.L2-3.1.4</t>
  </si>
  <si>
    <t>AC.L2-3.1.5</t>
  </si>
  <si>
    <t>AC.L2-3.1.6</t>
  </si>
  <si>
    <t>AC.L2-3.1.7</t>
  </si>
  <si>
    <t>AC.L2-3.1.8</t>
  </si>
  <si>
    <t>AC.L2-3.1.9</t>
  </si>
  <si>
    <t>AC.L2-3.1.10</t>
  </si>
  <si>
    <t>AC.L2-3.1.11</t>
  </si>
  <si>
    <t>AC.L2-3.1.12</t>
  </si>
  <si>
    <t>AC.L2-3.1.13</t>
  </si>
  <si>
    <t>AC.L2-3.1.14</t>
  </si>
  <si>
    <t>AC.L2-3.1.15</t>
  </si>
  <si>
    <t>AC.L2-3.1.16</t>
  </si>
  <si>
    <t>AC.L2-3.1.17</t>
  </si>
  <si>
    <t>AC.L2-3.1.18</t>
  </si>
  <si>
    <t>AC.L2-3.1.19</t>
  </si>
  <si>
    <t>AC.L1-3.1.20</t>
  </si>
  <si>
    <t>AC.L2-3.1.21</t>
  </si>
  <si>
    <t>AC.L1-3.1.22</t>
  </si>
  <si>
    <t>External Connections</t>
  </si>
  <si>
    <t>3.1.20 [a]</t>
  </si>
  <si>
    <t>3.1.20 [b]</t>
  </si>
  <si>
    <t>3.1.20 [c]</t>
  </si>
  <si>
    <t>3.1.20 [d]</t>
  </si>
  <si>
    <t>3.1.20 [e]</t>
  </si>
  <si>
    <t>3.1.20 [f]</t>
  </si>
  <si>
    <t>Control Public Information</t>
  </si>
  <si>
    <t>3.1.22 [a]</t>
  </si>
  <si>
    <t>3.1.22 [b]</t>
  </si>
  <si>
    <t>3.1.22 [c]</t>
  </si>
  <si>
    <t>3.1.22 [d]</t>
  </si>
  <si>
    <t>3.1.22 [e]</t>
  </si>
  <si>
    <t>Control CUI Flow</t>
  </si>
  <si>
    <t>Non-Privileged Account Use</t>
  </si>
  <si>
    <t>Privileged Functions</t>
  </si>
  <si>
    <t>Privacy &amp; Security Notices</t>
  </si>
  <si>
    <t>Session Lock</t>
  </si>
  <si>
    <t>Control Remote Access</t>
  </si>
  <si>
    <t>Remote Access Confidentiality</t>
  </si>
  <si>
    <t>Remote Access Routing</t>
  </si>
  <si>
    <t>Privileged Remote Access</t>
  </si>
  <si>
    <t>Wireless Access Authorization</t>
  </si>
  <si>
    <t>Wireless Access Protection</t>
  </si>
  <si>
    <t>Mobile Device Connection</t>
  </si>
  <si>
    <t>Encrypt CUI on Mobile</t>
  </si>
  <si>
    <t>Portable Storage Use</t>
  </si>
  <si>
    <t>3.1.3 [a]</t>
  </si>
  <si>
    <t>3.1.3 [b]</t>
  </si>
  <si>
    <t>3.1.3 [c]</t>
  </si>
  <si>
    <t>3.1.3 [d]</t>
  </si>
  <si>
    <t>3.1.3 [e]</t>
  </si>
  <si>
    <t>3.1.4 [a]</t>
  </si>
  <si>
    <t>3.1.4 [b]</t>
  </si>
  <si>
    <t>3.1.4 [c]</t>
  </si>
  <si>
    <t>3.1.5 [a]</t>
  </si>
  <si>
    <t>3.1.5 [b]</t>
  </si>
  <si>
    <t>3.1.5 [c]</t>
  </si>
  <si>
    <t>3.1.5 [d]</t>
  </si>
  <si>
    <t>3.1.6 [b]</t>
  </si>
  <si>
    <t>3.1.6 [a]</t>
  </si>
  <si>
    <t>3.1.7 [a]</t>
  </si>
  <si>
    <t>3.1.7 [b]</t>
  </si>
  <si>
    <t>3.1.7 [c]</t>
  </si>
  <si>
    <t>3.1.7 [d]</t>
  </si>
  <si>
    <t>3.1.8 [a]</t>
  </si>
  <si>
    <t>3.1.8 [b]</t>
  </si>
  <si>
    <t>3.1.9 [a]</t>
  </si>
  <si>
    <t>3.1.9 [b]</t>
  </si>
  <si>
    <t>3.1.10 [a]</t>
  </si>
  <si>
    <t>3.1.10 [b]</t>
  </si>
  <si>
    <t>3.1.10 [c]</t>
  </si>
  <si>
    <t>3.1.11 [a]</t>
  </si>
  <si>
    <t>3.1.11 [b]</t>
  </si>
  <si>
    <t>3.1.12 [a]</t>
  </si>
  <si>
    <t>3.1.12 [b]</t>
  </si>
  <si>
    <t>3.1.12 [c]</t>
  </si>
  <si>
    <t>3.1.12 [d]</t>
  </si>
  <si>
    <t>3.1.13 [a]</t>
  </si>
  <si>
    <t>3.1.13 [b]</t>
  </si>
  <si>
    <t>3.1.14 [a]</t>
  </si>
  <si>
    <t>3.1.14 [b]</t>
  </si>
  <si>
    <t>3.1.15 [a]</t>
  </si>
  <si>
    <t>3.1.15 [b]</t>
  </si>
  <si>
    <t>3.1.15 [c]</t>
  </si>
  <si>
    <t>3.1.15 [d]</t>
  </si>
  <si>
    <t>3.1.16 [a]</t>
  </si>
  <si>
    <t>3.1.16 [b]</t>
  </si>
  <si>
    <t>3.1.17 [a]</t>
  </si>
  <si>
    <t>3.1.17 [b]</t>
  </si>
  <si>
    <t>3.1.18 [a]</t>
  </si>
  <si>
    <t>3.1.18 [b]</t>
  </si>
  <si>
    <t>3.1.18 [c]</t>
  </si>
  <si>
    <t>3.1.19 [a]</t>
  </si>
  <si>
    <t>3.1.19 [b]</t>
  </si>
  <si>
    <t>3.1.21 [a]</t>
  </si>
  <si>
    <t>3.1.21 [b]</t>
  </si>
  <si>
    <t>3.1.21 [c]</t>
  </si>
  <si>
    <t>[SELECT FROM: Access control policy; procedures addressing least privilege; system security plan; list of system-generated security functions assigned to system accounts or roles; system configuration settings and associated documentation; system audit logs and records; other relevant documents or records].</t>
  </si>
  <si>
    <t>Examine: [SELECT FROM: Access control policy; procedures addressing unsuccessful logon attempts; system security plan; system design documentation; system configuration settings and associated documentation; system audit logs and records; other relevant documents or records].</t>
  </si>
  <si>
    <t>Interview: [SELECT FROM: Personnel with information security responsibilities; system developers; system or network administrators].</t>
  </si>
  <si>
    <t>Test: [SELECT FROM: Mechanisms implementing access control policy for unsuccessful logon attempts].</t>
  </si>
  <si>
    <t>Examine: [SELECT FROM: Access control policy; procedures addressing least privilege; system security plan; system design documentation; list of privileged functions and associated user account assignments; system configuration settings and associated documentation; system audit logs and records; other relevant documents or records].</t>
  </si>
  <si>
    <t>Interview: [SELECT FROM: Personnel with responsibilities for defining least privileges necessary to accomplish specified tasks; personnel with information security responsibilities; system developers].</t>
  </si>
  <si>
    <t>Test: [SELECT FROM: Mechanisms implementing least privilege functions for non-privileged users; mechanisms auditing the execution of privileged functions].</t>
  </si>
  <si>
    <t>Examine: [SELECT FROM: Access control policy; procedures addressing account management; system security plan; system design documentation; system configuration settings and associated documentation; list of active system accounts and the name of the individual associated with each account; list of conditions for group and role membership; notifications or records of recently transferred, separated, or terminated employees; list of recently disabled system accounts along with the name of the individual associated with each account; access authorization records; account management compliance reviews; system monitoring/audit records; procedures addressing least privilege; list of security functions (deployed in hardware, software, and firmware) and security-relevant information for which access is to be explicitly authorized; list of system-generated privileged accounts; list of system administration personnel; other relevant documents or records].</t>
  </si>
  <si>
    <t>Examine: [SELECT FROM: Access control policy; procedures addressing divisions of responsibility and separation of duties; system security plan; system configuration settings and associated documentation; list of divisions of responsibility and separation of duties; system access authorizations; system audit logs and records; other relevant documents or records].</t>
  </si>
  <si>
    <t>Examine: [SELECT FROM: Access control policy; information flow control policies; procedures addressing information flow enforcement; system security plan; system design documentation; system configuration settings and associated documentation; list of information flow authorizations; system baseline configuration; system audit logs and records; other relevant documents or records].</t>
  </si>
  <si>
    <t>Examine: [SELECT FROM: Access control policy; procedures addressing account management; system security plan; system design documentation; system configuration settings and associated documentation; list of active system accounts and the name of the individual associated with each account; notifications or records of recently transferred, separated, or terminated employees; list of conditions for group and role membership; list of recently disabled system accounts along with the name of the individual associated with each account; access authorization records; account management compliance reviews; system monitoring records; system audit logs and records; list of devices and systems authorized to connect to organizational systems; other relevant documents or records].</t>
  </si>
  <si>
    <t>Interview: [SELECT FROM: Personnel with account management responsibilities; system or network administrators; personnel with information security responsibilities].</t>
  </si>
  <si>
    <t>Interview: [SELECT FROM: Personnel with access enforcement responsibilities; system or network administrators; personnel with information security responsibilities; system developers].</t>
  </si>
  <si>
    <t>Interview: [SELECT FROM: System or network administrators; personnel with information security responsibilities; system developers].</t>
  </si>
  <si>
    <t>Interview: [SELECT FROM: Personnel with responsibilities for defining divisions of responsibility and separation of duties; personnel with information security responsibilities; system or network administrators].</t>
  </si>
  <si>
    <t>Interview: [SELECT FROM: Personnel with account management responsibilities; system or network administrators; personnel with information security responsibilities; personnel with responsibilities for defining least privileges necessary to accomplish specified tasks].</t>
  </si>
  <si>
    <t>Interview: [SELECT FROM: Personnel with responsibilities for defining least privileges necessary to accomplish specified organizational tasks; personnel with information security responsibilities; system or network administrators].</t>
  </si>
  <si>
    <t>Test: [SELECT FROM: Mechanisms implementing least privilege functions].</t>
  </si>
  <si>
    <t>Test: [SELECT FROM: Organizational processes for managing system accounts; mechanisms for implementing account management; mechanisms implementing least privilege functions; mechanisms prohibiting privileged access to the system].</t>
  </si>
  <si>
    <t>Test: [SELECT FROM: Mechanisms implementing separation of duties policy].</t>
  </si>
  <si>
    <t>Test: [SELECT FROM: Mechanisms implementing information flow enforcement policy].</t>
  </si>
  <si>
    <t>Test: [SELECT FROM: Mechanisms implementing access control policy].</t>
  </si>
  <si>
    <t>Test: [SELECT FROM: Organizational processes for managing system accounts; mechanisms for implementing account management].</t>
  </si>
  <si>
    <t>Examine: [SELECT FROM: Privacy and security policies, procedures addressing system use notification; documented approval of system use notification messages or banners; system audit logs and records; system design documentation; user acknowledgements of notification message or banner; system security plan; system use notification messages; system configuration settings and associated documentation; other relevant documents or records].</t>
  </si>
  <si>
    <t>Interview: [SELECT FROM: System or network administrators; personnel with information security responsibilities; personnel with responsibility for providing legal advice; system developers].</t>
  </si>
  <si>
    <t>Test: [SELECT FROM: Mechanisms implementing system use notification].</t>
  </si>
  <si>
    <t>Examine: [SELECT FROM: Access control policy; procedures addressing session lock; procedures addressing identification and authentication; system design documentation; system configuration settings and associated documentation; system security plan; other relevant documents or records].</t>
  </si>
  <si>
    <t>Test: [SELECT FROM: Mechanisms implementing access control policy for session lock].</t>
  </si>
  <si>
    <t>Examine: [SELECT FROM: Access control policy; procedures addressing session termination; system design documentation; system security plan; system configuration settings and associated documentation; list of conditions or trigger events requiring session disconnect; system audit logs and records; other relevant documents or records].</t>
  </si>
  <si>
    <t>Test: [SELECT FROM: Mechanisms implementing user session termination].</t>
  </si>
  <si>
    <t>Examine: [SELECT FROM: Access control policy; procedures addressing remote access implementation and usage (including restrictions); configuration management plan; system security plan; system design documentation; system configuration settings and associated documentation; remote access authorizations; system audit logs and records; other relevant documents or records].</t>
  </si>
  <si>
    <t>Interview: [SELECT FROM: Personnel with responsibilities for managing remote access connections; system or network administrators; personnel with information security responsibilities].</t>
  </si>
  <si>
    <t>Test: [SELECT FROM: Remote access management capability for the system].</t>
  </si>
  <si>
    <t>Examine: [SELECT FROM: Access control policy; procedures addressing remote access to the system; system security plan; system design documentation; system configuration settings and associated documentation; cryptographic mechanisms and associated configuration documentation; system audit logs and records; other relevant documents or records].</t>
  </si>
  <si>
    <t>Test: [SELECT FROM: Cryptographic mechanisms protecting remote access sessions].</t>
  </si>
  <si>
    <t>Examine: [SELECT FROM: Access control policy; procedures addressing remote access to the system; system security plan; system design documentation; list of all managed network access control points; system configuration settings and associated documentation; system audit logs and records; other relevant documents or records].</t>
  </si>
  <si>
    <t>Interview: [SELECT FROM: System or network administrators; personnel with information security responsibilities].</t>
  </si>
  <si>
    <t>Test: [SELECT FROM: Mechanisms routing all remote accesses through managed network access control points].</t>
  </si>
  <si>
    <t>Examine: [SELECT FROM: Access control policy; procedures addressing remote access to the system; system configuration settings and associated documentation; system security plan; system audit logs and records; other relevant documents or records].</t>
  </si>
  <si>
    <t>Test: [SELECT FROM: Mechanisms implementing remote access management].</t>
  </si>
  <si>
    <t>Examine: [SELECT FROM: Access control policy; configuration management plan; procedures addressing wireless access implementation and usage (including restrictions); system security plan; system design documentation; system configuration settings and associated documentation; wireless access authorizations; system audit logs and records; other relevant documents or records].</t>
  </si>
  <si>
    <t>Interview: [SELECT FROM: Personnel with responsibilities for managing wireless access connections; personnel with information security responsibilities].</t>
  </si>
  <si>
    <t>Test: [SELECT FROM: Wireless access management capability for the system].</t>
  </si>
  <si>
    <t>Examine: [SELECT FROM: Access control policy; system design documentation; procedures addressing wireless implementation and usage (including restrictions); system security plan; system configuration settings and associated documentation; system audit logs and records; other relevant documents or records].</t>
  </si>
  <si>
    <t>Test: [SELECT FROM: Mechanisms implementing wireless access protections to the system].</t>
  </si>
  <si>
    <t>Examine: [SELECT FROM: Access control policy; authorizations for mobile device connections to organizational systems; procedures addressing access control for mobile device usage (including restrictions); system design documentation; configuration management plan; system security plan; system audit logs and records; system configuration settings and associated documentation; other relevant documents or records].</t>
  </si>
  <si>
    <t>Interview: [SELECT FROM: Personnel using mobile devices to access organizational systems; system or network administrators; personnel with information security responsibilities].</t>
  </si>
  <si>
    <t>Test: [SELECT FROM: Access control capability authorizing mobile device connections to organizational systems].</t>
  </si>
  <si>
    <t>Examine: [SELECT FROM: Access control policy; procedures addressing access control for mobile devices; system design documentation; system configuration settings and associated documentation; encryption mechanisms and associated configuration documentation; system security plan; system audit logs and records; other relevant documents or records].</t>
  </si>
  <si>
    <t>Interview: [SELECT FROM: Personnel with access control responsibilities for mobile devices; system or network administrators; personnel with information security responsibilities].</t>
  </si>
  <si>
    <t>Examine: [SELECT FROM: Access control policy; procedures addressing the use of external systems; terms and conditions for external systems; system security plan; list of applications accessible from external systems; system configuration settings and associated documentation; system connection or processing agreements; account management documents; other relevant documents or records].</t>
  </si>
  <si>
    <t>Interview: [SELECT FROM: Personnel with responsibilities for defining terms and conditions for use of external systems to access organizational systems; system or network administrators; personnel with information security responsibilities].</t>
  </si>
  <si>
    <t>Test: [SELECT FROM: Mechanisms implementing terms and conditions on use of external systems].</t>
  </si>
  <si>
    <t>Test: [SELECT FROM: Encryption mechanisms protecting confidentiality of information on mobile devices].</t>
  </si>
  <si>
    <t>Examine: [SELECT FROM: Access control policy; procedures addressing the use of external systems; system security plan; system configuration settings and associated documentation; system connection or processing agreements; account management documents; other relevant documents or records].</t>
  </si>
  <si>
    <t>Interview: [SELECT FROM: Personnel with responsibilities for restricting or prohibiting use of organization-controlled storage devices on external systems; system or network administrators; personnel with information security responsibilities].</t>
  </si>
  <si>
    <t>Test: [SELECT FROM: Mechanisms implementing restrictions on use of portable storage devices].</t>
  </si>
  <si>
    <t>Examine: [SELECT FROM: Access control policy; procedures addressing publicly accessible content; system security plan; list of users authorized to post publicly accessible content on organizational systems; training materials and/or records; records of publicly accessible information reviews; records of response to nonpublic information on public websites; system audit logs and records; security awareness training records; other relevant documents or records].</t>
  </si>
  <si>
    <t>Interview: [SELECT FROM: Personnel with responsibilities for managing publicly accessible information posted on organizational systems; personnel with information security responsibilities].</t>
  </si>
  <si>
    <t>Test: [SELECT FROM: Mechanisms implementing management of publicly accessible content].</t>
  </si>
  <si>
    <t>CMMC Level</t>
  </si>
  <si>
    <t>Examine: [SELECT FROM: Access control policy; procedures addressing access enforcement; system security plan; system design documentation; list of approved authorizations including remote access authorizations; system audit logs and records; system configuration settings and associated documentation; other relevant documents or records].</t>
  </si>
  <si>
    <t>Role-Based Risk Awareness</t>
  </si>
  <si>
    <t>AT.L2-3.2.1</t>
  </si>
  <si>
    <t>3.2.1 [a]</t>
  </si>
  <si>
    <t>AT.L2-3.2.2</t>
  </si>
  <si>
    <t>AT.L2-3.2.3</t>
  </si>
  <si>
    <t>3.2.1 [b]</t>
  </si>
  <si>
    <t>3.2.1 [c]</t>
  </si>
  <si>
    <t>3.2.1 [d]</t>
  </si>
  <si>
    <r>
      <t xml:space="preserve">security risks associated with organizational activities involving CUI are </t>
    </r>
    <r>
      <rPr>
        <b/>
        <sz val="11"/>
        <color rgb="FF000000"/>
        <rFont val="Aptos"/>
        <family val="2"/>
        <scheme val="minor"/>
      </rPr>
      <t>identified</t>
    </r>
    <r>
      <rPr>
        <sz val="11"/>
        <color indexed="8"/>
        <rFont val="Aptos"/>
        <family val="2"/>
        <scheme val="minor"/>
      </rPr>
      <t>;</t>
    </r>
  </si>
  <si>
    <r>
      <t xml:space="preserve">policies, standards, and procedures related to the security of the system are </t>
    </r>
    <r>
      <rPr>
        <b/>
        <sz val="11"/>
        <color rgb="FF000000"/>
        <rFont val="Aptos"/>
        <family val="2"/>
        <scheme val="minor"/>
      </rPr>
      <t>identified</t>
    </r>
    <r>
      <rPr>
        <sz val="11"/>
        <color indexed="8"/>
        <rFont val="Aptos"/>
        <family val="2"/>
        <scheme val="minor"/>
      </rPr>
      <t>;</t>
    </r>
  </si>
  <si>
    <r>
      <t xml:space="preserve">managers, systems administrators, and users of the system are </t>
    </r>
    <r>
      <rPr>
        <b/>
        <sz val="11"/>
        <color rgb="FF000000"/>
        <rFont val="Aptos"/>
        <family val="2"/>
        <scheme val="minor"/>
      </rPr>
      <t>made aware</t>
    </r>
    <r>
      <rPr>
        <sz val="11"/>
        <color indexed="8"/>
        <rFont val="Aptos"/>
        <family val="2"/>
        <scheme val="minor"/>
      </rPr>
      <t xml:space="preserve"> of the applicable policies, standards, and procedures related to the security of the system.</t>
    </r>
  </si>
  <si>
    <r>
      <t xml:space="preserve">managers, systems administrators, and users of the system are </t>
    </r>
    <r>
      <rPr>
        <b/>
        <sz val="11"/>
        <color rgb="FF000000"/>
        <rFont val="Aptos"/>
        <family val="2"/>
        <scheme val="minor"/>
      </rPr>
      <t>made aware</t>
    </r>
    <r>
      <rPr>
        <sz val="11"/>
        <color indexed="8"/>
        <rFont val="Aptos"/>
        <family val="2"/>
        <scheme val="minor"/>
      </rPr>
      <t xml:space="preserve"> of the security risks associated with their activities.</t>
    </r>
  </si>
  <si>
    <t>Examine: [SELECT FROM: Security awareness and training policy; procedures addressing security awareness training implementation; relevant codes of federal regulations; security awareness training curriculum; security awareness training materials; system security plan; training records; other relevant documents or records].</t>
  </si>
  <si>
    <t>Interview: [SELECT FROM: Personnel with responsibilities for security awareness training; personnel with information security responsibilities; personnel composing the general system user community; personnel with responsibilities for role-based awareness training].</t>
  </si>
  <si>
    <t>Test: [SELECT FROM: Mechanisms managing security awareness training; mechanisms managing role-based security training].</t>
  </si>
  <si>
    <t>3.2.2 [a]</t>
  </si>
  <si>
    <t>3.2.2 [b]</t>
  </si>
  <si>
    <t>3.2.2 [c]</t>
  </si>
  <si>
    <r>
      <t xml:space="preserve">information security-related duties, roles, and responsibilities are </t>
    </r>
    <r>
      <rPr>
        <b/>
        <sz val="11"/>
        <color rgb="FF000000"/>
        <rFont val="Aptos"/>
        <family val="2"/>
        <scheme val="minor"/>
      </rPr>
      <t>defined</t>
    </r>
    <r>
      <rPr>
        <sz val="11"/>
        <color indexed="8"/>
        <rFont val="Aptos"/>
        <family val="2"/>
        <scheme val="minor"/>
      </rPr>
      <t>.</t>
    </r>
  </si>
  <si>
    <r>
      <t xml:space="preserve">information security-related duties, roles, and responsibilities are </t>
    </r>
    <r>
      <rPr>
        <b/>
        <sz val="11"/>
        <color rgb="FF000000"/>
        <rFont val="Aptos"/>
        <family val="2"/>
        <scheme val="minor"/>
      </rPr>
      <t>assigned</t>
    </r>
    <r>
      <rPr>
        <sz val="11"/>
        <color indexed="8"/>
        <rFont val="Aptos"/>
        <family val="2"/>
        <scheme val="minor"/>
      </rPr>
      <t xml:space="preserve"> to designated personnel.</t>
    </r>
  </si>
  <si>
    <r>
      <t xml:space="preserve">personnel are adequately </t>
    </r>
    <r>
      <rPr>
        <b/>
        <sz val="11"/>
        <color rgb="FF000000"/>
        <rFont val="Aptos"/>
        <family val="2"/>
        <scheme val="minor"/>
      </rPr>
      <t>trained</t>
    </r>
    <r>
      <rPr>
        <sz val="11"/>
        <color indexed="8"/>
        <rFont val="Aptos"/>
        <family val="2"/>
        <scheme val="minor"/>
      </rPr>
      <t xml:space="preserve"> to carry out their assigned information security-related duties, roles, and responsibilities.</t>
    </r>
  </si>
  <si>
    <t>Examine: [SELECT FROM: Security awareness and training policy; procedures addressing security training implementation; codes of federal regulations; security training curriculum; security training materials; system security plan; training records; other relevant documents or records].</t>
  </si>
  <si>
    <t>Interview: [SELECT FROM: Personnel with responsibilities for role-based security training; personnel with assigned system security roles and responsibilities; personnel with responsibilities for security awareness training; personnel with information security responsibilities; personnel representing the general system user community].</t>
  </si>
  <si>
    <t>Test: [SELECT FROM: Mechanisms managing role-based security training; mechanisms managing security awareness training].</t>
  </si>
  <si>
    <t>Insider Threat Awareness</t>
  </si>
  <si>
    <t>3.2.3 [a]</t>
  </si>
  <si>
    <t>3.2.3 [b]</t>
  </si>
  <si>
    <r>
      <t xml:space="preserve">potential indicators associated with insider threats are </t>
    </r>
    <r>
      <rPr>
        <b/>
        <sz val="11"/>
        <color rgb="FF000000"/>
        <rFont val="Aptos"/>
        <family val="2"/>
        <scheme val="minor"/>
      </rPr>
      <t>identified</t>
    </r>
    <r>
      <rPr>
        <sz val="11"/>
        <color indexed="8"/>
        <rFont val="Aptos"/>
        <family val="2"/>
        <scheme val="minor"/>
      </rPr>
      <t>.</t>
    </r>
  </si>
  <si>
    <r>
      <t xml:space="preserve">security awareness training on recognizing and reporting potential indicators of insider threat is </t>
    </r>
    <r>
      <rPr>
        <b/>
        <sz val="11"/>
        <color rgb="FF000000"/>
        <rFont val="Aptos"/>
        <family val="2"/>
        <scheme val="minor"/>
      </rPr>
      <t>provided</t>
    </r>
    <r>
      <rPr>
        <sz val="11"/>
        <color indexed="8"/>
        <rFont val="Aptos"/>
        <family val="2"/>
        <scheme val="minor"/>
      </rPr>
      <t xml:space="preserve"> to managers and employees.</t>
    </r>
  </si>
  <si>
    <t>Examine: [SELECT FROM: Security awareness and training policy; procedures addressing security awareness training implementation; security awareness training curriculum; security awareness training materials; insider threat policy and procedures; system security plan; other relevant documents or records].</t>
  </si>
  <si>
    <t>Interview: [SELECT FROM: Personnel that participate in security awareness training; personnel with responsibilities for basic security awareness training; personnel with information security responsibilities].</t>
  </si>
  <si>
    <t>Test: [SELECT FROM: Mechanisms managing insider threat training].</t>
  </si>
  <si>
    <t>AU.L2-3.3.1</t>
  </si>
  <si>
    <t>3.3.1 [a]</t>
  </si>
  <si>
    <t>System Auditing</t>
  </si>
  <si>
    <t>3.3.1 [b]</t>
  </si>
  <si>
    <t>3.3.1 [c]</t>
  </si>
  <si>
    <t>3.3.1 [d]</t>
  </si>
  <si>
    <t>3.3.1 [e]</t>
  </si>
  <si>
    <t>3.3.1 [f]</t>
  </si>
  <si>
    <t>Examine: [SELECT FROM: Audit and accountability policy; procedures addressing auditable events; system security plan; system design documentation; system configuration settings and associated documentation; procedures addressing control of audit records; procedures addressing audit record generation; system audit logs and records; system auditable events; system incident reports; other relevant documents or records].</t>
  </si>
  <si>
    <t>Interview: [SELECT FROM: Personnel with audit and accountability responsibilities; personnel with information security responsibilities; personnel with audit review, analysis and reporting responsibilities; system or network administrators].</t>
  </si>
  <si>
    <t>Test: [SELECT FROM: Mechanisms implementing system audit logging].</t>
  </si>
  <si>
    <t>AU.L2-3.3.2</t>
  </si>
  <si>
    <t>3.3.2 [a]</t>
  </si>
  <si>
    <t>3.3.2 [b]</t>
  </si>
  <si>
    <r>
      <t xml:space="preserve">audit logs needed (i.e., event types to be logged) to enable the monitoring, analysis, investigation, and reporting of unlawful or unauthorized system activity are </t>
    </r>
    <r>
      <rPr>
        <b/>
        <sz val="11"/>
        <color rgb="FF000000"/>
        <rFont val="Aptos"/>
        <family val="2"/>
        <scheme val="minor"/>
      </rPr>
      <t>specified</t>
    </r>
    <r>
      <rPr>
        <sz val="11"/>
        <color indexed="8"/>
        <rFont val="Aptos"/>
        <family val="2"/>
        <scheme val="minor"/>
      </rPr>
      <t>.</t>
    </r>
  </si>
  <si>
    <r>
      <t xml:space="preserve">the content of audit records needed to support monitoring, analysis, investigation, and reporting of unlawful or unauthorized system activity is </t>
    </r>
    <r>
      <rPr>
        <b/>
        <sz val="11"/>
        <color rgb="FF000000"/>
        <rFont val="Aptos"/>
        <family val="2"/>
        <scheme val="minor"/>
      </rPr>
      <t>defined</t>
    </r>
    <r>
      <rPr>
        <sz val="11"/>
        <color indexed="8"/>
        <rFont val="Aptos"/>
        <family val="2"/>
        <scheme val="minor"/>
      </rPr>
      <t>.</t>
    </r>
  </si>
  <si>
    <r>
      <t xml:space="preserve">audit records are </t>
    </r>
    <r>
      <rPr>
        <b/>
        <sz val="11"/>
        <color rgb="FF000000"/>
        <rFont val="Aptos"/>
        <family val="2"/>
        <scheme val="minor"/>
      </rPr>
      <t>created</t>
    </r>
    <r>
      <rPr>
        <sz val="11"/>
        <color indexed="8"/>
        <rFont val="Aptos"/>
        <family val="2"/>
        <scheme val="minor"/>
      </rPr>
      <t xml:space="preserve"> (generated).</t>
    </r>
  </si>
  <si>
    <r>
      <t xml:space="preserve">audit records, once created, </t>
    </r>
    <r>
      <rPr>
        <b/>
        <sz val="11"/>
        <color rgb="FF000000"/>
        <rFont val="Aptos"/>
        <family val="2"/>
        <scheme val="minor"/>
      </rPr>
      <t>contain</t>
    </r>
    <r>
      <rPr>
        <sz val="11"/>
        <color indexed="8"/>
        <rFont val="Aptos"/>
        <family val="2"/>
        <scheme val="minor"/>
      </rPr>
      <t xml:space="preserve"> the defined content.</t>
    </r>
  </si>
  <si>
    <r>
      <t xml:space="preserve">audit records are </t>
    </r>
    <r>
      <rPr>
        <b/>
        <sz val="11"/>
        <color rgb="FF000000"/>
        <rFont val="Aptos"/>
        <family val="2"/>
        <scheme val="minor"/>
      </rPr>
      <t>retained</t>
    </r>
    <r>
      <rPr>
        <sz val="11"/>
        <color indexed="8"/>
        <rFont val="Aptos"/>
        <family val="2"/>
        <scheme val="minor"/>
      </rPr>
      <t xml:space="preserve"> as defined.</t>
    </r>
  </si>
  <si>
    <r>
      <t xml:space="preserve">the content of the audit records needed to support the ability to uniquely trace users to their actions is </t>
    </r>
    <r>
      <rPr>
        <b/>
        <sz val="11"/>
        <color rgb="FF000000"/>
        <rFont val="Aptos"/>
        <family val="2"/>
        <scheme val="minor"/>
      </rPr>
      <t>defined</t>
    </r>
    <r>
      <rPr>
        <sz val="11"/>
        <color indexed="8"/>
        <rFont val="Aptos"/>
        <family val="2"/>
        <scheme val="minor"/>
      </rPr>
      <t>.</t>
    </r>
  </si>
  <si>
    <t>User Accountability</t>
  </si>
  <si>
    <t>AU.L2-3.3.3</t>
  </si>
  <si>
    <t>3.3.3 [a]</t>
  </si>
  <si>
    <t>3.3.3 [b]</t>
  </si>
  <si>
    <t>3.3.3 [c]</t>
  </si>
  <si>
    <t>Examine: [SELECT FROM: Audit and accountability policy; procedures addressing audit records and event types; system security plan; system design documentation; system configuration settings and associated documentation; procedures addressing audit record generation; procedures addressing audit review, analysis, and reporting; reports of audit findings; system audit logs and records; system events; system incident reports; other relevant documents or records].</t>
  </si>
  <si>
    <t>Interview: [SELECT FROM: Personnel with audit and accountability responsibilities; personnel with information security responsibilities; system or network administrators].</t>
  </si>
  <si>
    <t>Event Review</t>
  </si>
  <si>
    <r>
      <t xml:space="preserve">a process for determining when to review logged events is </t>
    </r>
    <r>
      <rPr>
        <b/>
        <sz val="11"/>
        <color rgb="FF000000"/>
        <rFont val="Aptos"/>
        <family val="2"/>
        <scheme val="minor"/>
      </rPr>
      <t>defined</t>
    </r>
    <r>
      <rPr>
        <sz val="11"/>
        <color indexed="8"/>
        <rFont val="Aptos"/>
        <family val="2"/>
        <scheme val="minor"/>
      </rPr>
      <t>.</t>
    </r>
  </si>
  <si>
    <r>
      <t xml:space="preserve">event types being logged are </t>
    </r>
    <r>
      <rPr>
        <b/>
        <sz val="11"/>
        <color rgb="FF000000"/>
        <rFont val="Aptos"/>
        <family val="2"/>
        <scheme val="minor"/>
      </rPr>
      <t>reviewed</t>
    </r>
    <r>
      <rPr>
        <sz val="11"/>
        <color indexed="8"/>
        <rFont val="Aptos"/>
        <family val="2"/>
        <scheme val="minor"/>
      </rPr>
      <t xml:space="preserve"> in accordance with the defined review process.</t>
    </r>
  </si>
  <si>
    <r>
      <t xml:space="preserve">event types being logged are </t>
    </r>
    <r>
      <rPr>
        <b/>
        <sz val="11"/>
        <color rgb="FF000000"/>
        <rFont val="Aptos"/>
        <family val="2"/>
        <scheme val="minor"/>
      </rPr>
      <t>updated</t>
    </r>
    <r>
      <rPr>
        <sz val="11"/>
        <color indexed="8"/>
        <rFont val="Aptos"/>
        <family val="2"/>
        <scheme val="minor"/>
      </rPr>
      <t xml:space="preserve"> based on the review.</t>
    </r>
  </si>
  <si>
    <t>AU.L2-3.3.4</t>
  </si>
  <si>
    <t>3.3.4 [a]</t>
  </si>
  <si>
    <t>3.3.4 [b]</t>
  </si>
  <si>
    <t>3.3.4 [c]</t>
  </si>
  <si>
    <t>Examine: [SELECT FROM: Audit and accountability policy; procedures addressing audit records and event types; system security plan; list of organization-defined event types to be logged; reviewed and updated records of logged event types; system audit logs and records; system incident reports; other relevant documents or records].</t>
  </si>
  <si>
    <t>Interview: [SELECT FROM: Personnel with audit and accountability responsibilities; personnel with information security responsibilities].</t>
  </si>
  <si>
    <t>Test: [SELECT FROM: Mechanisms supporting review and update of logged event types].</t>
  </si>
  <si>
    <t>Audit Failure Alert</t>
  </si>
  <si>
    <r>
      <t xml:space="preserve">personnel or roles to be alerted in the event of an audit logging process failure are </t>
    </r>
    <r>
      <rPr>
        <b/>
        <sz val="11"/>
        <color rgb="FF000000"/>
        <rFont val="Aptos"/>
        <family val="2"/>
        <scheme val="minor"/>
      </rPr>
      <t>identified</t>
    </r>
    <r>
      <rPr>
        <sz val="11"/>
        <color indexed="8"/>
        <rFont val="Aptos"/>
        <family val="2"/>
        <scheme val="minor"/>
      </rPr>
      <t>.</t>
    </r>
  </si>
  <si>
    <r>
      <t xml:space="preserve">types of audit logging process failures for which alert will be generated are </t>
    </r>
    <r>
      <rPr>
        <b/>
        <sz val="11"/>
        <color rgb="FF000000"/>
        <rFont val="Aptos"/>
        <family val="2"/>
        <scheme val="minor"/>
      </rPr>
      <t>defined</t>
    </r>
    <r>
      <rPr>
        <sz val="11"/>
        <color indexed="8"/>
        <rFont val="Aptos"/>
        <family val="2"/>
        <scheme val="minor"/>
      </rPr>
      <t>.</t>
    </r>
  </si>
  <si>
    <r>
      <t xml:space="preserve">identified personnel or roles are </t>
    </r>
    <r>
      <rPr>
        <b/>
        <sz val="11"/>
        <color rgb="FF000000"/>
        <rFont val="Aptos"/>
        <family val="2"/>
        <scheme val="minor"/>
      </rPr>
      <t>alerted</t>
    </r>
    <r>
      <rPr>
        <sz val="11"/>
        <color indexed="8"/>
        <rFont val="Aptos"/>
        <family val="2"/>
        <scheme val="minor"/>
      </rPr>
      <t xml:space="preserve"> in the event of an audit logging process failure.</t>
    </r>
  </si>
  <si>
    <t>Examine: [SELECT FROM: Audit and accountability policy; procedures addressing response to audit logging processing failures; system design documentation; system security plan; system configuration settings and associated documentation; list of personnel to be notified in case of an audit logging processing failure; system incident reports; system audit logs and records; other relevant documents or records].</t>
  </si>
  <si>
    <t>Interview: [SELECT FROM: Personnel with audit and accountability responsibilities; personnel with information security responsibilities; system or network administrators; system developers].</t>
  </si>
  <si>
    <t>Test: [SELECT FROM: Mechanisms implementing system response to audit logging processing failures].</t>
  </si>
  <si>
    <t>Audit Correlation</t>
  </si>
  <si>
    <t>AU.L2-3.3.5</t>
  </si>
  <si>
    <t>3.3.5 [a]</t>
  </si>
  <si>
    <t>3.3.5 [b]</t>
  </si>
  <si>
    <r>
      <t xml:space="preserve">audit record review, analysis, and reporting processes for investigation and response to indications of unlawful, unauthorized, suspicious, or unusual activity are </t>
    </r>
    <r>
      <rPr>
        <b/>
        <sz val="11"/>
        <color rgb="FF000000"/>
        <rFont val="Aptos"/>
        <family val="2"/>
        <scheme val="minor"/>
      </rPr>
      <t>defined</t>
    </r>
    <r>
      <rPr>
        <sz val="11"/>
        <color indexed="8"/>
        <rFont val="Aptos"/>
        <family val="2"/>
        <scheme val="minor"/>
      </rPr>
      <t>.</t>
    </r>
  </si>
  <si>
    <r>
      <t xml:space="preserve">defined audit record review, analysis, and reporting processes are </t>
    </r>
    <r>
      <rPr>
        <b/>
        <sz val="11"/>
        <color rgb="FF000000"/>
        <rFont val="Aptos"/>
        <family val="2"/>
        <scheme val="minor"/>
      </rPr>
      <t>correlated</t>
    </r>
    <r>
      <rPr>
        <sz val="11"/>
        <color indexed="8"/>
        <rFont val="Aptos"/>
        <family val="2"/>
        <scheme val="minor"/>
      </rPr>
      <t>.</t>
    </r>
  </si>
  <si>
    <t>Examine: [SELECT FROM: Audit and accountability policy; procedures addressing audit record review, analysis, and reporting; system security plan; system design documentation; system configuration settings and associated documentation; procedures addressing investigation of and response to suspicious activities; system audit logs and records across different repositories; other relevant documents or records].</t>
  </si>
  <si>
    <t>Interview: [SELECT FROM: Personnel with audit record review, analysis, and reporting responsibilities; personnel with information security responsibilities].</t>
  </si>
  <si>
    <t>Test: [SELECT FROM: Mechanisms supporting analysis and correlation of audit records; mechanisms integrating audit review, analysis and reporting].</t>
  </si>
  <si>
    <t>Reduction &amp; Reporting</t>
  </si>
  <si>
    <t>AU.L2-3.3.6</t>
  </si>
  <si>
    <t>3.3.6 [a]</t>
  </si>
  <si>
    <t>3.3.6 [b]</t>
  </si>
  <si>
    <r>
      <t xml:space="preserve">an audit record reduction capability that supports on-demand analysis is </t>
    </r>
    <r>
      <rPr>
        <b/>
        <sz val="11"/>
        <color rgb="FF000000"/>
        <rFont val="Aptos"/>
        <family val="2"/>
        <scheme val="minor"/>
      </rPr>
      <t>provided</t>
    </r>
    <r>
      <rPr>
        <sz val="11"/>
        <color indexed="8"/>
        <rFont val="Aptos"/>
        <family val="2"/>
        <scheme val="minor"/>
      </rPr>
      <t>.</t>
    </r>
  </si>
  <si>
    <r>
      <t xml:space="preserve">a report generation capability that supports on-demand reporting is </t>
    </r>
    <r>
      <rPr>
        <b/>
        <sz val="11"/>
        <color rgb="FF000000"/>
        <rFont val="Aptos"/>
        <family val="2"/>
        <scheme val="minor"/>
      </rPr>
      <t>provided</t>
    </r>
    <r>
      <rPr>
        <sz val="11"/>
        <color indexed="8"/>
        <rFont val="Aptos"/>
        <family val="2"/>
        <scheme val="minor"/>
      </rPr>
      <t>.</t>
    </r>
  </si>
  <si>
    <t>Examine: [SELECT FROM: Audit and accountability policy; procedures addressing audit record reduction and report generation; system design documentation; system security plan; system configuration settings and associated documentation; audit record reduction, review, analysis, and reporting tools; system audit logs and records; other relevant documents or records].</t>
  </si>
  <si>
    <t>Interview: [SELECT FROM: Personnel with audit record reduction and report generation responsibilities; personnel with information security responsibilities].</t>
  </si>
  <si>
    <t>Test: [SELECT FROM: Audit record reduction and report generation capability].</t>
  </si>
  <si>
    <t>AU.L2-3.3.7</t>
  </si>
  <si>
    <t>3.3.7 [a]</t>
  </si>
  <si>
    <t>3.3.7 [b]</t>
  </si>
  <si>
    <t>3.3.7 [c]</t>
  </si>
  <si>
    <t>Authoritative Time Source</t>
  </si>
  <si>
    <r>
      <t xml:space="preserve">internal system clocks are used to </t>
    </r>
    <r>
      <rPr>
        <b/>
        <sz val="11"/>
        <color rgb="FF000000"/>
        <rFont val="Aptos"/>
        <family val="2"/>
        <scheme val="minor"/>
      </rPr>
      <t>generate</t>
    </r>
    <r>
      <rPr>
        <sz val="11"/>
        <color indexed="8"/>
        <rFont val="Aptos"/>
        <family val="2"/>
        <scheme val="minor"/>
      </rPr>
      <t xml:space="preserve"> time stamps for audit records.</t>
    </r>
  </si>
  <si>
    <r>
      <t xml:space="preserve">an authoritative source with which to compare and synchronize internal system clocks is </t>
    </r>
    <r>
      <rPr>
        <b/>
        <sz val="11"/>
        <color rgb="FF000000"/>
        <rFont val="Aptos"/>
        <family val="2"/>
        <scheme val="minor"/>
      </rPr>
      <t>specified</t>
    </r>
    <r>
      <rPr>
        <sz val="11"/>
        <color indexed="8"/>
        <rFont val="Aptos"/>
        <family val="2"/>
        <scheme val="minor"/>
      </rPr>
      <t>.</t>
    </r>
  </si>
  <si>
    <r>
      <t xml:space="preserve">internal system clocks used to generate time stamps for audit records are </t>
    </r>
    <r>
      <rPr>
        <b/>
        <sz val="11"/>
        <color rgb="FF000000"/>
        <rFont val="Aptos"/>
        <family val="2"/>
        <scheme val="minor"/>
      </rPr>
      <t>compared</t>
    </r>
    <r>
      <rPr>
        <sz val="11"/>
        <color indexed="8"/>
        <rFont val="Aptos"/>
        <family val="2"/>
        <scheme val="minor"/>
      </rPr>
      <t xml:space="preserve"> to and </t>
    </r>
    <r>
      <rPr>
        <b/>
        <sz val="11"/>
        <color rgb="FF000000"/>
        <rFont val="Aptos"/>
        <family val="2"/>
        <scheme val="minor"/>
      </rPr>
      <t>synchronized</t>
    </r>
    <r>
      <rPr>
        <sz val="11"/>
        <color indexed="8"/>
        <rFont val="Aptos"/>
        <family val="2"/>
        <scheme val="minor"/>
      </rPr>
      <t xml:space="preserve"> with the specified authoritative time source.</t>
    </r>
  </si>
  <si>
    <t>Examine: [SELECT FROM: Audit and accountability policy; procedures addressing time stamp generation; system design documentation; system security plan; system configuration settings and associated documentation; system audit logs and records; other relevant documents or records].</t>
  </si>
  <si>
    <t>Interview: [SELECT FROM: Personnel with information security responsibilities; system or network administrators; system developers].</t>
  </si>
  <si>
    <t>Test: [SELECT FROM: Mechanisms implementing time stamp generation; mechanisms implementing internal information system clock synchronization].</t>
  </si>
  <si>
    <t>Audit Protection</t>
  </si>
  <si>
    <t>AU.L2-3.3.8</t>
  </si>
  <si>
    <t>3.3.8 [a]</t>
  </si>
  <si>
    <t>3.3.8 [b]</t>
  </si>
  <si>
    <t>3.3.8 [c]</t>
  </si>
  <si>
    <t>3.3.8 [d]</t>
  </si>
  <si>
    <t>3.3.8 [e]</t>
  </si>
  <si>
    <t>3.3.8 [f]</t>
  </si>
  <si>
    <r>
      <t xml:space="preserve">audit information is </t>
    </r>
    <r>
      <rPr>
        <b/>
        <sz val="11"/>
        <color rgb="FF000000"/>
        <rFont val="Aptos"/>
        <family val="2"/>
        <scheme val="minor"/>
      </rPr>
      <t>protected</t>
    </r>
    <r>
      <rPr>
        <sz val="11"/>
        <color indexed="8"/>
        <rFont val="Aptos"/>
        <family val="2"/>
        <scheme val="minor"/>
      </rPr>
      <t xml:space="preserve"> from unauthorized access.</t>
    </r>
  </si>
  <si>
    <r>
      <t xml:space="preserve">audit information is </t>
    </r>
    <r>
      <rPr>
        <b/>
        <sz val="11"/>
        <color rgb="FF000000"/>
        <rFont val="Aptos"/>
        <family val="2"/>
        <scheme val="minor"/>
      </rPr>
      <t>protected</t>
    </r>
    <r>
      <rPr>
        <sz val="11"/>
        <color indexed="8"/>
        <rFont val="Aptos"/>
        <family val="2"/>
        <scheme val="minor"/>
      </rPr>
      <t xml:space="preserve"> from unauthorized modification.</t>
    </r>
  </si>
  <si>
    <r>
      <t xml:space="preserve">audit information is </t>
    </r>
    <r>
      <rPr>
        <b/>
        <sz val="11"/>
        <color rgb="FF000000"/>
        <rFont val="Aptos"/>
        <family val="2"/>
        <scheme val="minor"/>
      </rPr>
      <t>protected</t>
    </r>
    <r>
      <rPr>
        <sz val="11"/>
        <color indexed="8"/>
        <rFont val="Aptos"/>
        <family val="2"/>
        <scheme val="minor"/>
      </rPr>
      <t xml:space="preserve"> from unauthorized deletion.</t>
    </r>
  </si>
  <si>
    <r>
      <t xml:space="preserve">audit logging tools are </t>
    </r>
    <r>
      <rPr>
        <b/>
        <sz val="11"/>
        <color rgb="FF000000"/>
        <rFont val="Aptos"/>
        <family val="2"/>
        <scheme val="minor"/>
      </rPr>
      <t>protected</t>
    </r>
    <r>
      <rPr>
        <sz val="11"/>
        <color indexed="8"/>
        <rFont val="Aptos"/>
        <family val="2"/>
        <scheme val="minor"/>
      </rPr>
      <t xml:space="preserve"> from unauthorized access.</t>
    </r>
  </si>
  <si>
    <r>
      <t xml:space="preserve">audit logging tools are </t>
    </r>
    <r>
      <rPr>
        <b/>
        <sz val="11"/>
        <color rgb="FF000000"/>
        <rFont val="Aptos"/>
        <family val="2"/>
        <scheme val="minor"/>
      </rPr>
      <t>protected</t>
    </r>
    <r>
      <rPr>
        <sz val="11"/>
        <color indexed="8"/>
        <rFont val="Aptos"/>
        <family val="2"/>
        <scheme val="minor"/>
      </rPr>
      <t xml:space="preserve"> from unauthorized modification.</t>
    </r>
  </si>
  <si>
    <r>
      <t xml:space="preserve">audit logging tools are </t>
    </r>
    <r>
      <rPr>
        <b/>
        <sz val="11"/>
        <color rgb="FF000000"/>
        <rFont val="Aptos"/>
        <family val="2"/>
        <scheme val="minor"/>
      </rPr>
      <t>protected</t>
    </r>
    <r>
      <rPr>
        <sz val="11"/>
        <color indexed="8"/>
        <rFont val="Aptos"/>
        <family val="2"/>
        <scheme val="minor"/>
      </rPr>
      <t xml:space="preserve"> from unauthorized deletion.</t>
    </r>
  </si>
  <si>
    <t>Examine: [SELECT FROM: Audit and accountability policy; access control policy and procedures; procedures addressing protection of audit information; system security plan; system design documentation; system configuration settings and associated documentation, system audit logs and records; audit logging tools; other relevant documents or records].</t>
  </si>
  <si>
    <t>Test: [SELECT FROM: Mechanisms implementing audit information protection].</t>
  </si>
  <si>
    <t>Audit Management</t>
  </si>
  <si>
    <t>AU.L2-3.3.9</t>
  </si>
  <si>
    <t>3.3.9 [a]</t>
  </si>
  <si>
    <t>3.3.9 [b]</t>
  </si>
  <si>
    <r>
      <t xml:space="preserve">a subset of privileged users granted access to manage audit logging functionality is </t>
    </r>
    <r>
      <rPr>
        <b/>
        <sz val="11"/>
        <color rgb="FF000000"/>
        <rFont val="Aptos"/>
        <family val="2"/>
        <scheme val="minor"/>
      </rPr>
      <t>defined</t>
    </r>
    <r>
      <rPr>
        <sz val="11"/>
        <color indexed="8"/>
        <rFont val="Aptos"/>
        <family val="2"/>
        <scheme val="minor"/>
      </rPr>
      <t>.</t>
    </r>
  </si>
  <si>
    <r>
      <t xml:space="preserve">management of audit logging functionality is </t>
    </r>
    <r>
      <rPr>
        <b/>
        <sz val="11"/>
        <color rgb="FF000000"/>
        <rFont val="Aptos"/>
        <family val="2"/>
        <scheme val="minor"/>
      </rPr>
      <t>limited</t>
    </r>
    <r>
      <rPr>
        <sz val="11"/>
        <color indexed="8"/>
        <rFont val="Aptos"/>
        <family val="2"/>
        <scheme val="minor"/>
      </rPr>
      <t xml:space="preserve"> to the defined subset of privileged users.</t>
    </r>
  </si>
  <si>
    <t>Examine: [SELECT FROM: Audit and accountability policy; access control policy and procedures; procedures addressing protection of audit information; system security plan; system design documentation; system configuration settings and associated documentation; access authorizations; system-generated list of privileged users with access to management of audit logging functionality; access control list; system audit logs and records; other relevant documents or records].</t>
  </si>
  <si>
    <t>Test: [SELECT FROM: Mechanisms managing access to audit logging functionality].</t>
  </si>
  <si>
    <t>System Baselining</t>
  </si>
  <si>
    <t>CM.L2-3.4.1</t>
  </si>
  <si>
    <t>Security Configuration Enforcement</t>
  </si>
  <si>
    <t>System Change Management</t>
  </si>
  <si>
    <t>Security Impact Analysis</t>
  </si>
  <si>
    <t>Nonessential Functionality</t>
  </si>
  <si>
    <t>Application Execution Policy</t>
  </si>
  <si>
    <t>3.4.1 [a]</t>
  </si>
  <si>
    <t>3.4.1 [b]</t>
  </si>
  <si>
    <t>3.4.1 [c]</t>
  </si>
  <si>
    <t>3.4.1 [d]</t>
  </si>
  <si>
    <t>3.4.1 [e]</t>
  </si>
  <si>
    <t>3.4.1 [f]</t>
  </si>
  <si>
    <r>
      <t xml:space="preserve">a baseline configuration is </t>
    </r>
    <r>
      <rPr>
        <b/>
        <sz val="11"/>
        <color rgb="FF000000"/>
        <rFont val="Aptos"/>
        <family val="2"/>
        <scheme val="minor"/>
      </rPr>
      <t>established</t>
    </r>
    <r>
      <rPr>
        <sz val="11"/>
        <color indexed="8"/>
        <rFont val="Aptos"/>
        <family val="2"/>
        <scheme val="minor"/>
      </rPr>
      <t>.</t>
    </r>
  </si>
  <si>
    <r>
      <t xml:space="preserve">the baseline configuration </t>
    </r>
    <r>
      <rPr>
        <b/>
        <sz val="11"/>
        <color rgb="FF000000"/>
        <rFont val="Aptos"/>
        <family val="2"/>
        <scheme val="minor"/>
      </rPr>
      <t>includes</t>
    </r>
    <r>
      <rPr>
        <sz val="11"/>
        <color indexed="8"/>
        <rFont val="Aptos"/>
        <family val="2"/>
        <scheme val="minor"/>
      </rPr>
      <t xml:space="preserve"> hardware, software, firmware, and documentation.</t>
    </r>
  </si>
  <si>
    <r>
      <t xml:space="preserve">the baseline configuration is </t>
    </r>
    <r>
      <rPr>
        <b/>
        <sz val="11"/>
        <color rgb="FF000000"/>
        <rFont val="Aptos"/>
        <family val="2"/>
        <scheme val="minor"/>
      </rPr>
      <t>maintained</t>
    </r>
    <r>
      <rPr>
        <sz val="11"/>
        <color indexed="8"/>
        <rFont val="Aptos"/>
        <family val="2"/>
        <scheme val="minor"/>
      </rPr>
      <t xml:space="preserve"> (reviewed and updated) throughout the system development life cycle.</t>
    </r>
  </si>
  <si>
    <r>
      <t xml:space="preserve">a system inventory is </t>
    </r>
    <r>
      <rPr>
        <b/>
        <sz val="11"/>
        <color rgb="FF000000"/>
        <rFont val="Aptos"/>
        <family val="2"/>
        <scheme val="minor"/>
      </rPr>
      <t>established</t>
    </r>
    <r>
      <rPr>
        <sz val="11"/>
        <color indexed="8"/>
        <rFont val="Aptos"/>
        <family val="2"/>
        <scheme val="minor"/>
      </rPr>
      <t>.</t>
    </r>
  </si>
  <si>
    <r>
      <t xml:space="preserve">the system inventory </t>
    </r>
    <r>
      <rPr>
        <b/>
        <sz val="11"/>
        <color rgb="FF000000"/>
        <rFont val="Aptos"/>
        <family val="2"/>
        <scheme val="minor"/>
      </rPr>
      <t>includes</t>
    </r>
    <r>
      <rPr>
        <sz val="11"/>
        <color indexed="8"/>
        <rFont val="Aptos"/>
        <family val="2"/>
        <scheme val="minor"/>
      </rPr>
      <t xml:space="preserve"> hardware, software, firmware, and documentation.</t>
    </r>
  </si>
  <si>
    <r>
      <t xml:space="preserve">the inventory is </t>
    </r>
    <r>
      <rPr>
        <b/>
        <sz val="11"/>
        <color rgb="FF000000"/>
        <rFont val="Aptos"/>
        <family val="2"/>
        <scheme val="minor"/>
      </rPr>
      <t>maintained</t>
    </r>
    <r>
      <rPr>
        <sz val="11"/>
        <color indexed="8"/>
        <rFont val="Aptos"/>
        <family val="2"/>
        <scheme val="minor"/>
      </rPr>
      <t xml:space="preserve"> (reviewed and updated) throughout the system development life cycle.</t>
    </r>
  </si>
  <si>
    <t>Examine: [SELECT FROM: Configuration management policy; procedures addressing the baseline configuration of the system; procedures addressing system inventory; system security plan; configuration management plan; system inventory records; inventory review and update records; enterprise architecture documentation; system design documentation; system architecture and configuration documentation; system configuration settings and associated documentation; change control records; system component installation records; system component removal records; other relevant documents or records].</t>
  </si>
  <si>
    <t>Interview: [SELECT FROM: Personnel with configuration management responsibilities; personnel with responsibilities for establishing the system inventory; personnel with responsibilities for updating the system inventory; personnel with information security responsibilities; system or network administrators].</t>
  </si>
  <si>
    <t>Test: [SELECT FROM: Organizational processes for managing baseline configurations; mechanisms supporting configuration control of the baseline configuration; organizational processes for developing and documenting an inventory of system components; organizational processes for updating inventory of system components; mechanisms supporting or implementing the system inventory; mechanisms implementing updating of the system inventory].</t>
  </si>
  <si>
    <t>CM.L2-3.4.2</t>
  </si>
  <si>
    <t>3.4.2 [a]</t>
  </si>
  <si>
    <t>3.4.2 [b]</t>
  </si>
  <si>
    <r>
      <t xml:space="preserve">security configuration settings for information technology products employed in the system are </t>
    </r>
    <r>
      <rPr>
        <b/>
        <sz val="11"/>
        <color rgb="FF000000"/>
        <rFont val="Aptos"/>
        <family val="2"/>
        <scheme val="minor"/>
      </rPr>
      <t>established</t>
    </r>
    <r>
      <rPr>
        <sz val="11"/>
        <color indexed="8"/>
        <rFont val="Aptos"/>
        <family val="2"/>
        <scheme val="minor"/>
      </rPr>
      <t xml:space="preserve"> and </t>
    </r>
    <r>
      <rPr>
        <b/>
        <sz val="11"/>
        <color rgb="FF000000"/>
        <rFont val="Aptos"/>
        <family val="2"/>
        <scheme val="minor"/>
      </rPr>
      <t>included</t>
    </r>
    <r>
      <rPr>
        <sz val="11"/>
        <color indexed="8"/>
        <rFont val="Aptos"/>
        <family val="2"/>
        <scheme val="minor"/>
      </rPr>
      <t xml:space="preserve"> in the baseline configuration.</t>
    </r>
  </si>
  <si>
    <r>
      <t xml:space="preserve">security configuration settings for information technology products employed in the system are </t>
    </r>
    <r>
      <rPr>
        <b/>
        <sz val="11"/>
        <color rgb="FF000000"/>
        <rFont val="Aptos"/>
        <family val="2"/>
        <scheme val="minor"/>
      </rPr>
      <t>enforced</t>
    </r>
    <r>
      <rPr>
        <sz val="11"/>
        <color indexed="8"/>
        <rFont val="Aptos"/>
        <family val="2"/>
        <scheme val="minor"/>
      </rPr>
      <t>.</t>
    </r>
  </si>
  <si>
    <t>Examine: [SELECT FROM: Configuration management policy; baseline configuration; procedures addressing configuration settings for the system; configuration management plan; system security plan; system design documentation; system configuration settings and associated documentation; security configuration checklists; evidence supporting approved deviations from established configuration settings; change control records; system audit logs and records; other relevant documents or records].</t>
  </si>
  <si>
    <t>Interview: [SELECT FROM: Personnel with security configuration management responsibilities; personnel with information security responsibilities; system or network administrators].</t>
  </si>
  <si>
    <t>Test: [SELECT FROM: Organizational processes for managing configuration settings; mechanisms that implement, monitor, and/or control system configuration settings; mechanisms that identify and/or document deviations from established configuration settings; processes for managing baseline configurations; mechanisms supporting configuration control of baseline configurations].</t>
  </si>
  <si>
    <t>3.4.3 [a]</t>
  </si>
  <si>
    <t>3.4.3 [b]</t>
  </si>
  <si>
    <t>3.4.3 [c]</t>
  </si>
  <si>
    <t>3.4.3 [d]</t>
  </si>
  <si>
    <t>CM.L2-3.4.3</t>
  </si>
  <si>
    <r>
      <t xml:space="preserve">changes to the system are </t>
    </r>
    <r>
      <rPr>
        <b/>
        <sz val="11"/>
        <color rgb="FF000000"/>
        <rFont val="Aptos"/>
        <family val="2"/>
        <scheme val="minor"/>
      </rPr>
      <t>tracked</t>
    </r>
    <r>
      <rPr>
        <sz val="11"/>
        <color indexed="8"/>
        <rFont val="Aptos"/>
        <family val="2"/>
        <scheme val="minor"/>
      </rPr>
      <t>.</t>
    </r>
  </si>
  <si>
    <r>
      <t xml:space="preserve">changes to the system are </t>
    </r>
    <r>
      <rPr>
        <b/>
        <sz val="11"/>
        <color rgb="FF000000"/>
        <rFont val="Aptos"/>
        <family val="2"/>
        <scheme val="minor"/>
      </rPr>
      <t>reviewed</t>
    </r>
    <r>
      <rPr>
        <sz val="11"/>
        <color indexed="8"/>
        <rFont val="Aptos"/>
        <family val="2"/>
        <scheme val="minor"/>
      </rPr>
      <t>.</t>
    </r>
  </si>
  <si>
    <r>
      <t xml:space="preserve">changes to the system are </t>
    </r>
    <r>
      <rPr>
        <b/>
        <sz val="11"/>
        <color rgb="FF000000"/>
        <rFont val="Aptos"/>
        <family val="2"/>
        <scheme val="minor"/>
      </rPr>
      <t>approved</t>
    </r>
    <r>
      <rPr>
        <sz val="11"/>
        <color indexed="8"/>
        <rFont val="Aptos"/>
        <family val="2"/>
        <scheme val="minor"/>
      </rPr>
      <t xml:space="preserve"> or </t>
    </r>
    <r>
      <rPr>
        <b/>
        <sz val="11"/>
        <color rgb="FF000000"/>
        <rFont val="Aptos"/>
        <family val="2"/>
        <scheme val="minor"/>
      </rPr>
      <t>disapproved</t>
    </r>
    <r>
      <rPr>
        <sz val="11"/>
        <color indexed="8"/>
        <rFont val="Aptos"/>
        <family val="2"/>
        <scheme val="minor"/>
      </rPr>
      <t>.</t>
    </r>
  </si>
  <si>
    <r>
      <t xml:space="preserve">changes to the system are </t>
    </r>
    <r>
      <rPr>
        <b/>
        <sz val="11"/>
        <color rgb="FF000000"/>
        <rFont val="Aptos"/>
        <family val="2"/>
        <scheme val="minor"/>
      </rPr>
      <t>logged</t>
    </r>
    <r>
      <rPr>
        <sz val="11"/>
        <color indexed="8"/>
        <rFont val="Aptos"/>
        <family val="2"/>
        <scheme val="minor"/>
      </rPr>
      <t>.</t>
    </r>
  </si>
  <si>
    <t>Examine: [SELECT FROM: Configuration management policy; procedures addressing system configuration change control; configuration management plan; system architecture and configuration documentation; system security plan; change control records; system audit logs and records; change control audit and review reports; agenda/minutes from configuration change control oversight meetings; other relevant documents or records].</t>
  </si>
  <si>
    <t>Interview: [SELECT FROM: Personnel with configuration change control responsibilities; personnel with information security responsibilities; system or network administrators; members of change control board or similar].</t>
  </si>
  <si>
    <t>Test: [SELECT FROM: Organizational processes for configuration change control; mechanisms that implement configuration change control].</t>
  </si>
  <si>
    <t>CM.L2-3.4.4</t>
  </si>
  <si>
    <t>3.4.4 [a]</t>
  </si>
  <si>
    <r>
      <t xml:space="preserve">the security impact of changes to the system is </t>
    </r>
    <r>
      <rPr>
        <b/>
        <sz val="11"/>
        <color rgb="FF000000"/>
        <rFont val="Aptos"/>
        <family val="2"/>
        <scheme val="minor"/>
      </rPr>
      <t>analyzed</t>
    </r>
    <r>
      <rPr>
        <sz val="11"/>
        <color indexed="8"/>
        <rFont val="Aptos"/>
        <family val="2"/>
        <scheme val="minor"/>
      </rPr>
      <t xml:space="preserve"> </t>
    </r>
    <r>
      <rPr>
        <b/>
        <sz val="11"/>
        <color rgb="FF000000"/>
        <rFont val="Aptos"/>
        <family val="2"/>
        <scheme val="minor"/>
      </rPr>
      <t>prior</t>
    </r>
    <r>
      <rPr>
        <sz val="11"/>
        <color indexed="8"/>
        <rFont val="Aptos"/>
        <family val="2"/>
        <scheme val="minor"/>
      </rPr>
      <t xml:space="preserve"> to implementation.</t>
    </r>
  </si>
  <si>
    <t>Examine: [SELECT FROM: Configuration management policy; procedures addressing security impact analysis for system changes; configuration management plan; security impact analysis documentation; system security plan; analysis tools and associated outputs; change control records; system audit logs and records; other relevant documents or records].</t>
  </si>
  <si>
    <t>Interview: [SELECT FROM: Personnel with responsibility for conducting security impact analysis; personnel with information security responsibilities; system or network administrators].</t>
  </si>
  <si>
    <t>Test: [SELECT FROM: Organizational processes for security impact analysis].</t>
  </si>
  <si>
    <t>CM.L2-3.4.5</t>
  </si>
  <si>
    <t>3.4.5 [a]</t>
  </si>
  <si>
    <t>3.4.5 [b]</t>
  </si>
  <si>
    <t>3.4.5 [c]</t>
  </si>
  <si>
    <t>3.4.5 [d]</t>
  </si>
  <si>
    <t>3.4.5 [e]</t>
  </si>
  <si>
    <t>3.4.5 [f]</t>
  </si>
  <si>
    <t>3.4.5 [g]</t>
  </si>
  <si>
    <t>3.4.5 [h]</t>
  </si>
  <si>
    <r>
      <t xml:space="preserve">physical access restrictions associated with changes to the system are </t>
    </r>
    <r>
      <rPr>
        <b/>
        <sz val="11"/>
        <color rgb="FF000000"/>
        <rFont val="Aptos"/>
        <family val="2"/>
        <scheme val="minor"/>
      </rPr>
      <t>defined</t>
    </r>
    <r>
      <rPr>
        <sz val="11"/>
        <color indexed="8"/>
        <rFont val="Aptos"/>
        <family val="2"/>
        <scheme val="minor"/>
      </rPr>
      <t>.</t>
    </r>
  </si>
  <si>
    <r>
      <t xml:space="preserve">physical access restrictions associated with changes to the system are </t>
    </r>
    <r>
      <rPr>
        <b/>
        <sz val="11"/>
        <color rgb="FF000000"/>
        <rFont val="Aptos"/>
        <family val="2"/>
        <scheme val="minor"/>
      </rPr>
      <t>documented</t>
    </r>
    <r>
      <rPr>
        <sz val="11"/>
        <color indexed="8"/>
        <rFont val="Aptos"/>
        <family val="2"/>
        <scheme val="minor"/>
      </rPr>
      <t>.</t>
    </r>
  </si>
  <si>
    <r>
      <t xml:space="preserve">physical access restrictions associated with changes to the system are </t>
    </r>
    <r>
      <rPr>
        <b/>
        <sz val="11"/>
        <color rgb="FF000000"/>
        <rFont val="Aptos"/>
        <family val="2"/>
        <scheme val="minor"/>
      </rPr>
      <t>approved</t>
    </r>
    <r>
      <rPr>
        <sz val="11"/>
        <color indexed="8"/>
        <rFont val="Aptos"/>
        <family val="2"/>
        <scheme val="minor"/>
      </rPr>
      <t>.</t>
    </r>
  </si>
  <si>
    <r>
      <t xml:space="preserve">physical access restrictions associated with changes to the system are </t>
    </r>
    <r>
      <rPr>
        <b/>
        <sz val="11"/>
        <color rgb="FF000000"/>
        <rFont val="Aptos"/>
        <family val="2"/>
        <scheme val="minor"/>
      </rPr>
      <t>enforced</t>
    </r>
    <r>
      <rPr>
        <sz val="11"/>
        <color indexed="8"/>
        <rFont val="Aptos"/>
        <family val="2"/>
        <scheme val="minor"/>
      </rPr>
      <t>.</t>
    </r>
  </si>
  <si>
    <r>
      <t xml:space="preserve">logical access restrictions associated with changes to the system are </t>
    </r>
    <r>
      <rPr>
        <b/>
        <sz val="11"/>
        <color rgb="FF000000"/>
        <rFont val="Aptos"/>
        <family val="2"/>
        <scheme val="minor"/>
      </rPr>
      <t>defined</t>
    </r>
    <r>
      <rPr>
        <sz val="11"/>
        <color indexed="8"/>
        <rFont val="Aptos"/>
        <family val="2"/>
        <scheme val="minor"/>
      </rPr>
      <t>.</t>
    </r>
  </si>
  <si>
    <r>
      <t xml:space="preserve">logical access restrictions associated with changes to the system are </t>
    </r>
    <r>
      <rPr>
        <b/>
        <sz val="11"/>
        <color rgb="FF000000"/>
        <rFont val="Aptos"/>
        <family val="2"/>
        <scheme val="minor"/>
      </rPr>
      <t>documented</t>
    </r>
    <r>
      <rPr>
        <sz val="11"/>
        <color indexed="8"/>
        <rFont val="Aptos"/>
        <family val="2"/>
        <scheme val="minor"/>
      </rPr>
      <t>.</t>
    </r>
  </si>
  <si>
    <r>
      <t xml:space="preserve">logical access restrictions associated with changes to the system are </t>
    </r>
    <r>
      <rPr>
        <b/>
        <sz val="11"/>
        <color rgb="FF000000"/>
        <rFont val="Aptos"/>
        <family val="2"/>
        <scheme val="minor"/>
      </rPr>
      <t>approved</t>
    </r>
    <r>
      <rPr>
        <sz val="11"/>
        <color indexed="8"/>
        <rFont val="Aptos"/>
        <family val="2"/>
        <scheme val="minor"/>
      </rPr>
      <t>.</t>
    </r>
  </si>
  <si>
    <r>
      <t xml:space="preserve">logical access restrictions associated with changes to the system are </t>
    </r>
    <r>
      <rPr>
        <b/>
        <sz val="11"/>
        <color rgb="FF000000"/>
        <rFont val="Aptos"/>
        <family val="2"/>
        <scheme val="minor"/>
      </rPr>
      <t>enforced</t>
    </r>
    <r>
      <rPr>
        <sz val="11"/>
        <color indexed="8"/>
        <rFont val="Aptos"/>
        <family val="2"/>
        <scheme val="minor"/>
      </rPr>
      <t>.</t>
    </r>
  </si>
  <si>
    <t>Examine: [SELECT FROM: Configuration management policy; procedures addressing access restrictions for changes to the system; system security plan; configuration management plan; system design documentation; system architecture and configuration documentation; system configuration settings and associated documentation; logical access approvals; physical access approvals; access credentials; change control records; system audit logs and records; other relevant documents or records].</t>
  </si>
  <si>
    <t>Interview: [SELECT FROM: Personnel with logical access control responsibilities; personnel with physical access control responsibilities; personnel with information security responsibilities; system or network administrators].</t>
  </si>
  <si>
    <t>Test: [SELECT FROM: Organizational processes for managing access restrictions associated with changes to the system; mechanisms supporting, implementing, and enforcing access restrictions associated with changes to the system].</t>
  </si>
  <si>
    <t>CM.L2-3.4.6</t>
  </si>
  <si>
    <t>3.4.6 [a]</t>
  </si>
  <si>
    <t>3.4.6 [b]</t>
  </si>
  <si>
    <r>
      <t xml:space="preserve">essential system capabilities are </t>
    </r>
    <r>
      <rPr>
        <b/>
        <sz val="11"/>
        <color rgb="FF000000"/>
        <rFont val="Aptos"/>
        <family val="2"/>
        <scheme val="minor"/>
      </rPr>
      <t>defined</t>
    </r>
    <r>
      <rPr>
        <sz val="11"/>
        <color indexed="8"/>
        <rFont val="Aptos"/>
        <family val="2"/>
        <scheme val="minor"/>
      </rPr>
      <t xml:space="preserve"> based on the principle of least functionality.</t>
    </r>
  </si>
  <si>
    <r>
      <t xml:space="preserve">the system is </t>
    </r>
    <r>
      <rPr>
        <b/>
        <sz val="11"/>
        <color rgb="FF000000"/>
        <rFont val="Aptos"/>
        <family val="2"/>
        <scheme val="minor"/>
      </rPr>
      <t>configured</t>
    </r>
    <r>
      <rPr>
        <sz val="11"/>
        <color indexed="8"/>
        <rFont val="Aptos"/>
        <family val="2"/>
        <scheme val="minor"/>
      </rPr>
      <t xml:space="preserve"> to provide only the defined essential capabilities.</t>
    </r>
  </si>
  <si>
    <t>Examine: [SELECT FROM: Configuration management policy; configuration management plan; procedures addressing least functionality in the system; system security plan; system design documentation; system configuration settings and associated documentation; security configuration checklists; other relevant documents or records].</t>
  </si>
  <si>
    <t>Test: [SELECT FROM: Organizational processes prohibiting or restricting functions, ports, protocols, or services; mechanisms implementing restrictions or prohibition of functions, ports, protocols, or services].</t>
  </si>
  <si>
    <t>CM.L2-3.4.7</t>
  </si>
  <si>
    <t>3.4.7 [a]</t>
  </si>
  <si>
    <t>3.4.7 [b]</t>
  </si>
  <si>
    <t>3.4.7 [c]</t>
  </si>
  <si>
    <t>3.4.7 [d]</t>
  </si>
  <si>
    <t>3.4.7 [e]</t>
  </si>
  <si>
    <t>3.4.7 [f]</t>
  </si>
  <si>
    <t>3.4.7 [g]</t>
  </si>
  <si>
    <t>3.4.7 [h]</t>
  </si>
  <si>
    <t>3.4.7 [i]</t>
  </si>
  <si>
    <t>3.4.7 [j]</t>
  </si>
  <si>
    <t>3.4.7 [k]</t>
  </si>
  <si>
    <t>3.4.7 [l]</t>
  </si>
  <si>
    <t>3.4.7 [m]</t>
  </si>
  <si>
    <t>3.4.7 [n]</t>
  </si>
  <si>
    <t>3.4.7 [o]</t>
  </si>
  <si>
    <r>
      <t xml:space="preserve">essential programs are </t>
    </r>
    <r>
      <rPr>
        <b/>
        <sz val="11"/>
        <color rgb="FF000000"/>
        <rFont val="Aptos"/>
        <family val="2"/>
        <scheme val="minor"/>
      </rPr>
      <t>defined</t>
    </r>
    <r>
      <rPr>
        <sz val="11"/>
        <color indexed="8"/>
        <rFont val="Aptos"/>
        <family val="2"/>
        <scheme val="minor"/>
      </rPr>
      <t>.</t>
    </r>
  </si>
  <si>
    <r>
      <t xml:space="preserve">the use of nonessential programs is </t>
    </r>
    <r>
      <rPr>
        <b/>
        <sz val="11"/>
        <color rgb="FF000000"/>
        <rFont val="Aptos"/>
        <family val="2"/>
        <scheme val="minor"/>
      </rPr>
      <t>defined</t>
    </r>
    <r>
      <rPr>
        <sz val="11"/>
        <color indexed="8"/>
        <rFont val="Aptos"/>
        <family val="2"/>
        <scheme val="minor"/>
      </rPr>
      <t>.</t>
    </r>
  </si>
  <si>
    <r>
      <t xml:space="preserve">the use of nonessential programs is restricted, disabled, or prevented as </t>
    </r>
    <r>
      <rPr>
        <b/>
        <sz val="11"/>
        <color rgb="FF000000"/>
        <rFont val="Aptos"/>
        <family val="2"/>
        <scheme val="minor"/>
      </rPr>
      <t>defined</t>
    </r>
    <r>
      <rPr>
        <sz val="11"/>
        <color indexed="8"/>
        <rFont val="Aptos"/>
        <family val="2"/>
        <scheme val="minor"/>
      </rPr>
      <t>.</t>
    </r>
  </si>
  <si>
    <r>
      <t xml:space="preserve">essential functions are </t>
    </r>
    <r>
      <rPr>
        <b/>
        <sz val="11"/>
        <color rgb="FF000000"/>
        <rFont val="Aptos"/>
        <family val="2"/>
        <scheme val="minor"/>
      </rPr>
      <t>defined</t>
    </r>
    <r>
      <rPr>
        <sz val="11"/>
        <color indexed="8"/>
        <rFont val="Aptos"/>
        <family val="2"/>
        <scheme val="minor"/>
      </rPr>
      <t>.</t>
    </r>
  </si>
  <si>
    <r>
      <t xml:space="preserve">the use of nonessential functions is </t>
    </r>
    <r>
      <rPr>
        <b/>
        <sz val="11"/>
        <color rgb="FF000000"/>
        <rFont val="Aptos"/>
        <family val="2"/>
        <scheme val="minor"/>
      </rPr>
      <t>defined</t>
    </r>
    <r>
      <rPr>
        <sz val="11"/>
        <color indexed="8"/>
        <rFont val="Aptos"/>
        <family val="2"/>
        <scheme val="minor"/>
      </rPr>
      <t>.</t>
    </r>
  </si>
  <si>
    <r>
      <t xml:space="preserve">the use of nonessential functions is restricted, disabled, or prevented as </t>
    </r>
    <r>
      <rPr>
        <b/>
        <sz val="11"/>
        <color rgb="FF000000"/>
        <rFont val="Aptos"/>
        <family val="2"/>
        <scheme val="minor"/>
      </rPr>
      <t>defined</t>
    </r>
    <r>
      <rPr>
        <sz val="11"/>
        <color indexed="8"/>
        <rFont val="Aptos"/>
        <family val="2"/>
        <scheme val="minor"/>
      </rPr>
      <t>.</t>
    </r>
  </si>
  <si>
    <r>
      <t xml:space="preserve">essential ports are </t>
    </r>
    <r>
      <rPr>
        <b/>
        <sz val="11"/>
        <color rgb="FF000000"/>
        <rFont val="Aptos"/>
        <family val="2"/>
        <scheme val="minor"/>
      </rPr>
      <t>defined</t>
    </r>
    <r>
      <rPr>
        <sz val="11"/>
        <color indexed="8"/>
        <rFont val="Aptos"/>
        <family val="2"/>
        <scheme val="minor"/>
      </rPr>
      <t>.</t>
    </r>
  </si>
  <si>
    <r>
      <rPr>
        <sz val="11"/>
        <color rgb="FF000000"/>
        <rFont val="Aptos"/>
        <family val="2"/>
        <scheme val="minor"/>
      </rPr>
      <t xml:space="preserve">the use of nonessential ports is </t>
    </r>
    <r>
      <rPr>
        <b/>
        <sz val="11"/>
        <color rgb="FF000000"/>
        <rFont val="Aptos"/>
        <family val="2"/>
        <scheme val="minor"/>
      </rPr>
      <t>defined</t>
    </r>
    <r>
      <rPr>
        <sz val="11"/>
        <color rgb="FF000000"/>
        <rFont val="Aptos"/>
        <family val="2"/>
        <scheme val="minor"/>
      </rPr>
      <t>.</t>
    </r>
  </si>
  <si>
    <r>
      <t xml:space="preserve">the use of nonessential ports is restricted, disabled, or prevented as </t>
    </r>
    <r>
      <rPr>
        <b/>
        <sz val="11"/>
        <color rgb="FF000000"/>
        <rFont val="Aptos"/>
        <family val="2"/>
        <scheme val="minor"/>
      </rPr>
      <t>defined</t>
    </r>
    <r>
      <rPr>
        <sz val="11"/>
        <color indexed="8"/>
        <rFont val="Aptos"/>
        <family val="2"/>
        <scheme val="minor"/>
      </rPr>
      <t>.</t>
    </r>
  </si>
  <si>
    <r>
      <t xml:space="preserve">essential protocols are </t>
    </r>
    <r>
      <rPr>
        <b/>
        <sz val="11"/>
        <color rgb="FF000000"/>
        <rFont val="Aptos"/>
        <family val="2"/>
        <scheme val="minor"/>
      </rPr>
      <t>defined</t>
    </r>
    <r>
      <rPr>
        <sz val="11"/>
        <color indexed="8"/>
        <rFont val="Aptos"/>
        <family val="2"/>
        <scheme val="minor"/>
      </rPr>
      <t>.</t>
    </r>
  </si>
  <si>
    <r>
      <t xml:space="preserve">the use of nonessential protocols is </t>
    </r>
    <r>
      <rPr>
        <b/>
        <sz val="11"/>
        <color rgb="FF000000"/>
        <rFont val="Aptos"/>
        <family val="2"/>
        <scheme val="minor"/>
      </rPr>
      <t>defined</t>
    </r>
    <r>
      <rPr>
        <sz val="11"/>
        <color indexed="8"/>
        <rFont val="Aptos"/>
        <family val="2"/>
        <scheme val="minor"/>
      </rPr>
      <t>.</t>
    </r>
  </si>
  <si>
    <r>
      <t xml:space="preserve">the use of nonessential protocols is restricted, disabled, or prevented as </t>
    </r>
    <r>
      <rPr>
        <b/>
        <sz val="11"/>
        <color rgb="FF000000"/>
        <rFont val="Aptos"/>
        <family val="2"/>
        <scheme val="minor"/>
      </rPr>
      <t>defined</t>
    </r>
    <r>
      <rPr>
        <sz val="11"/>
        <color indexed="8"/>
        <rFont val="Aptos"/>
        <family val="2"/>
        <scheme val="minor"/>
      </rPr>
      <t>.</t>
    </r>
  </si>
  <si>
    <r>
      <t xml:space="preserve">essential services are </t>
    </r>
    <r>
      <rPr>
        <b/>
        <sz val="11"/>
        <color rgb="FF000000"/>
        <rFont val="Aptos"/>
        <family val="2"/>
        <scheme val="minor"/>
      </rPr>
      <t>defined</t>
    </r>
    <r>
      <rPr>
        <sz val="11"/>
        <color indexed="8"/>
        <rFont val="Aptos"/>
        <family val="2"/>
        <scheme val="minor"/>
      </rPr>
      <t>.</t>
    </r>
  </si>
  <si>
    <r>
      <t xml:space="preserve">the use of nonessential services is </t>
    </r>
    <r>
      <rPr>
        <b/>
        <sz val="11"/>
        <color rgb="FF000000"/>
        <rFont val="Aptos"/>
        <family val="2"/>
        <scheme val="minor"/>
      </rPr>
      <t>defined</t>
    </r>
    <r>
      <rPr>
        <sz val="11"/>
        <color indexed="8"/>
        <rFont val="Aptos"/>
        <family val="2"/>
        <scheme val="minor"/>
      </rPr>
      <t>.</t>
    </r>
  </si>
  <si>
    <r>
      <t xml:space="preserve">the use of nonessential services is restricted, disabled, or prevented as </t>
    </r>
    <r>
      <rPr>
        <b/>
        <sz val="11"/>
        <color rgb="FF000000"/>
        <rFont val="Aptos"/>
        <family val="2"/>
        <scheme val="minor"/>
      </rPr>
      <t>defined</t>
    </r>
    <r>
      <rPr>
        <sz val="11"/>
        <color indexed="8"/>
        <rFont val="Aptos"/>
        <family val="2"/>
        <scheme val="minor"/>
      </rPr>
      <t>.</t>
    </r>
  </si>
  <si>
    <t>Examine: [SELECT FROM: Configuration management policy; procedures addressing least functionality in the system; configuration management plan; system security plan; system design documentation; security configuration checklists; system configuration settings and associated documentation; specifications for preventing software program execution; documented reviews of programs, functions, ports, protocols, and/or services; change control records; system audit logs and records; other relevant documents or records].</t>
  </si>
  <si>
    <t>Interview: [SELECT FROM: Personnel with responsibilities for reviewing programs, functions, ports, protocols, and services on the system; personnel with information security responsibilities; system or network administrators; system developers].</t>
  </si>
  <si>
    <t>Test: [SELECT FROM: Organizational processes for reviewing and disabling nonessential programs, functions, ports, protocols, or services; mechanisms implementing review and handling of nonessential programs, functions, ports, protocols, or services; organizational processes preventing program execution on the system; organizational processes for software program usage and restrictions; mechanisms supporting or implementing software program usage and restrictions; mechanisms preventing program execution on the system].</t>
  </si>
  <si>
    <t>CM.L2-3.4.8</t>
  </si>
  <si>
    <t>3.4.8 [a]</t>
  </si>
  <si>
    <t>3.4.8 [b]</t>
  </si>
  <si>
    <t>3.4.8 [c]</t>
  </si>
  <si>
    <r>
      <t xml:space="preserve">a policy specifying whether whitelisting or blacklisting is to be implemented is </t>
    </r>
    <r>
      <rPr>
        <b/>
        <sz val="11"/>
        <color rgb="FF000000"/>
        <rFont val="Aptos"/>
        <family val="2"/>
        <scheme val="minor"/>
      </rPr>
      <t>specified</t>
    </r>
    <r>
      <rPr>
        <sz val="11"/>
        <color indexed="8"/>
        <rFont val="Aptos"/>
        <family val="2"/>
        <scheme val="minor"/>
      </rPr>
      <t>.</t>
    </r>
  </si>
  <si>
    <t>Examine: [SELECT FROM: Configuration management policy; procedures addressing least functionality in the system; system security plan; configuration management plan; system design documentation; system configuration settings and associated documentation; list of software programs not authorized to execute on the system; list of software programs authorized to execute on the system; security configuration checklists; review and update records associated with list of authorized or unauthorized software programs; change control records; system audit logs and records; other relevant documents or records].</t>
  </si>
  <si>
    <t>Interview: [SELECT FROM: Personnel with responsibilities for identifying software authorized or not authorized to execute on the system; personnel with information security responsibilities; system or network administrators].</t>
  </si>
  <si>
    <t>Test: [SELECT FROM: Organizational process for identifying, reviewing, and updating programs authorized or not authorized to execute on the system; process for implementing blacklisting or whitelisting; mechanisms supporting or implementing blacklisting or whitelisting].</t>
  </si>
  <si>
    <t>CM.L2-3.4.9</t>
  </si>
  <si>
    <t>3.4.9 [a]</t>
  </si>
  <si>
    <t>3.4.9 [b]</t>
  </si>
  <si>
    <t>3.4.9 [c]</t>
  </si>
  <si>
    <r>
      <t xml:space="preserve">a policy for controlling the installation of software by users is </t>
    </r>
    <r>
      <rPr>
        <b/>
        <sz val="11"/>
        <color rgb="FF000000"/>
        <rFont val="Aptos"/>
        <family val="2"/>
        <scheme val="minor"/>
      </rPr>
      <t>established</t>
    </r>
    <r>
      <rPr>
        <sz val="11"/>
        <color indexed="8"/>
        <rFont val="Aptos"/>
        <family val="2"/>
        <scheme val="minor"/>
      </rPr>
      <t>.</t>
    </r>
  </si>
  <si>
    <r>
      <t xml:space="preserve">installation of software by users is </t>
    </r>
    <r>
      <rPr>
        <b/>
        <sz val="11"/>
        <color rgb="FF000000"/>
        <rFont val="Aptos"/>
        <family val="2"/>
        <scheme val="minor"/>
      </rPr>
      <t>controlled</t>
    </r>
    <r>
      <rPr>
        <sz val="11"/>
        <color indexed="8"/>
        <rFont val="Aptos"/>
        <family val="2"/>
        <scheme val="minor"/>
      </rPr>
      <t xml:space="preserve"> based on the established policy.</t>
    </r>
  </si>
  <si>
    <r>
      <t xml:space="preserve">installation of software by users is </t>
    </r>
    <r>
      <rPr>
        <b/>
        <sz val="11"/>
        <color rgb="FF000000"/>
        <rFont val="Aptos"/>
        <family val="2"/>
        <scheme val="minor"/>
      </rPr>
      <t>monitored</t>
    </r>
    <r>
      <rPr>
        <sz val="11"/>
        <color indexed="8"/>
        <rFont val="Aptos"/>
        <family val="2"/>
        <scheme val="minor"/>
      </rPr>
      <t>.</t>
    </r>
  </si>
  <si>
    <t>Examine: [SELECT FROM: Configuration management policy; procedures addressing user installed software; configuration management plan; system security plan; system design documentation; system configuration settings and associated documentation; list of rules governing user-installed software; system monitoring records; system audit logs and records; continuous monitoring strategy; other relevant documents or records].</t>
  </si>
  <si>
    <t>Interview: [SELECT FROM: Personnel with responsibilities for governing user-installed software; personnel operating, using, or maintaining the system; personnel monitoring compliance with user-installed software policy; personnel with information security responsibilities; system or network administrators].</t>
  </si>
  <si>
    <t>Test: [SELECT FROM: Organizational processes governing user-installed software on the system; mechanisms enforcing rules or methods for governing the installation of software by users; mechanisms monitoring policy compliance].</t>
  </si>
  <si>
    <t>Identification</t>
  </si>
  <si>
    <t>Authentication</t>
  </si>
  <si>
    <t>Multifactor Authentication</t>
  </si>
  <si>
    <t>Replay-Resistant Authentication</t>
  </si>
  <si>
    <t>Identifier Reuse</t>
  </si>
  <si>
    <t>Identifier Handling</t>
  </si>
  <si>
    <t>Password Complexity</t>
  </si>
  <si>
    <t>Password Reuse</t>
  </si>
  <si>
    <t>Temporary Passwords</t>
  </si>
  <si>
    <t>Cryptographically-Protected Passwords</t>
  </si>
  <si>
    <t>Obscure Feedback</t>
  </si>
  <si>
    <t>IA.L1-3.5.1</t>
  </si>
  <si>
    <t>3.5.1 [a]</t>
  </si>
  <si>
    <t>3.5.1 [b]</t>
  </si>
  <si>
    <t>3.5.1 [c]</t>
  </si>
  <si>
    <r>
      <t xml:space="preserve">system users are </t>
    </r>
    <r>
      <rPr>
        <b/>
        <sz val="11"/>
        <color rgb="FF000000"/>
        <rFont val="Aptos"/>
        <family val="2"/>
        <scheme val="minor"/>
      </rPr>
      <t>identified</t>
    </r>
    <r>
      <rPr>
        <sz val="11"/>
        <color indexed="8"/>
        <rFont val="Aptos"/>
        <family val="2"/>
        <scheme val="minor"/>
      </rPr>
      <t>.</t>
    </r>
  </si>
  <si>
    <r>
      <t xml:space="preserve">processes acting on behalf of users are </t>
    </r>
    <r>
      <rPr>
        <b/>
        <sz val="11"/>
        <color rgb="FF000000"/>
        <rFont val="Aptos"/>
        <family val="2"/>
        <scheme val="minor"/>
      </rPr>
      <t>identified</t>
    </r>
    <r>
      <rPr>
        <sz val="11"/>
        <color indexed="8"/>
        <rFont val="Aptos"/>
        <family val="2"/>
        <scheme val="minor"/>
      </rPr>
      <t>.</t>
    </r>
  </si>
  <si>
    <r>
      <t xml:space="preserve">devices accessing the system are </t>
    </r>
    <r>
      <rPr>
        <b/>
        <sz val="11"/>
        <color rgb="FF000000"/>
        <rFont val="Aptos"/>
        <family val="2"/>
        <scheme val="minor"/>
      </rPr>
      <t>identified</t>
    </r>
    <r>
      <rPr>
        <sz val="11"/>
        <color indexed="8"/>
        <rFont val="Aptos"/>
        <family val="2"/>
        <scheme val="minor"/>
      </rPr>
      <t>.</t>
    </r>
  </si>
  <si>
    <t>Examine: [SELECT FROM: Identification and authentication policy; procedures addressing user identification and authentication; system security plan, system design documentation; system configuration settings and associated documentation; system audit logs and records; list of system accounts; other relevant documents or records].</t>
  </si>
  <si>
    <t>Interview: [SELECT FROM: Personnel with system operations responsibilities; personnel with information security responsibilities; system or network administrators; personnel with account management responsibilities; system developers].</t>
  </si>
  <si>
    <t>Test: [SELECT FROM: Organizational processes for uniquely identifying and authenticating users; mechanisms supporting or implementing identification and authentication capability].</t>
  </si>
  <si>
    <t>IA.L1-3.5.2</t>
  </si>
  <si>
    <t>3.5.2 [a]</t>
  </si>
  <si>
    <t>3.5.2 [b]</t>
  </si>
  <si>
    <t>3.5.2 [c]</t>
  </si>
  <si>
    <r>
      <t xml:space="preserve">the identity of each user is </t>
    </r>
    <r>
      <rPr>
        <b/>
        <sz val="11"/>
        <color rgb="FF000000"/>
        <rFont val="Aptos"/>
        <family val="2"/>
        <scheme val="minor"/>
      </rPr>
      <t>authenticated</t>
    </r>
    <r>
      <rPr>
        <sz val="11"/>
        <color indexed="8"/>
        <rFont val="Aptos"/>
        <family val="2"/>
        <scheme val="minor"/>
      </rPr>
      <t xml:space="preserve"> or </t>
    </r>
    <r>
      <rPr>
        <b/>
        <sz val="11"/>
        <color rgb="FF000000"/>
        <rFont val="Aptos"/>
        <family val="2"/>
        <scheme val="minor"/>
      </rPr>
      <t>verified</t>
    </r>
    <r>
      <rPr>
        <sz val="11"/>
        <color indexed="8"/>
        <rFont val="Aptos"/>
        <family val="2"/>
        <scheme val="minor"/>
      </rPr>
      <t xml:space="preserve"> as a prerequisite to system access.</t>
    </r>
  </si>
  <si>
    <r>
      <t xml:space="preserve">the identity of each process acting on behalf of a user is </t>
    </r>
    <r>
      <rPr>
        <b/>
        <sz val="11"/>
        <color rgb="FF000000"/>
        <rFont val="Aptos"/>
        <family val="2"/>
        <scheme val="minor"/>
      </rPr>
      <t>authenticated</t>
    </r>
    <r>
      <rPr>
        <sz val="11"/>
        <color indexed="8"/>
        <rFont val="Aptos"/>
        <family val="2"/>
        <scheme val="minor"/>
      </rPr>
      <t xml:space="preserve"> or </t>
    </r>
    <r>
      <rPr>
        <b/>
        <sz val="11"/>
        <color rgb="FF000000"/>
        <rFont val="Aptos"/>
        <family val="2"/>
        <scheme val="minor"/>
      </rPr>
      <t>verified</t>
    </r>
    <r>
      <rPr>
        <sz val="11"/>
        <color indexed="8"/>
        <rFont val="Aptos"/>
        <family val="2"/>
        <scheme val="minor"/>
      </rPr>
      <t xml:space="preserve"> as a prerequisite to system access.</t>
    </r>
  </si>
  <si>
    <r>
      <t xml:space="preserve">the identity of each device accessing or connecting to the system is </t>
    </r>
    <r>
      <rPr>
        <b/>
        <sz val="11"/>
        <color rgb="FF000000"/>
        <rFont val="Aptos"/>
        <family val="2"/>
        <scheme val="minor"/>
      </rPr>
      <t>authenticated</t>
    </r>
    <r>
      <rPr>
        <sz val="11"/>
        <color indexed="8"/>
        <rFont val="Aptos"/>
        <family val="2"/>
        <scheme val="minor"/>
      </rPr>
      <t xml:space="preserve"> or </t>
    </r>
    <r>
      <rPr>
        <b/>
        <sz val="11"/>
        <color rgb="FF000000"/>
        <rFont val="Aptos"/>
        <family val="2"/>
        <scheme val="minor"/>
      </rPr>
      <t>verified</t>
    </r>
    <r>
      <rPr>
        <sz val="11"/>
        <color indexed="8"/>
        <rFont val="Aptos"/>
        <family val="2"/>
        <scheme val="minor"/>
      </rPr>
      <t xml:space="preserve"> as a prerequisite to system access.</t>
    </r>
  </si>
  <si>
    <t>Examine: [SELECT FROM: Identification and authentication policy; system security plan; procedures addressing authenticator management; procedures addressing user identification and authentication; system design documentation; list of system authenticator types; system configuration settings and associated documentation; change control records associated with managing system authenticators; system audit logs and records; other relevant documents or records].</t>
  </si>
  <si>
    <t>Interview: [SELECT FROM: Personnel with authenticator management responsibilities; personnel with information security responsibilities; system or network administrators].</t>
  </si>
  <si>
    <t>Test: [SELECT FROM: Mechanisms supporting or implementing authenticator management capability].</t>
  </si>
  <si>
    <t>IA.L2-3.5.3</t>
  </si>
  <si>
    <t>3.5.3 [a]</t>
  </si>
  <si>
    <t>3.5.3 [b]</t>
  </si>
  <si>
    <t>3.5.3 [c]</t>
  </si>
  <si>
    <t>3.5.3 [d]</t>
  </si>
  <si>
    <r>
      <t xml:space="preserve">privileged accounts are </t>
    </r>
    <r>
      <rPr>
        <b/>
        <sz val="11"/>
        <color rgb="FF000000"/>
        <rFont val="Aptos"/>
        <family val="2"/>
        <scheme val="minor"/>
      </rPr>
      <t>identified</t>
    </r>
    <r>
      <rPr>
        <sz val="11"/>
        <color indexed="8"/>
        <rFont val="Aptos"/>
        <family val="2"/>
        <scheme val="minor"/>
      </rPr>
      <t>.</t>
    </r>
  </si>
  <si>
    <r>
      <t xml:space="preserve">multifactor authentication is </t>
    </r>
    <r>
      <rPr>
        <b/>
        <sz val="11"/>
        <color rgb="FF000000"/>
        <rFont val="Aptos"/>
        <family val="2"/>
        <scheme val="minor"/>
      </rPr>
      <t>implemented</t>
    </r>
    <r>
      <rPr>
        <sz val="11"/>
        <color indexed="8"/>
        <rFont val="Aptos"/>
        <family val="2"/>
        <scheme val="minor"/>
      </rPr>
      <t xml:space="preserve"> for </t>
    </r>
    <r>
      <rPr>
        <b/>
        <sz val="11"/>
        <color rgb="FF000000"/>
        <rFont val="Aptos"/>
        <family val="2"/>
        <scheme val="minor"/>
      </rPr>
      <t>local</t>
    </r>
    <r>
      <rPr>
        <sz val="11"/>
        <color indexed="8"/>
        <rFont val="Aptos"/>
        <family val="2"/>
        <scheme val="minor"/>
      </rPr>
      <t xml:space="preserve"> access to privileged accounts.</t>
    </r>
  </si>
  <si>
    <r>
      <t xml:space="preserve">multifactor authentication is </t>
    </r>
    <r>
      <rPr>
        <b/>
        <sz val="11"/>
        <color rgb="FF000000"/>
        <rFont val="Aptos"/>
        <family val="2"/>
        <scheme val="minor"/>
      </rPr>
      <t>implemented</t>
    </r>
    <r>
      <rPr>
        <sz val="11"/>
        <color indexed="8"/>
        <rFont val="Aptos"/>
        <family val="2"/>
        <scheme val="minor"/>
      </rPr>
      <t xml:space="preserve"> for </t>
    </r>
    <r>
      <rPr>
        <b/>
        <sz val="11"/>
        <color rgb="FF000000"/>
        <rFont val="Aptos"/>
        <family val="2"/>
        <scheme val="minor"/>
      </rPr>
      <t>network</t>
    </r>
    <r>
      <rPr>
        <sz val="11"/>
        <color indexed="8"/>
        <rFont val="Aptos"/>
        <family val="2"/>
        <scheme val="minor"/>
      </rPr>
      <t xml:space="preserve"> access to privileged accounts.</t>
    </r>
  </si>
  <si>
    <r>
      <t xml:space="preserve">multifactor authentication is </t>
    </r>
    <r>
      <rPr>
        <b/>
        <sz val="11"/>
        <color rgb="FF000000"/>
        <rFont val="Aptos"/>
        <family val="2"/>
        <scheme val="minor"/>
      </rPr>
      <t>implemented</t>
    </r>
    <r>
      <rPr>
        <sz val="11"/>
        <color indexed="8"/>
        <rFont val="Aptos"/>
        <family val="2"/>
        <scheme val="minor"/>
      </rPr>
      <t xml:space="preserve"> for </t>
    </r>
    <r>
      <rPr>
        <b/>
        <sz val="11"/>
        <color rgb="FF000000"/>
        <rFont val="Aptos"/>
        <family val="2"/>
        <scheme val="minor"/>
      </rPr>
      <t>network</t>
    </r>
    <r>
      <rPr>
        <sz val="11"/>
        <color indexed="8"/>
        <rFont val="Aptos"/>
        <family val="2"/>
        <scheme val="minor"/>
      </rPr>
      <t xml:space="preserve"> access to non-privileged accounts.</t>
    </r>
  </si>
  <si>
    <t>Examine: [SELECT FROM: Identification and authentication policy; procedures addressing user identification and authentication; system security plan; system design documentation; system configuration settings and associated documentation; system audit logs and records; list of system accounts; other relevant documents or records].</t>
  </si>
  <si>
    <t>Interview: [SELECT FROM: Personnel with system operations responsibilities; personnel with account management responsibilities; personnel with information security responsibilities; system or network administrators; system developers].</t>
  </si>
  <si>
    <t>Test: [SELECT FROM: Mechanisms supporting or implementing multifactor authentication capability].</t>
  </si>
  <si>
    <t>IA.L2-3.5.4</t>
  </si>
  <si>
    <t>3.5.4 [a]</t>
  </si>
  <si>
    <t>Examine: [SELECT FROM: Identification and authentication policy; procedures addressing user identification and authentication; system security plan; system design documentation; system configuration settings and associated documentation; system audit logs and records; list of privileged system accounts; other relevant documents or records].</t>
  </si>
  <si>
    <t>Test: [SELECT FROM: Mechanisms supporting or implementing identification and authentication capability or replay resistant authentication mechanisms].</t>
  </si>
  <si>
    <t>IA.L2-3.5.5</t>
  </si>
  <si>
    <t>3.5.5 [a]</t>
  </si>
  <si>
    <t>3.5.5 [b]</t>
  </si>
  <si>
    <r>
      <t xml:space="preserve">a period within which identifiers cannot be reused is </t>
    </r>
    <r>
      <rPr>
        <b/>
        <sz val="11"/>
        <color rgb="FF000000"/>
        <rFont val="Aptos"/>
        <family val="2"/>
        <scheme val="minor"/>
      </rPr>
      <t>defined</t>
    </r>
    <r>
      <rPr>
        <sz val="11"/>
        <color indexed="8"/>
        <rFont val="Aptos"/>
        <family val="2"/>
        <scheme val="minor"/>
      </rPr>
      <t>.</t>
    </r>
  </si>
  <si>
    <r>
      <t xml:space="preserve">replay-resistant authentication mechanisms are </t>
    </r>
    <r>
      <rPr>
        <b/>
        <sz val="11"/>
        <color rgb="FF000000"/>
        <rFont val="Aptos"/>
        <family val="2"/>
        <scheme val="minor"/>
      </rPr>
      <t>implemented</t>
    </r>
    <r>
      <rPr>
        <sz val="11"/>
        <color indexed="8"/>
        <rFont val="Aptos"/>
        <family val="2"/>
        <scheme val="minor"/>
      </rPr>
      <t xml:space="preserve"> for </t>
    </r>
    <r>
      <rPr>
        <b/>
        <sz val="11"/>
        <color rgb="FF000000"/>
        <rFont val="Aptos"/>
        <family val="2"/>
        <scheme val="minor"/>
      </rPr>
      <t>network</t>
    </r>
    <r>
      <rPr>
        <sz val="11"/>
        <color indexed="8"/>
        <rFont val="Aptos"/>
        <family val="2"/>
        <scheme val="minor"/>
      </rPr>
      <t xml:space="preserve"> account access to privileged and non-privileged accounts.</t>
    </r>
  </si>
  <si>
    <r>
      <t xml:space="preserve">reuse of identifiers is </t>
    </r>
    <r>
      <rPr>
        <b/>
        <sz val="11"/>
        <color rgb="FF000000"/>
        <rFont val="Aptos"/>
        <family val="2"/>
        <scheme val="minor"/>
      </rPr>
      <t>prevented</t>
    </r>
    <r>
      <rPr>
        <sz val="11"/>
        <color indexed="8"/>
        <rFont val="Aptos"/>
        <family val="2"/>
        <scheme val="minor"/>
      </rPr>
      <t xml:space="preserve"> within the defined period.</t>
    </r>
  </si>
  <si>
    <t>Examine: [SELECT FROM: Identification and authentication policy; procedures addressing identifier management; procedures addressing account management; system security plan; system design documentation; system configuration settings and associated documentation; list of system accounts; list of identifiers generated from physical access control devices; other relevant documents or records].</t>
  </si>
  <si>
    <t>Interview: [SELECT FROM: Personnel with identifier management responsibilities; personnel with information security responsibilities; system or network administrators; system developers].</t>
  </si>
  <si>
    <t>Test: [SELECT FROM: Mechanisms supporting or implementing identifier management].</t>
  </si>
  <si>
    <t>IA.L2-3.5.6</t>
  </si>
  <si>
    <t>3.5.6 [a]</t>
  </si>
  <si>
    <t>3.5.6 [b]</t>
  </si>
  <si>
    <r>
      <t xml:space="preserve">a period of inactivity after which an identifier is disabled is </t>
    </r>
    <r>
      <rPr>
        <b/>
        <sz val="11"/>
        <color rgb="FF000000"/>
        <rFont val="Aptos"/>
        <family val="2"/>
        <scheme val="minor"/>
      </rPr>
      <t>defined</t>
    </r>
    <r>
      <rPr>
        <sz val="11"/>
        <color indexed="8"/>
        <rFont val="Aptos"/>
        <family val="2"/>
        <scheme val="minor"/>
      </rPr>
      <t>.</t>
    </r>
  </si>
  <si>
    <r>
      <t xml:space="preserve">identifiers are </t>
    </r>
    <r>
      <rPr>
        <b/>
        <sz val="11"/>
        <color rgb="FF000000"/>
        <rFont val="Aptos"/>
        <family val="2"/>
        <scheme val="minor"/>
      </rPr>
      <t>disabled</t>
    </r>
    <r>
      <rPr>
        <sz val="11"/>
        <color indexed="8"/>
        <rFont val="Aptos"/>
        <family val="2"/>
        <scheme val="minor"/>
      </rPr>
      <t xml:space="preserve"> after the defined period of inactivity.</t>
    </r>
  </si>
  <si>
    <t>IA.L2-3.5.7</t>
  </si>
  <si>
    <t>3.5.7 [a]</t>
  </si>
  <si>
    <t>3.5.7 [b]</t>
  </si>
  <si>
    <t>3.5.7 [c]</t>
  </si>
  <si>
    <t>3.5.7 [d]</t>
  </si>
  <si>
    <r>
      <t xml:space="preserve">password complexity requirements are </t>
    </r>
    <r>
      <rPr>
        <b/>
        <sz val="11"/>
        <color rgb="FF000000"/>
        <rFont val="Aptos"/>
        <family val="2"/>
        <scheme val="minor"/>
      </rPr>
      <t>defined</t>
    </r>
    <r>
      <rPr>
        <sz val="11"/>
        <color indexed="8"/>
        <rFont val="Aptos"/>
        <family val="2"/>
        <scheme val="minor"/>
      </rPr>
      <t>.</t>
    </r>
  </si>
  <si>
    <r>
      <t xml:space="preserve">password change of character requirements are </t>
    </r>
    <r>
      <rPr>
        <b/>
        <sz val="11"/>
        <color rgb="FF000000"/>
        <rFont val="Aptos"/>
        <family val="2"/>
        <scheme val="minor"/>
      </rPr>
      <t>defined</t>
    </r>
    <r>
      <rPr>
        <sz val="11"/>
        <color indexed="8"/>
        <rFont val="Aptos"/>
        <family val="2"/>
        <scheme val="minor"/>
      </rPr>
      <t>.</t>
    </r>
  </si>
  <si>
    <r>
      <t xml:space="preserve">minimum password complexity requirements as defined are </t>
    </r>
    <r>
      <rPr>
        <b/>
        <sz val="11"/>
        <color rgb="FF000000"/>
        <rFont val="Aptos"/>
        <family val="2"/>
        <scheme val="minor"/>
      </rPr>
      <t>enforced</t>
    </r>
    <r>
      <rPr>
        <sz val="11"/>
        <color indexed="8"/>
        <rFont val="Aptos"/>
        <family val="2"/>
        <scheme val="minor"/>
      </rPr>
      <t xml:space="preserve"> when new passwords are created.</t>
    </r>
  </si>
  <si>
    <r>
      <t xml:space="preserve">minimum password change of character requirements as defined are </t>
    </r>
    <r>
      <rPr>
        <b/>
        <sz val="11"/>
        <color rgb="FF000000"/>
        <rFont val="Aptos"/>
        <family val="2"/>
        <scheme val="minor"/>
      </rPr>
      <t>enforced</t>
    </r>
    <r>
      <rPr>
        <sz val="11"/>
        <color indexed="8"/>
        <rFont val="Aptos"/>
        <family val="2"/>
        <scheme val="minor"/>
      </rPr>
      <t xml:space="preserve"> when new passwords are created.</t>
    </r>
  </si>
  <si>
    <t>Examine: [SELECT FROM: Identification and authentication policy; password policy; procedures addressing authenticator management; system security plan; system configuration settings and associated documentation; system design documentation; password configurations and associated documentation; other relevant documents or records].</t>
  </si>
  <si>
    <t>Interview: [SELECT FROM: Personnel with authenticator management responsibilities; personnel with information security responsibilities; system or network administrators; system developers].</t>
  </si>
  <si>
    <t>Test: [SELECT FROM: Mechanisms supporting or implementing password-based authenticator management capability].</t>
  </si>
  <si>
    <t>IA.L2-3.5.8</t>
  </si>
  <si>
    <t>3.5.8 [a]</t>
  </si>
  <si>
    <t>3.5.8 [b]</t>
  </si>
  <si>
    <r>
      <t xml:space="preserve">the number of generations during which a password cannot be reused is </t>
    </r>
    <r>
      <rPr>
        <b/>
        <sz val="11"/>
        <color rgb="FF000000"/>
        <rFont val="Aptos"/>
        <family val="2"/>
        <scheme val="minor"/>
      </rPr>
      <t>specified</t>
    </r>
    <r>
      <rPr>
        <sz val="11"/>
        <color indexed="8"/>
        <rFont val="Aptos"/>
        <family val="2"/>
        <scheme val="minor"/>
      </rPr>
      <t>.</t>
    </r>
  </si>
  <si>
    <r>
      <t xml:space="preserve">reuse of passwords is </t>
    </r>
    <r>
      <rPr>
        <b/>
        <sz val="11"/>
        <color rgb="FF000000"/>
        <rFont val="Aptos"/>
        <family val="2"/>
        <scheme val="minor"/>
      </rPr>
      <t>prohibited</t>
    </r>
    <r>
      <rPr>
        <sz val="11"/>
        <color indexed="8"/>
        <rFont val="Aptos"/>
        <family val="2"/>
        <scheme val="minor"/>
      </rPr>
      <t xml:space="preserve"> during the specified number of generations.</t>
    </r>
  </si>
  <si>
    <t>Examine: [SELECT FROM: Identification and authentication policy; password policy; procedures addressing authenticator management; system security plan; system design documentation; system configuration settings and associated documentation; password configurations and associated documentation; other relevant documents or records].</t>
  </si>
  <si>
    <t>IA.L2-3.5.9</t>
  </si>
  <si>
    <t>3.5.9 [a]</t>
  </si>
  <si>
    <t>an immediate change to a permanent password is required when a temporary password is used for system logon.</t>
  </si>
  <si>
    <t>IA.L2-3.5.10</t>
  </si>
  <si>
    <t>3.5.10 [a]</t>
  </si>
  <si>
    <t>3.5.10 [b]</t>
  </si>
  <si>
    <r>
      <t xml:space="preserve">passwords are cryptographically </t>
    </r>
    <r>
      <rPr>
        <b/>
        <sz val="11"/>
        <color rgb="FF000000"/>
        <rFont val="Aptos"/>
        <family val="2"/>
        <scheme val="minor"/>
      </rPr>
      <t>protected</t>
    </r>
    <r>
      <rPr>
        <sz val="11"/>
        <color indexed="8"/>
        <rFont val="Aptos"/>
        <family val="2"/>
        <scheme val="minor"/>
      </rPr>
      <t xml:space="preserve"> in storage.</t>
    </r>
  </si>
  <si>
    <r>
      <t xml:space="preserve">passwords are cryptographically </t>
    </r>
    <r>
      <rPr>
        <b/>
        <sz val="11"/>
        <color rgb="FF000000"/>
        <rFont val="Aptos"/>
        <family val="2"/>
        <scheme val="minor"/>
      </rPr>
      <t>protected</t>
    </r>
    <r>
      <rPr>
        <sz val="11"/>
        <color indexed="8"/>
        <rFont val="Aptos"/>
        <family val="2"/>
        <scheme val="minor"/>
      </rPr>
      <t xml:space="preserve"> in transit.</t>
    </r>
  </si>
  <si>
    <t>authentication information is obscured during the authentication process.</t>
  </si>
  <si>
    <t>IA.L2-3.5.11</t>
  </si>
  <si>
    <t>3.5.11 [a]</t>
  </si>
  <si>
    <t>Examine: [SELECT FROM: Identification and authentication policy; procedures addressing authenticator feedback; system security plan; system design documentation; system configuration settings and associated documentation; system audit logs and records; other relevant documents or records].</t>
  </si>
  <si>
    <t>Test: [SELECT FROM: Mechanisms supporting or implementing the obscuring of feedback of authentication information during authentication].</t>
  </si>
  <si>
    <t>IR.L2-3.6.1</t>
  </si>
  <si>
    <t>3.6.1 [a]</t>
  </si>
  <si>
    <t>3.6.1 [b]</t>
  </si>
  <si>
    <t>3.6.1 [c]</t>
  </si>
  <si>
    <t>3.6.1 [d]</t>
  </si>
  <si>
    <t>3.6.1 [e]</t>
  </si>
  <si>
    <t>3.6.1 [f]</t>
  </si>
  <si>
    <t>3.6.1 [g]</t>
  </si>
  <si>
    <r>
      <t xml:space="preserve">an operational incident-handling capability is </t>
    </r>
    <r>
      <rPr>
        <b/>
        <sz val="11"/>
        <color rgb="FF000000"/>
        <rFont val="Aptos"/>
        <family val="2"/>
        <scheme val="minor"/>
      </rPr>
      <t>established</t>
    </r>
    <r>
      <rPr>
        <sz val="11"/>
        <color indexed="8"/>
        <rFont val="Aptos"/>
        <family val="2"/>
        <scheme val="minor"/>
      </rPr>
      <t>.</t>
    </r>
  </si>
  <si>
    <r>
      <t xml:space="preserve">the operational incident-handling capability </t>
    </r>
    <r>
      <rPr>
        <b/>
        <sz val="11"/>
        <color rgb="FF000000"/>
        <rFont val="Aptos"/>
        <family val="2"/>
        <scheme val="minor"/>
      </rPr>
      <t>includes</t>
    </r>
    <r>
      <rPr>
        <sz val="11"/>
        <color indexed="8"/>
        <rFont val="Aptos"/>
        <family val="2"/>
        <scheme val="minor"/>
      </rPr>
      <t xml:space="preserve"> preparation.</t>
    </r>
  </si>
  <si>
    <r>
      <t xml:space="preserve">the operational incident-handling capability </t>
    </r>
    <r>
      <rPr>
        <b/>
        <sz val="11"/>
        <color rgb="FF000000"/>
        <rFont val="Aptos"/>
        <family val="2"/>
        <scheme val="minor"/>
      </rPr>
      <t>includes</t>
    </r>
    <r>
      <rPr>
        <sz val="11"/>
        <color indexed="8"/>
        <rFont val="Aptos"/>
        <family val="2"/>
        <scheme val="minor"/>
      </rPr>
      <t xml:space="preserve"> detection.</t>
    </r>
  </si>
  <si>
    <r>
      <t xml:space="preserve">the operational incident-handling capability </t>
    </r>
    <r>
      <rPr>
        <b/>
        <sz val="11"/>
        <color rgb="FF000000"/>
        <rFont val="Aptos"/>
        <family val="2"/>
        <scheme val="minor"/>
      </rPr>
      <t>includes</t>
    </r>
    <r>
      <rPr>
        <sz val="11"/>
        <color indexed="8"/>
        <rFont val="Aptos"/>
        <family val="2"/>
        <scheme val="minor"/>
      </rPr>
      <t xml:space="preserve"> analysis.</t>
    </r>
  </si>
  <si>
    <r>
      <t xml:space="preserve">the operational incident-handling capability </t>
    </r>
    <r>
      <rPr>
        <b/>
        <sz val="11"/>
        <color rgb="FF000000"/>
        <rFont val="Aptos"/>
        <family val="2"/>
        <scheme val="minor"/>
      </rPr>
      <t>includes</t>
    </r>
    <r>
      <rPr>
        <sz val="11"/>
        <color indexed="8"/>
        <rFont val="Aptos"/>
        <family val="2"/>
        <scheme val="minor"/>
      </rPr>
      <t xml:space="preserve"> containment.</t>
    </r>
  </si>
  <si>
    <r>
      <t xml:space="preserve">the operational incident-handling capability </t>
    </r>
    <r>
      <rPr>
        <b/>
        <sz val="11"/>
        <color rgb="FF000000"/>
        <rFont val="Aptos"/>
        <family val="2"/>
        <scheme val="minor"/>
      </rPr>
      <t>includes</t>
    </r>
    <r>
      <rPr>
        <sz val="11"/>
        <color indexed="8"/>
        <rFont val="Aptos"/>
        <family val="2"/>
        <scheme val="minor"/>
      </rPr>
      <t xml:space="preserve"> recovery.</t>
    </r>
  </si>
  <si>
    <r>
      <t xml:space="preserve">the operational incident-handling capability </t>
    </r>
    <r>
      <rPr>
        <b/>
        <sz val="11"/>
        <color rgb="FF000000"/>
        <rFont val="Aptos"/>
        <family val="2"/>
        <scheme val="minor"/>
      </rPr>
      <t>includes</t>
    </r>
    <r>
      <rPr>
        <sz val="11"/>
        <color indexed="8"/>
        <rFont val="Aptos"/>
        <family val="2"/>
        <scheme val="minor"/>
      </rPr>
      <t xml:space="preserve"> user response activities.</t>
    </r>
  </si>
  <si>
    <t>Examine: [SELECT FROM: Incident response policy; contingency planning policy; procedures addressing incident handling; procedures addressing incident response assistance; incident response plan; contingency plan; system security plan; procedures addressing incident response training; incident response training curriculum; incident response training materials; incident response training records; other relevant documents or records].</t>
  </si>
  <si>
    <t>Interview: [SELECT FROM: Personnel with incident handling responsibilities; personnel with contingency planning responsibilities; personnel with incident response training and operational responsibilities; personnel with incident response assistance and support responsibilities; personnel with access to incident response support and assistance capability; personnel with information security responsibilities].</t>
  </si>
  <si>
    <t>Test: [SELECT FROM: Incident-handling capability for the organization; organizational processes for incident response assistance; mechanisms supporting or implementing incident response assistance].</t>
  </si>
  <si>
    <t>IR.L2-3.6.2</t>
  </si>
  <si>
    <t>3.6.2 [a]</t>
  </si>
  <si>
    <t>3.6.2 [b]</t>
  </si>
  <si>
    <t>3.6.2 [c]</t>
  </si>
  <si>
    <t>3.6.2 [d]</t>
  </si>
  <si>
    <t>3.6.2 [e]</t>
  </si>
  <si>
    <t>3.6.2 [f]</t>
  </si>
  <si>
    <r>
      <t xml:space="preserve">incidents are </t>
    </r>
    <r>
      <rPr>
        <b/>
        <sz val="11"/>
        <color rgb="FF000000"/>
        <rFont val="Aptos"/>
        <family val="2"/>
        <scheme val="minor"/>
      </rPr>
      <t>tracked</t>
    </r>
    <r>
      <rPr>
        <sz val="11"/>
        <color indexed="8"/>
        <rFont val="Aptos"/>
        <family val="2"/>
        <scheme val="minor"/>
      </rPr>
      <t>.</t>
    </r>
  </si>
  <si>
    <r>
      <t xml:space="preserve">incidents are </t>
    </r>
    <r>
      <rPr>
        <b/>
        <sz val="11"/>
        <color rgb="FF000000"/>
        <rFont val="Aptos"/>
        <family val="2"/>
        <scheme val="minor"/>
      </rPr>
      <t>documented</t>
    </r>
    <r>
      <rPr>
        <sz val="11"/>
        <color indexed="8"/>
        <rFont val="Aptos"/>
        <family val="2"/>
        <scheme val="minor"/>
      </rPr>
      <t>.</t>
    </r>
  </si>
  <si>
    <r>
      <t xml:space="preserve">authorities to whom incidents are to be reported are </t>
    </r>
    <r>
      <rPr>
        <b/>
        <sz val="11"/>
        <color rgb="FF000000"/>
        <rFont val="Aptos"/>
        <family val="2"/>
        <scheme val="minor"/>
      </rPr>
      <t>identified</t>
    </r>
    <r>
      <rPr>
        <sz val="11"/>
        <color indexed="8"/>
        <rFont val="Aptos"/>
        <family val="2"/>
        <scheme val="minor"/>
      </rPr>
      <t>.</t>
    </r>
  </si>
  <si>
    <r>
      <t xml:space="preserve">organizational officials to whom incidents are to be reported are </t>
    </r>
    <r>
      <rPr>
        <b/>
        <sz val="11"/>
        <color rgb="FF000000"/>
        <rFont val="Aptos"/>
        <family val="2"/>
        <scheme val="minor"/>
      </rPr>
      <t>identified</t>
    </r>
    <r>
      <rPr>
        <sz val="11"/>
        <color indexed="8"/>
        <rFont val="Aptos"/>
        <family val="2"/>
        <scheme val="minor"/>
      </rPr>
      <t>.</t>
    </r>
  </si>
  <si>
    <r>
      <t xml:space="preserve">identified authorities are </t>
    </r>
    <r>
      <rPr>
        <b/>
        <sz val="11"/>
        <color rgb="FF000000"/>
        <rFont val="Aptos"/>
        <family val="2"/>
        <scheme val="minor"/>
      </rPr>
      <t>notified</t>
    </r>
    <r>
      <rPr>
        <sz val="11"/>
        <color indexed="8"/>
        <rFont val="Aptos"/>
        <family val="2"/>
        <scheme val="minor"/>
      </rPr>
      <t xml:space="preserve"> of incidents.</t>
    </r>
  </si>
  <si>
    <r>
      <t xml:space="preserve">identified organizational officials are </t>
    </r>
    <r>
      <rPr>
        <b/>
        <sz val="11"/>
        <color rgb="FF000000"/>
        <rFont val="Aptos"/>
        <family val="2"/>
        <scheme val="minor"/>
      </rPr>
      <t>notified</t>
    </r>
    <r>
      <rPr>
        <sz val="11"/>
        <color indexed="8"/>
        <rFont val="Aptos"/>
        <family val="2"/>
        <scheme val="minor"/>
      </rPr>
      <t xml:space="preserve"> of incidents.</t>
    </r>
  </si>
  <si>
    <t>Examine: [SELECT FROM: Incident response policy; procedures addressing incident monitoring; incident response records and documentation; procedures addressing incident reporting; incident reporting records and documentation; incident response plan; system security plan; other relevant documents or records].</t>
  </si>
  <si>
    <t>Interview: [SELECT FROM: Personnel with incident monitoring responsibilities; personnel with incident reporting responsibilities; personnel who have or should have reported incidents; personnel (authorities) to whom incident information is to be reported; personnel with information security responsibilities].</t>
  </si>
  <si>
    <t>Test: [SELECT FROM: Incident monitoring capability for the organization; mechanisms supporting or implementing tracking and documenting of system security incidents; organizational processes for incident reporting; mechanisms supporting or implementing incident reporting].</t>
  </si>
  <si>
    <t>IR.L2-3.6.3</t>
  </si>
  <si>
    <t>3.6.3 [a]</t>
  </si>
  <si>
    <r>
      <t xml:space="preserve">the incident response capability is </t>
    </r>
    <r>
      <rPr>
        <b/>
        <sz val="11"/>
        <color rgb="FF000000"/>
        <rFont val="Aptos"/>
        <family val="2"/>
        <scheme val="minor"/>
      </rPr>
      <t>tested</t>
    </r>
    <r>
      <rPr>
        <sz val="11"/>
        <color indexed="8"/>
        <rFont val="Aptos"/>
        <family val="2"/>
        <scheme val="minor"/>
      </rPr>
      <t>.</t>
    </r>
  </si>
  <si>
    <t>Examine: [SELECT FROM: Incident response policy; contingency planning policy; procedures addressing incident response testing; procedures addressing contingency plan testing; incident response testing material; incident response test results; incident response test plan; incident response plan; contingency plan; system security plan; other relevant documents or records].</t>
  </si>
  <si>
    <t>Interview: [SELECT FROM: Personnel with incident response testing responsibilities; personnel with information security responsibilities; personnel with responsibilities for testing plans related to incident response].</t>
  </si>
  <si>
    <t>Test: [SELECT FROM: Mechanisms and processes for incident response].</t>
  </si>
  <si>
    <t>PRACTICE DETAILS</t>
  </si>
  <si>
    <t>Total Practices</t>
  </si>
  <si>
    <t>Total Practice Score</t>
  </si>
  <si>
    <r>
      <t xml:space="preserve">authorized users are </t>
    </r>
    <r>
      <rPr>
        <b/>
        <sz val="12"/>
        <color theme="1"/>
        <rFont val="Aptos"/>
        <family val="2"/>
        <scheme val="minor"/>
      </rPr>
      <t>identified</t>
    </r>
    <r>
      <rPr>
        <sz val="12"/>
        <color theme="1"/>
        <rFont val="Aptos"/>
        <family val="2"/>
        <scheme val="minor"/>
      </rPr>
      <t>.</t>
    </r>
  </si>
  <si>
    <r>
      <t xml:space="preserve">processes acting on behalf of authorized users are </t>
    </r>
    <r>
      <rPr>
        <b/>
        <sz val="12"/>
        <color theme="1"/>
        <rFont val="Aptos"/>
        <family val="2"/>
        <scheme val="minor"/>
      </rPr>
      <t>identified</t>
    </r>
    <r>
      <rPr>
        <sz val="12"/>
        <color theme="1"/>
        <rFont val="Aptos"/>
        <family val="2"/>
        <scheme val="minor"/>
      </rPr>
      <t>.</t>
    </r>
  </si>
  <si>
    <r>
      <t xml:space="preserve">devices (and other systems) authorized to connect to the system are </t>
    </r>
    <r>
      <rPr>
        <b/>
        <sz val="12"/>
        <color theme="1"/>
        <rFont val="Aptos"/>
        <family val="2"/>
        <scheme val="minor"/>
      </rPr>
      <t>identified</t>
    </r>
    <r>
      <rPr>
        <sz val="12"/>
        <color theme="1"/>
        <rFont val="Aptos"/>
        <family val="2"/>
        <scheme val="minor"/>
      </rPr>
      <t>.</t>
    </r>
  </si>
  <si>
    <r>
      <t xml:space="preserve">system access is </t>
    </r>
    <r>
      <rPr>
        <b/>
        <sz val="12"/>
        <color theme="1"/>
        <rFont val="Aptos"/>
        <family val="2"/>
        <scheme val="minor"/>
      </rPr>
      <t>limited</t>
    </r>
    <r>
      <rPr>
        <sz val="12"/>
        <color theme="1"/>
        <rFont val="Aptos"/>
        <family val="2"/>
        <scheme val="minor"/>
      </rPr>
      <t xml:space="preserve"> to authorized users.</t>
    </r>
  </si>
  <si>
    <r>
      <t xml:space="preserve">system access is </t>
    </r>
    <r>
      <rPr>
        <b/>
        <sz val="12"/>
        <color theme="1"/>
        <rFont val="Aptos"/>
        <family val="2"/>
        <scheme val="minor"/>
      </rPr>
      <t>limited</t>
    </r>
    <r>
      <rPr>
        <sz val="12"/>
        <color theme="1"/>
        <rFont val="Aptos"/>
        <family val="2"/>
        <scheme val="minor"/>
      </rPr>
      <t xml:space="preserve"> to processes acting on behalf of authorized users.</t>
    </r>
  </si>
  <si>
    <r>
      <t xml:space="preserve">system access is </t>
    </r>
    <r>
      <rPr>
        <b/>
        <sz val="12"/>
        <color theme="1"/>
        <rFont val="Aptos"/>
        <family val="2"/>
        <scheme val="minor"/>
      </rPr>
      <t>limited</t>
    </r>
    <r>
      <rPr>
        <sz val="12"/>
        <color theme="1"/>
        <rFont val="Aptos"/>
        <family val="2"/>
        <scheme val="minor"/>
      </rPr>
      <t xml:space="preserve"> to authorized devices (including other systems).</t>
    </r>
  </si>
  <si>
    <r>
      <t xml:space="preserve">the types of transactions and functions that authorized users are permitted to execute are </t>
    </r>
    <r>
      <rPr>
        <b/>
        <sz val="12"/>
        <color theme="1"/>
        <rFont val="Aptos"/>
        <family val="2"/>
        <scheme val="minor"/>
      </rPr>
      <t>defined</t>
    </r>
    <r>
      <rPr>
        <sz val="12"/>
        <color theme="1"/>
        <rFont val="Aptos"/>
        <family val="2"/>
        <scheme val="minor"/>
      </rPr>
      <t>.</t>
    </r>
  </si>
  <si>
    <r>
      <t xml:space="preserve">system access is </t>
    </r>
    <r>
      <rPr>
        <b/>
        <sz val="12"/>
        <color theme="1"/>
        <rFont val="Aptos"/>
        <family val="2"/>
        <scheme val="minor"/>
      </rPr>
      <t>limited</t>
    </r>
    <r>
      <rPr>
        <sz val="12"/>
        <color theme="1"/>
        <rFont val="Aptos"/>
        <family val="2"/>
        <scheme val="minor"/>
      </rPr>
      <t xml:space="preserve"> to the defined types of transactions and functions for authorized users.</t>
    </r>
  </si>
  <si>
    <r>
      <t xml:space="preserve">information flow control policies are </t>
    </r>
    <r>
      <rPr>
        <b/>
        <sz val="12"/>
        <color theme="1"/>
        <rFont val="Aptos"/>
        <family val="2"/>
        <scheme val="minor"/>
      </rPr>
      <t>defined</t>
    </r>
    <r>
      <rPr>
        <sz val="12"/>
        <color theme="1"/>
        <rFont val="Aptos"/>
        <family val="2"/>
        <scheme val="minor"/>
      </rPr>
      <t>.</t>
    </r>
  </si>
  <si>
    <r>
      <t xml:space="preserve">methods and enforcement mechanisms for controlling the flow of CUI are </t>
    </r>
    <r>
      <rPr>
        <b/>
        <sz val="12"/>
        <color theme="1"/>
        <rFont val="Aptos"/>
        <family val="2"/>
        <scheme val="minor"/>
      </rPr>
      <t>defined</t>
    </r>
    <r>
      <rPr>
        <sz val="12"/>
        <color theme="1"/>
        <rFont val="Aptos"/>
        <family val="2"/>
        <scheme val="minor"/>
      </rPr>
      <t>.</t>
    </r>
  </si>
  <si>
    <r>
      <t xml:space="preserve">designated sources and destinations (e.g., networks, individuals, and devices) for CUI within the system and between interconnected systems are </t>
    </r>
    <r>
      <rPr>
        <b/>
        <sz val="12"/>
        <color theme="1"/>
        <rFont val="Aptos"/>
        <family val="2"/>
        <scheme val="minor"/>
      </rPr>
      <t>identified</t>
    </r>
    <r>
      <rPr>
        <sz val="12"/>
        <color theme="1"/>
        <rFont val="Aptos"/>
        <family val="2"/>
        <scheme val="minor"/>
      </rPr>
      <t>.</t>
    </r>
  </si>
  <si>
    <r>
      <t xml:space="preserve">authorizations for controlling the flow of CUI are </t>
    </r>
    <r>
      <rPr>
        <b/>
        <sz val="12"/>
        <color theme="1"/>
        <rFont val="Aptos"/>
        <family val="2"/>
        <scheme val="minor"/>
      </rPr>
      <t>defined</t>
    </r>
    <r>
      <rPr>
        <sz val="12"/>
        <color theme="1"/>
        <rFont val="Aptos"/>
        <family val="2"/>
        <scheme val="minor"/>
      </rPr>
      <t>.</t>
    </r>
  </si>
  <si>
    <r>
      <t xml:space="preserve">approved authorizations for controlling the flow of CUI are </t>
    </r>
    <r>
      <rPr>
        <b/>
        <sz val="12"/>
        <color theme="1"/>
        <rFont val="Aptos"/>
        <family val="2"/>
        <scheme val="minor"/>
      </rPr>
      <t>enforced</t>
    </r>
    <r>
      <rPr>
        <sz val="12"/>
        <color theme="1"/>
        <rFont val="Aptos"/>
        <family val="2"/>
        <scheme val="minor"/>
      </rPr>
      <t>.</t>
    </r>
  </si>
  <si>
    <r>
      <t xml:space="preserve">the duties of individuals requiring separation are </t>
    </r>
    <r>
      <rPr>
        <b/>
        <sz val="12"/>
        <color theme="1"/>
        <rFont val="Aptos"/>
        <family val="2"/>
        <scheme val="minor"/>
      </rPr>
      <t>defined</t>
    </r>
    <r>
      <rPr>
        <sz val="12"/>
        <color theme="1"/>
        <rFont val="Aptos"/>
        <family val="2"/>
        <scheme val="minor"/>
      </rPr>
      <t>.</t>
    </r>
  </si>
  <si>
    <r>
      <t xml:space="preserve">access privileges that enable individuals to exercise the duties that require separation are </t>
    </r>
    <r>
      <rPr>
        <b/>
        <sz val="12"/>
        <color theme="1"/>
        <rFont val="Aptos"/>
        <family val="2"/>
        <scheme val="minor"/>
      </rPr>
      <t>granted</t>
    </r>
    <r>
      <rPr>
        <sz val="12"/>
        <color theme="1"/>
        <rFont val="Aptos"/>
        <family val="2"/>
        <scheme val="minor"/>
      </rPr>
      <t xml:space="preserve"> to </t>
    </r>
    <r>
      <rPr>
        <b/>
        <sz val="12"/>
        <color theme="1"/>
        <rFont val="Aptos"/>
        <family val="2"/>
        <scheme val="minor"/>
      </rPr>
      <t>separate</t>
    </r>
    <r>
      <rPr>
        <sz val="12"/>
        <color theme="1"/>
        <rFont val="Aptos"/>
        <family val="2"/>
        <scheme val="minor"/>
      </rPr>
      <t xml:space="preserve"> individuals.</t>
    </r>
  </si>
  <si>
    <r>
      <t xml:space="preserve">responsibilities for duties that require separation are </t>
    </r>
    <r>
      <rPr>
        <b/>
        <sz val="12"/>
        <color theme="1"/>
        <rFont val="Aptos"/>
        <family val="2"/>
        <scheme val="minor"/>
      </rPr>
      <t>assigned</t>
    </r>
    <r>
      <rPr>
        <sz val="12"/>
        <color theme="1"/>
        <rFont val="Aptos"/>
        <family val="2"/>
        <scheme val="minor"/>
      </rPr>
      <t xml:space="preserve"> to </t>
    </r>
    <r>
      <rPr>
        <b/>
        <sz val="12"/>
        <color theme="1"/>
        <rFont val="Aptos"/>
        <family val="2"/>
        <scheme val="minor"/>
      </rPr>
      <t>separate</t>
    </r>
    <r>
      <rPr>
        <sz val="12"/>
        <color theme="1"/>
        <rFont val="Aptos"/>
        <family val="2"/>
        <scheme val="minor"/>
      </rPr>
      <t xml:space="preserve"> individuals.</t>
    </r>
  </si>
  <si>
    <r>
      <t xml:space="preserve">privileged accounts are </t>
    </r>
    <r>
      <rPr>
        <b/>
        <sz val="12"/>
        <color theme="1"/>
        <rFont val="Aptos"/>
        <family val="2"/>
        <scheme val="minor"/>
      </rPr>
      <t>identified</t>
    </r>
    <r>
      <rPr>
        <sz val="12"/>
        <color theme="1"/>
        <rFont val="Aptos"/>
        <family val="2"/>
        <scheme val="minor"/>
      </rPr>
      <t>.</t>
    </r>
  </si>
  <si>
    <r>
      <t xml:space="preserve">access to privileged accounts is </t>
    </r>
    <r>
      <rPr>
        <b/>
        <sz val="12"/>
        <color theme="1"/>
        <rFont val="Aptos"/>
        <family val="2"/>
        <scheme val="minor"/>
      </rPr>
      <t>authorized</t>
    </r>
    <r>
      <rPr>
        <sz val="12"/>
        <color theme="1"/>
        <rFont val="Aptos"/>
        <family val="2"/>
        <scheme val="minor"/>
      </rPr>
      <t xml:space="preserve"> in accordance with the principle of least privilege.</t>
    </r>
  </si>
  <si>
    <r>
      <t xml:space="preserve">security functions are </t>
    </r>
    <r>
      <rPr>
        <b/>
        <sz val="12"/>
        <color theme="1"/>
        <rFont val="Aptos"/>
        <family val="2"/>
        <scheme val="minor"/>
      </rPr>
      <t>identified</t>
    </r>
    <r>
      <rPr>
        <sz val="12"/>
        <color theme="1"/>
        <rFont val="Aptos"/>
        <family val="2"/>
        <scheme val="minor"/>
      </rPr>
      <t>.</t>
    </r>
  </si>
  <si>
    <r>
      <t xml:space="preserve">access to security functions is </t>
    </r>
    <r>
      <rPr>
        <b/>
        <sz val="12"/>
        <color theme="1"/>
        <rFont val="Aptos"/>
        <family val="2"/>
        <scheme val="minor"/>
      </rPr>
      <t>authorized</t>
    </r>
    <r>
      <rPr>
        <sz val="12"/>
        <color theme="1"/>
        <rFont val="Aptos"/>
        <family val="2"/>
        <scheme val="minor"/>
      </rPr>
      <t xml:space="preserve"> in accordance with the principle of least privilege.</t>
    </r>
  </si>
  <si>
    <r>
      <t xml:space="preserve">nonsecurity functions are </t>
    </r>
    <r>
      <rPr>
        <b/>
        <sz val="12"/>
        <color theme="1"/>
        <rFont val="Aptos"/>
        <family val="2"/>
        <scheme val="minor"/>
      </rPr>
      <t>identified</t>
    </r>
    <r>
      <rPr>
        <sz val="12"/>
        <color theme="1"/>
        <rFont val="Aptos"/>
        <family val="2"/>
        <scheme val="minor"/>
      </rPr>
      <t>.</t>
    </r>
  </si>
  <si>
    <r>
      <t xml:space="preserve">users are </t>
    </r>
    <r>
      <rPr>
        <b/>
        <sz val="12"/>
        <color theme="1"/>
        <rFont val="Aptos"/>
        <family val="2"/>
        <scheme val="minor"/>
      </rPr>
      <t>required</t>
    </r>
    <r>
      <rPr>
        <sz val="12"/>
        <color theme="1"/>
        <rFont val="Aptos"/>
        <family val="2"/>
        <scheme val="minor"/>
      </rPr>
      <t xml:space="preserve"> to use non-privileged accounts or roles when accessing nonsecurity functions.</t>
    </r>
  </si>
  <si>
    <r>
      <t xml:space="preserve">privileged functions are </t>
    </r>
    <r>
      <rPr>
        <b/>
        <sz val="12"/>
        <color theme="1"/>
        <rFont val="Aptos"/>
        <family val="2"/>
        <scheme val="minor"/>
      </rPr>
      <t>defined</t>
    </r>
    <r>
      <rPr>
        <sz val="12"/>
        <color theme="1"/>
        <rFont val="Aptos"/>
        <family val="2"/>
        <scheme val="minor"/>
      </rPr>
      <t>.</t>
    </r>
  </si>
  <si>
    <r>
      <t xml:space="preserve">non-privileged users are </t>
    </r>
    <r>
      <rPr>
        <b/>
        <sz val="12"/>
        <color theme="1"/>
        <rFont val="Aptos"/>
        <family val="2"/>
        <scheme val="minor"/>
      </rPr>
      <t>defined</t>
    </r>
    <r>
      <rPr>
        <sz val="12"/>
        <color theme="1"/>
        <rFont val="Aptos"/>
        <family val="2"/>
        <scheme val="minor"/>
      </rPr>
      <t>.</t>
    </r>
  </si>
  <si>
    <r>
      <t xml:space="preserve">non-privileged users are </t>
    </r>
    <r>
      <rPr>
        <b/>
        <sz val="12"/>
        <color theme="1"/>
        <rFont val="Aptos"/>
        <family val="2"/>
        <scheme val="minor"/>
      </rPr>
      <t>prevented</t>
    </r>
    <r>
      <rPr>
        <sz val="12"/>
        <color theme="1"/>
        <rFont val="Aptos"/>
        <family val="2"/>
        <scheme val="minor"/>
      </rPr>
      <t xml:space="preserve"> from executing privileged functions.</t>
    </r>
  </si>
  <si>
    <r>
      <t xml:space="preserve">the execution of privileged functions is </t>
    </r>
    <r>
      <rPr>
        <b/>
        <sz val="12"/>
        <color theme="1"/>
        <rFont val="Aptos"/>
        <family val="2"/>
        <scheme val="minor"/>
      </rPr>
      <t>captured</t>
    </r>
    <r>
      <rPr>
        <sz val="12"/>
        <color theme="1"/>
        <rFont val="Aptos"/>
        <family val="2"/>
        <scheme val="minor"/>
      </rPr>
      <t xml:space="preserve"> in audit logs.</t>
    </r>
  </si>
  <si>
    <r>
      <t xml:space="preserve">the means of limiting unsuccessful logon attempts is </t>
    </r>
    <r>
      <rPr>
        <b/>
        <sz val="12"/>
        <color theme="1"/>
        <rFont val="Aptos"/>
        <family val="2"/>
        <scheme val="minor"/>
      </rPr>
      <t>defined</t>
    </r>
    <r>
      <rPr>
        <sz val="12"/>
        <color theme="1"/>
        <rFont val="Aptos"/>
        <family val="2"/>
        <scheme val="minor"/>
      </rPr>
      <t>.</t>
    </r>
  </si>
  <si>
    <r>
      <t xml:space="preserve">the defined means of limiting unsuccessful logon attempts is </t>
    </r>
    <r>
      <rPr>
        <b/>
        <sz val="12"/>
        <color theme="1"/>
        <rFont val="Aptos"/>
        <family val="2"/>
        <scheme val="minor"/>
      </rPr>
      <t>implemented</t>
    </r>
    <r>
      <rPr>
        <sz val="12"/>
        <color theme="1"/>
        <rFont val="Aptos"/>
        <family val="2"/>
        <scheme val="minor"/>
      </rPr>
      <t>.</t>
    </r>
  </si>
  <si>
    <r>
      <t xml:space="preserve">privacy and security notices required by CUI-specified rules are </t>
    </r>
    <r>
      <rPr>
        <b/>
        <sz val="12"/>
        <color theme="1"/>
        <rFont val="Aptos"/>
        <family val="2"/>
        <scheme val="minor"/>
      </rPr>
      <t>identified</t>
    </r>
    <r>
      <rPr>
        <sz val="12"/>
        <color theme="1"/>
        <rFont val="Aptos"/>
        <family val="2"/>
        <scheme val="minor"/>
      </rPr>
      <t xml:space="preserve">, </t>
    </r>
    <r>
      <rPr>
        <b/>
        <sz val="12"/>
        <color theme="1"/>
        <rFont val="Aptos"/>
        <family val="2"/>
        <scheme val="minor"/>
      </rPr>
      <t>consistent</t>
    </r>
    <r>
      <rPr>
        <sz val="12"/>
        <color theme="1"/>
        <rFont val="Aptos"/>
        <family val="2"/>
        <scheme val="minor"/>
      </rPr>
      <t xml:space="preserve">, and </t>
    </r>
    <r>
      <rPr>
        <b/>
        <sz val="12"/>
        <color theme="1"/>
        <rFont val="Aptos"/>
        <family val="2"/>
        <scheme val="minor"/>
      </rPr>
      <t>associated</t>
    </r>
    <r>
      <rPr>
        <sz val="12"/>
        <color theme="1"/>
        <rFont val="Aptos"/>
        <family val="2"/>
        <scheme val="minor"/>
      </rPr>
      <t xml:space="preserve"> with the specific CUI category.</t>
    </r>
  </si>
  <si>
    <r>
      <t xml:space="preserve">privacy and security notices are </t>
    </r>
    <r>
      <rPr>
        <b/>
        <sz val="12"/>
        <color theme="1"/>
        <rFont val="Aptos"/>
        <family val="2"/>
        <scheme val="minor"/>
      </rPr>
      <t>displayed</t>
    </r>
    <r>
      <rPr>
        <sz val="12"/>
        <color theme="1"/>
        <rFont val="Aptos"/>
        <family val="2"/>
        <scheme val="minor"/>
      </rPr>
      <t>.</t>
    </r>
  </si>
  <si>
    <r>
      <t xml:space="preserve">the period of inactivity after which the system initiates a session lock is </t>
    </r>
    <r>
      <rPr>
        <b/>
        <sz val="12"/>
        <color theme="1"/>
        <rFont val="Aptos"/>
        <family val="2"/>
        <scheme val="minor"/>
      </rPr>
      <t>defined</t>
    </r>
    <r>
      <rPr>
        <sz val="12"/>
        <color theme="1"/>
        <rFont val="Aptos"/>
        <family val="2"/>
        <scheme val="minor"/>
      </rPr>
      <t>.</t>
    </r>
  </si>
  <si>
    <r>
      <t xml:space="preserve">access to the system and viewing of data is </t>
    </r>
    <r>
      <rPr>
        <b/>
        <sz val="12"/>
        <color theme="1"/>
        <rFont val="Aptos"/>
        <family val="2"/>
        <scheme val="minor"/>
      </rPr>
      <t>prevented</t>
    </r>
    <r>
      <rPr>
        <sz val="12"/>
        <color theme="1"/>
        <rFont val="Aptos"/>
        <family val="2"/>
        <scheme val="minor"/>
      </rPr>
      <t xml:space="preserve"> by initiating a session lock after the defined period of inactivity.</t>
    </r>
  </si>
  <si>
    <r>
      <t xml:space="preserve">previously visible information is </t>
    </r>
    <r>
      <rPr>
        <b/>
        <sz val="12"/>
        <color theme="1"/>
        <rFont val="Aptos"/>
        <family val="2"/>
        <scheme val="minor"/>
      </rPr>
      <t>concealed</t>
    </r>
    <r>
      <rPr>
        <sz val="12"/>
        <color theme="1"/>
        <rFont val="Aptos"/>
        <family val="2"/>
        <scheme val="minor"/>
      </rPr>
      <t xml:space="preserve"> via a pattern-hiding display after the defined period of inactivity.</t>
    </r>
  </si>
  <si>
    <r>
      <t xml:space="preserve">conditions requiring a user session to terminate are </t>
    </r>
    <r>
      <rPr>
        <b/>
        <sz val="12"/>
        <color theme="1"/>
        <rFont val="Aptos"/>
        <family val="2"/>
        <scheme val="minor"/>
      </rPr>
      <t>defined</t>
    </r>
    <r>
      <rPr>
        <sz val="12"/>
        <color theme="1"/>
        <rFont val="Aptos"/>
        <family val="2"/>
        <scheme val="minor"/>
      </rPr>
      <t>.</t>
    </r>
  </si>
  <si>
    <r>
      <t xml:space="preserve">a user session is </t>
    </r>
    <r>
      <rPr>
        <b/>
        <sz val="12"/>
        <color theme="1"/>
        <rFont val="Aptos"/>
        <family val="2"/>
        <scheme val="minor"/>
      </rPr>
      <t>automatically</t>
    </r>
    <r>
      <rPr>
        <sz val="12"/>
        <color theme="1"/>
        <rFont val="Aptos"/>
        <family val="2"/>
        <scheme val="minor"/>
      </rPr>
      <t xml:space="preserve"> </t>
    </r>
    <r>
      <rPr>
        <b/>
        <sz val="12"/>
        <color theme="1"/>
        <rFont val="Aptos"/>
        <family val="2"/>
        <scheme val="minor"/>
      </rPr>
      <t>terminated</t>
    </r>
    <r>
      <rPr>
        <sz val="12"/>
        <color theme="1"/>
        <rFont val="Aptos"/>
        <family val="2"/>
        <scheme val="minor"/>
      </rPr>
      <t xml:space="preserve"> after any of the defined conditions occur.</t>
    </r>
  </si>
  <si>
    <r>
      <t xml:space="preserve">remote access sessions are </t>
    </r>
    <r>
      <rPr>
        <b/>
        <sz val="12"/>
        <color theme="1"/>
        <rFont val="Aptos"/>
        <family val="2"/>
        <scheme val="minor"/>
      </rPr>
      <t>permitted</t>
    </r>
    <r>
      <rPr>
        <sz val="12"/>
        <color theme="1"/>
        <rFont val="Aptos"/>
        <family val="2"/>
        <scheme val="minor"/>
      </rPr>
      <t>.</t>
    </r>
  </si>
  <si>
    <r>
      <t xml:space="preserve">the types of permitted remote access are </t>
    </r>
    <r>
      <rPr>
        <b/>
        <sz val="12"/>
        <color theme="1"/>
        <rFont val="Aptos"/>
        <family val="2"/>
        <scheme val="minor"/>
      </rPr>
      <t>identified</t>
    </r>
    <r>
      <rPr>
        <sz val="12"/>
        <color theme="1"/>
        <rFont val="Aptos"/>
        <family val="2"/>
        <scheme val="minor"/>
      </rPr>
      <t>.</t>
    </r>
  </si>
  <si>
    <r>
      <t xml:space="preserve">remote access sessions are </t>
    </r>
    <r>
      <rPr>
        <b/>
        <sz val="12"/>
        <color theme="1"/>
        <rFont val="Aptos"/>
        <family val="2"/>
        <scheme val="minor"/>
      </rPr>
      <t>controlled</t>
    </r>
    <r>
      <rPr>
        <sz val="12"/>
        <color theme="1"/>
        <rFont val="Aptos"/>
        <family val="2"/>
        <scheme val="minor"/>
      </rPr>
      <t>.</t>
    </r>
  </si>
  <si>
    <r>
      <t xml:space="preserve">remote access sessions are </t>
    </r>
    <r>
      <rPr>
        <b/>
        <sz val="12"/>
        <color theme="1"/>
        <rFont val="Aptos"/>
        <family val="2"/>
        <scheme val="minor"/>
      </rPr>
      <t>monitored</t>
    </r>
    <r>
      <rPr>
        <sz val="12"/>
        <color theme="1"/>
        <rFont val="Aptos"/>
        <family val="2"/>
        <scheme val="minor"/>
      </rPr>
      <t>.</t>
    </r>
  </si>
  <si>
    <r>
      <t xml:space="preserve">cryptographic mechanisms to protect the confidentiality of remote access sessions are </t>
    </r>
    <r>
      <rPr>
        <b/>
        <sz val="12"/>
        <color theme="1"/>
        <rFont val="Aptos"/>
        <family val="2"/>
        <scheme val="minor"/>
      </rPr>
      <t>identified</t>
    </r>
    <r>
      <rPr>
        <sz val="12"/>
        <color theme="1"/>
        <rFont val="Aptos"/>
        <family val="2"/>
        <scheme val="minor"/>
      </rPr>
      <t>.</t>
    </r>
  </si>
  <si>
    <r>
      <t xml:space="preserve">cryptographic mechanisms to protect the confidentiality of remote access sessions are </t>
    </r>
    <r>
      <rPr>
        <b/>
        <sz val="12"/>
        <color theme="1"/>
        <rFont val="Aptos"/>
        <family val="2"/>
        <scheme val="minor"/>
      </rPr>
      <t>implemented</t>
    </r>
    <r>
      <rPr>
        <sz val="12"/>
        <color theme="1"/>
        <rFont val="Aptos"/>
        <family val="2"/>
        <scheme val="minor"/>
      </rPr>
      <t>.</t>
    </r>
  </si>
  <si>
    <r>
      <t xml:space="preserve">remote access is </t>
    </r>
    <r>
      <rPr>
        <b/>
        <sz val="12"/>
        <color theme="1"/>
        <rFont val="Aptos"/>
        <family val="2"/>
        <scheme val="minor"/>
      </rPr>
      <t>routed</t>
    </r>
    <r>
      <rPr>
        <sz val="12"/>
        <color theme="1"/>
        <rFont val="Aptos"/>
        <family val="2"/>
        <scheme val="minor"/>
      </rPr>
      <t xml:space="preserve"> through managed network access control points.</t>
    </r>
  </si>
  <si>
    <r>
      <t xml:space="preserve">privileged commands authorized for remote execution are </t>
    </r>
    <r>
      <rPr>
        <b/>
        <sz val="12"/>
        <color theme="1"/>
        <rFont val="Aptos"/>
        <family val="2"/>
        <scheme val="minor"/>
      </rPr>
      <t>identified</t>
    </r>
    <r>
      <rPr>
        <sz val="12"/>
        <color theme="1"/>
        <rFont val="Aptos"/>
        <family val="2"/>
        <scheme val="minor"/>
      </rPr>
      <t>.</t>
    </r>
  </si>
  <si>
    <r>
      <t xml:space="preserve">security-relevant information authorized to be accessed remotely is </t>
    </r>
    <r>
      <rPr>
        <b/>
        <sz val="12"/>
        <color theme="1"/>
        <rFont val="Aptos"/>
        <family val="2"/>
        <scheme val="minor"/>
      </rPr>
      <t>identified</t>
    </r>
    <r>
      <rPr>
        <sz val="12"/>
        <color theme="1"/>
        <rFont val="Aptos"/>
        <family val="2"/>
        <scheme val="minor"/>
      </rPr>
      <t>.</t>
    </r>
  </si>
  <si>
    <r>
      <t xml:space="preserve">the execution of the identified privileged commands via remote access is </t>
    </r>
    <r>
      <rPr>
        <b/>
        <sz val="12"/>
        <color theme="1"/>
        <rFont val="Aptos"/>
        <family val="2"/>
        <scheme val="minor"/>
      </rPr>
      <t>authorized</t>
    </r>
    <r>
      <rPr>
        <sz val="12"/>
        <color theme="1"/>
        <rFont val="Aptos"/>
        <family val="2"/>
        <scheme val="minor"/>
      </rPr>
      <t>.</t>
    </r>
  </si>
  <si>
    <r>
      <t xml:space="preserve">access to the identified security-relevant information via remote access is </t>
    </r>
    <r>
      <rPr>
        <b/>
        <sz val="12"/>
        <color theme="1"/>
        <rFont val="Aptos"/>
        <family val="2"/>
        <scheme val="minor"/>
      </rPr>
      <t>authorized</t>
    </r>
    <r>
      <rPr>
        <sz val="12"/>
        <color theme="1"/>
        <rFont val="Aptos"/>
        <family val="2"/>
        <scheme val="minor"/>
      </rPr>
      <t>.</t>
    </r>
  </si>
  <si>
    <r>
      <t xml:space="preserve">wireless access points are </t>
    </r>
    <r>
      <rPr>
        <b/>
        <sz val="12"/>
        <color theme="1"/>
        <rFont val="Aptos"/>
        <family val="2"/>
        <scheme val="minor"/>
      </rPr>
      <t>identified</t>
    </r>
    <r>
      <rPr>
        <sz val="12"/>
        <color theme="1"/>
        <rFont val="Aptos"/>
        <family val="2"/>
        <scheme val="minor"/>
      </rPr>
      <t>.</t>
    </r>
  </si>
  <si>
    <r>
      <t xml:space="preserve">wireless access is </t>
    </r>
    <r>
      <rPr>
        <b/>
        <sz val="12"/>
        <color theme="1"/>
        <rFont val="Aptos"/>
        <family val="2"/>
        <scheme val="minor"/>
      </rPr>
      <t>authorized</t>
    </r>
    <r>
      <rPr>
        <sz val="12"/>
        <color theme="1"/>
        <rFont val="Aptos"/>
        <family val="2"/>
        <scheme val="minor"/>
      </rPr>
      <t xml:space="preserve"> prior to allowing such connections.</t>
    </r>
  </si>
  <si>
    <r>
      <t xml:space="preserve">wireless access to the system is </t>
    </r>
    <r>
      <rPr>
        <b/>
        <sz val="12"/>
        <color theme="1"/>
        <rFont val="Aptos"/>
        <family val="2"/>
        <scheme val="minor"/>
      </rPr>
      <t>protected</t>
    </r>
    <r>
      <rPr>
        <sz val="12"/>
        <color theme="1"/>
        <rFont val="Aptos"/>
        <family val="2"/>
        <scheme val="minor"/>
      </rPr>
      <t xml:space="preserve"> using authentication.</t>
    </r>
  </si>
  <si>
    <r>
      <t xml:space="preserve">wireless access to the system is </t>
    </r>
    <r>
      <rPr>
        <b/>
        <sz val="12"/>
        <color theme="1"/>
        <rFont val="Aptos"/>
        <family val="2"/>
        <scheme val="minor"/>
      </rPr>
      <t>protected</t>
    </r>
    <r>
      <rPr>
        <sz val="12"/>
        <color theme="1"/>
        <rFont val="Aptos"/>
        <family val="2"/>
        <scheme val="minor"/>
      </rPr>
      <t xml:space="preserve"> using encryption.</t>
    </r>
  </si>
  <si>
    <r>
      <t xml:space="preserve">mobile devices that process, store, or transmit CUI are </t>
    </r>
    <r>
      <rPr>
        <b/>
        <sz val="12"/>
        <color theme="1"/>
        <rFont val="Aptos"/>
        <family val="2"/>
        <scheme val="minor"/>
      </rPr>
      <t>identified</t>
    </r>
    <r>
      <rPr>
        <sz val="12"/>
        <color theme="1"/>
        <rFont val="Aptos"/>
        <family val="2"/>
        <scheme val="minor"/>
      </rPr>
      <t>.</t>
    </r>
  </si>
  <si>
    <r>
      <t xml:space="preserve">mobile device connections are </t>
    </r>
    <r>
      <rPr>
        <b/>
        <sz val="12"/>
        <color theme="1"/>
        <rFont val="Aptos"/>
        <family val="2"/>
        <scheme val="minor"/>
      </rPr>
      <t>authorized</t>
    </r>
    <r>
      <rPr>
        <sz val="12"/>
        <color theme="1"/>
        <rFont val="Aptos"/>
        <family val="2"/>
        <scheme val="minor"/>
      </rPr>
      <t>.</t>
    </r>
  </si>
  <si>
    <r>
      <t xml:space="preserve">mobile device connections are </t>
    </r>
    <r>
      <rPr>
        <b/>
        <sz val="12"/>
        <color theme="1"/>
        <rFont val="Aptos"/>
        <family val="2"/>
        <scheme val="minor"/>
      </rPr>
      <t>monitored</t>
    </r>
    <r>
      <rPr>
        <sz val="12"/>
        <color theme="1"/>
        <rFont val="Aptos"/>
        <family val="2"/>
        <scheme val="minor"/>
      </rPr>
      <t xml:space="preserve"> and </t>
    </r>
    <r>
      <rPr>
        <b/>
        <sz val="12"/>
        <color theme="1"/>
        <rFont val="Aptos"/>
        <family val="2"/>
        <scheme val="minor"/>
      </rPr>
      <t>logged</t>
    </r>
    <r>
      <rPr>
        <sz val="12"/>
        <color theme="1"/>
        <rFont val="Aptos"/>
        <family val="2"/>
        <scheme val="minor"/>
      </rPr>
      <t>.</t>
    </r>
  </si>
  <si>
    <r>
      <t xml:space="preserve">mobile devices and mobile computing platforms that process, store, or transmit CUI are </t>
    </r>
    <r>
      <rPr>
        <b/>
        <sz val="12"/>
        <color theme="1"/>
        <rFont val="Aptos"/>
        <family val="2"/>
        <scheme val="minor"/>
      </rPr>
      <t>identified</t>
    </r>
    <r>
      <rPr>
        <sz val="12"/>
        <color theme="1"/>
        <rFont val="Aptos"/>
        <family val="2"/>
        <scheme val="minor"/>
      </rPr>
      <t>.</t>
    </r>
  </si>
  <si>
    <r>
      <t xml:space="preserve">encryption is </t>
    </r>
    <r>
      <rPr>
        <b/>
        <sz val="12"/>
        <color theme="1"/>
        <rFont val="Aptos"/>
        <family val="2"/>
        <scheme val="minor"/>
      </rPr>
      <t>employed</t>
    </r>
    <r>
      <rPr>
        <sz val="12"/>
        <color theme="1"/>
        <rFont val="Aptos"/>
        <family val="2"/>
        <scheme val="minor"/>
      </rPr>
      <t xml:space="preserve"> to protect CUI on identified mobile devices and mobile computing platforms.</t>
    </r>
  </si>
  <si>
    <r>
      <t xml:space="preserve">connections to external systems are </t>
    </r>
    <r>
      <rPr>
        <b/>
        <sz val="12"/>
        <color theme="1"/>
        <rFont val="Aptos"/>
        <family val="2"/>
        <scheme val="minor"/>
      </rPr>
      <t>identified</t>
    </r>
    <r>
      <rPr>
        <sz val="12"/>
        <color theme="1"/>
        <rFont val="Aptos"/>
        <family val="2"/>
        <scheme val="minor"/>
      </rPr>
      <t>.</t>
    </r>
  </si>
  <si>
    <r>
      <t xml:space="preserve">the use of external systems is </t>
    </r>
    <r>
      <rPr>
        <b/>
        <sz val="12"/>
        <color theme="1"/>
        <rFont val="Aptos"/>
        <family val="2"/>
        <scheme val="minor"/>
      </rPr>
      <t>identified</t>
    </r>
    <r>
      <rPr>
        <sz val="12"/>
        <color theme="1"/>
        <rFont val="Aptos"/>
        <family val="2"/>
        <scheme val="minor"/>
      </rPr>
      <t>.</t>
    </r>
  </si>
  <si>
    <r>
      <t xml:space="preserve">connections to external systems are </t>
    </r>
    <r>
      <rPr>
        <b/>
        <sz val="12"/>
        <color theme="1"/>
        <rFont val="Aptos"/>
        <family val="2"/>
        <scheme val="minor"/>
      </rPr>
      <t>verified</t>
    </r>
    <r>
      <rPr>
        <sz val="12"/>
        <color theme="1"/>
        <rFont val="Aptos"/>
        <family val="2"/>
        <scheme val="minor"/>
      </rPr>
      <t>.</t>
    </r>
  </si>
  <si>
    <r>
      <t xml:space="preserve">the use of external systems is </t>
    </r>
    <r>
      <rPr>
        <b/>
        <sz val="12"/>
        <color theme="1"/>
        <rFont val="Aptos"/>
        <family val="2"/>
        <scheme val="minor"/>
      </rPr>
      <t>verified</t>
    </r>
    <r>
      <rPr>
        <sz val="12"/>
        <color theme="1"/>
        <rFont val="Aptos"/>
        <family val="2"/>
        <scheme val="minor"/>
      </rPr>
      <t>.</t>
    </r>
  </si>
  <si>
    <r>
      <t xml:space="preserve">connections to external systems are </t>
    </r>
    <r>
      <rPr>
        <b/>
        <sz val="12"/>
        <color theme="1"/>
        <rFont val="Aptos"/>
        <family val="2"/>
        <scheme val="minor"/>
      </rPr>
      <t>controlled/limited</t>
    </r>
    <r>
      <rPr>
        <sz val="12"/>
        <color theme="1"/>
        <rFont val="Aptos"/>
        <family val="2"/>
        <scheme val="minor"/>
      </rPr>
      <t>.</t>
    </r>
  </si>
  <si>
    <r>
      <t xml:space="preserve">the use of external systems is </t>
    </r>
    <r>
      <rPr>
        <b/>
        <sz val="12"/>
        <color theme="1"/>
        <rFont val="Aptos"/>
        <family val="2"/>
        <scheme val="minor"/>
      </rPr>
      <t>controlled/limited</t>
    </r>
    <r>
      <rPr>
        <sz val="12"/>
        <color theme="1"/>
        <rFont val="Aptos"/>
        <family val="2"/>
        <scheme val="minor"/>
      </rPr>
      <t>.</t>
    </r>
  </si>
  <si>
    <r>
      <t xml:space="preserve">the use of portable storage devices containing CUI on external systems is </t>
    </r>
    <r>
      <rPr>
        <b/>
        <sz val="12"/>
        <color theme="1"/>
        <rFont val="Aptos"/>
        <family val="2"/>
        <scheme val="minor"/>
      </rPr>
      <t>identified</t>
    </r>
    <r>
      <rPr>
        <sz val="12"/>
        <color theme="1"/>
        <rFont val="Aptos"/>
        <family val="2"/>
        <scheme val="minor"/>
      </rPr>
      <t xml:space="preserve"> and </t>
    </r>
    <r>
      <rPr>
        <b/>
        <sz val="12"/>
        <color theme="1"/>
        <rFont val="Aptos"/>
        <family val="2"/>
        <scheme val="minor"/>
      </rPr>
      <t>documented</t>
    </r>
    <r>
      <rPr>
        <sz val="12"/>
        <color theme="1"/>
        <rFont val="Aptos"/>
        <family val="2"/>
        <scheme val="minor"/>
      </rPr>
      <t>.</t>
    </r>
  </si>
  <si>
    <r>
      <t xml:space="preserve">limits on the use of portable storage devices containing CUI on external systems are </t>
    </r>
    <r>
      <rPr>
        <b/>
        <sz val="12"/>
        <color theme="1"/>
        <rFont val="Aptos"/>
        <family val="2"/>
        <scheme val="minor"/>
      </rPr>
      <t>defined</t>
    </r>
    <r>
      <rPr>
        <sz val="12"/>
        <color theme="1"/>
        <rFont val="Aptos"/>
        <family val="2"/>
        <scheme val="minor"/>
      </rPr>
      <t>.</t>
    </r>
  </si>
  <si>
    <r>
      <t xml:space="preserve">the use of portable storage devices containing CUI on external systems is </t>
    </r>
    <r>
      <rPr>
        <b/>
        <sz val="12"/>
        <color theme="1"/>
        <rFont val="Aptos"/>
        <family val="2"/>
        <scheme val="minor"/>
      </rPr>
      <t>limited</t>
    </r>
    <r>
      <rPr>
        <sz val="12"/>
        <color theme="1"/>
        <rFont val="Aptos"/>
        <family val="2"/>
        <scheme val="minor"/>
      </rPr>
      <t xml:space="preserve"> as defined.</t>
    </r>
  </si>
  <si>
    <r>
      <t xml:space="preserve">individuals authorized to post or process information on publicly accessible systems are </t>
    </r>
    <r>
      <rPr>
        <b/>
        <sz val="12"/>
        <color theme="1"/>
        <rFont val="Aptos"/>
        <family val="2"/>
        <scheme val="minor"/>
      </rPr>
      <t>identified</t>
    </r>
    <r>
      <rPr>
        <sz val="12"/>
        <color theme="1"/>
        <rFont val="Aptos"/>
        <family val="2"/>
        <scheme val="minor"/>
      </rPr>
      <t>.</t>
    </r>
  </si>
  <si>
    <r>
      <t xml:space="preserve">procedures to ensure CUI is not posted or processed on publicly accessible systems are </t>
    </r>
    <r>
      <rPr>
        <b/>
        <sz val="12"/>
        <color theme="1"/>
        <rFont val="Aptos"/>
        <family val="2"/>
        <scheme val="minor"/>
      </rPr>
      <t>identified</t>
    </r>
    <r>
      <rPr>
        <sz val="12"/>
        <color theme="1"/>
        <rFont val="Aptos"/>
        <family val="2"/>
        <scheme val="minor"/>
      </rPr>
      <t>.</t>
    </r>
  </si>
  <si>
    <r>
      <t xml:space="preserve">a review process is </t>
    </r>
    <r>
      <rPr>
        <b/>
        <sz val="12"/>
        <color theme="1"/>
        <rFont val="Aptos"/>
        <family val="2"/>
        <scheme val="minor"/>
      </rPr>
      <t>in place prior</t>
    </r>
    <r>
      <rPr>
        <sz val="12"/>
        <color theme="1"/>
        <rFont val="Aptos"/>
        <family val="2"/>
        <scheme val="minor"/>
      </rPr>
      <t xml:space="preserve"> to posting of any content to publicly accessible systems.</t>
    </r>
  </si>
  <si>
    <r>
      <t xml:space="preserve">content on publicly accessible systems is </t>
    </r>
    <r>
      <rPr>
        <b/>
        <sz val="12"/>
        <color theme="1"/>
        <rFont val="Aptos"/>
        <family val="2"/>
        <scheme val="minor"/>
      </rPr>
      <t>reviewed</t>
    </r>
    <r>
      <rPr>
        <sz val="12"/>
        <color theme="1"/>
        <rFont val="Aptos"/>
        <family val="2"/>
        <scheme val="minor"/>
      </rPr>
      <t xml:space="preserve"> to ensure that it does not include CUI.</t>
    </r>
  </si>
  <si>
    <r>
      <t xml:space="preserve">mechanisms are </t>
    </r>
    <r>
      <rPr>
        <b/>
        <sz val="12"/>
        <color theme="1"/>
        <rFont val="Aptos"/>
        <family val="2"/>
        <scheme val="minor"/>
      </rPr>
      <t>in place</t>
    </r>
    <r>
      <rPr>
        <sz val="12"/>
        <color theme="1"/>
        <rFont val="Aptos"/>
        <family val="2"/>
        <scheme val="minor"/>
      </rPr>
      <t xml:space="preserve"> to remove and address improper posting of CUI.</t>
    </r>
  </si>
  <si>
    <t>Audit Failure Alerting</t>
  </si>
  <si>
    <t>Security Control Assessment</t>
  </si>
  <si>
    <t>Practice ID</t>
  </si>
  <si>
    <t>CA.L2-3.12.1</t>
  </si>
  <si>
    <t>CA.L2-3.12.2</t>
  </si>
  <si>
    <t>CA.L2-3.12.3</t>
  </si>
  <si>
    <t>CA.L2-3.12.4</t>
  </si>
  <si>
    <t>3.12.1 [a]</t>
  </si>
  <si>
    <t>3.12.1 [b]</t>
  </si>
  <si>
    <r>
      <t xml:space="preserve">the frequency of security control assessments is </t>
    </r>
    <r>
      <rPr>
        <b/>
        <sz val="11"/>
        <color rgb="FF000000"/>
        <rFont val="Aptos"/>
        <family val="2"/>
        <scheme val="minor"/>
      </rPr>
      <t>defined</t>
    </r>
    <r>
      <rPr>
        <sz val="11"/>
        <color indexed="8"/>
        <rFont val="Aptos"/>
        <family val="2"/>
        <scheme val="minor"/>
      </rPr>
      <t>.</t>
    </r>
  </si>
  <si>
    <r>
      <t xml:space="preserve">security controls are </t>
    </r>
    <r>
      <rPr>
        <b/>
        <sz val="11"/>
        <color rgb="FF000000"/>
        <rFont val="Aptos"/>
        <family val="2"/>
        <scheme val="minor"/>
      </rPr>
      <t>assessed</t>
    </r>
    <r>
      <rPr>
        <sz val="11"/>
        <color indexed="8"/>
        <rFont val="Aptos"/>
        <family val="2"/>
        <scheme val="minor"/>
      </rPr>
      <t xml:space="preserve"> with the defined frequency to determine if the controls are effective in their application.</t>
    </r>
  </si>
  <si>
    <t>Examine: [SELECT FROM: Security assessment and authorization policy; procedures addressing security assessment planning; procedures addressing security assessments; security assessment plan; system security plan; other relevant documents or records].</t>
  </si>
  <si>
    <t>Interview: [SELECT FROM: Personnel with security assessment responsibilities; personnel with information security responsibilities].</t>
  </si>
  <si>
    <t>Test: [SELECT FROM: Mechanisms supporting security assessment, security assessment plan development, and security assessment reporting].</t>
  </si>
  <si>
    <t>Plan of Action</t>
  </si>
  <si>
    <t>Security Control Monitoring</t>
  </si>
  <si>
    <t>System Security Plan</t>
  </si>
  <si>
    <r>
      <t xml:space="preserve">deficiencies and vulnerabilities to be addressed by the plan of action are </t>
    </r>
    <r>
      <rPr>
        <b/>
        <sz val="11"/>
        <color rgb="FF000000"/>
        <rFont val="Aptos"/>
        <family val="2"/>
        <scheme val="minor"/>
      </rPr>
      <t>identified</t>
    </r>
    <r>
      <rPr>
        <sz val="11"/>
        <color indexed="8"/>
        <rFont val="Aptos"/>
        <family val="2"/>
        <scheme val="minor"/>
      </rPr>
      <t>.</t>
    </r>
  </si>
  <si>
    <r>
      <t xml:space="preserve">a plan of action is </t>
    </r>
    <r>
      <rPr>
        <b/>
        <sz val="11"/>
        <color rgb="FF000000"/>
        <rFont val="Aptos"/>
        <family val="2"/>
        <scheme val="minor"/>
      </rPr>
      <t>developed</t>
    </r>
    <r>
      <rPr>
        <sz val="11"/>
        <color indexed="8"/>
        <rFont val="Aptos"/>
        <family val="2"/>
        <scheme val="minor"/>
      </rPr>
      <t xml:space="preserve"> to correct identified deficiencies and reduce or eliminate identified vulnerabilities.</t>
    </r>
  </si>
  <si>
    <r>
      <t xml:space="preserve">the plan of action is </t>
    </r>
    <r>
      <rPr>
        <b/>
        <sz val="11"/>
        <color rgb="FF000000"/>
        <rFont val="Aptos"/>
        <family val="2"/>
        <scheme val="minor"/>
      </rPr>
      <t>implemented</t>
    </r>
    <r>
      <rPr>
        <sz val="11"/>
        <color indexed="8"/>
        <rFont val="Aptos"/>
        <family val="2"/>
        <scheme val="minor"/>
      </rPr>
      <t xml:space="preserve"> to correct identified deficiencies and reduce or eliminate identified vulnerabilities.</t>
    </r>
  </si>
  <si>
    <t>Examine: [SELECT FROM: Security assessment and authorization policy; procedures addressing plan of action; system security plan; security assessment plan; security assessment report; security assessment evidence; plan of action; other relevant documents or records].</t>
  </si>
  <si>
    <t>Interview: [SELECT FROM: Personnel with plan of action development and implementation responsibilities; personnel with information security responsibilities].</t>
  </si>
  <si>
    <t>Test: [SELECT FROM: Mechanisms for developing, implementing, and maintaining plan of action].</t>
  </si>
  <si>
    <t>3.12.2 [a]</t>
  </si>
  <si>
    <t>3.12.2 [b]</t>
  </si>
  <si>
    <t>3.12.2 [c]</t>
  </si>
  <si>
    <t>3.12.3 [a]</t>
  </si>
  <si>
    <r>
      <t xml:space="preserve">security controls are </t>
    </r>
    <r>
      <rPr>
        <b/>
        <sz val="11"/>
        <color rgb="FF000000"/>
        <rFont val="Aptos"/>
        <family val="2"/>
        <scheme val="minor"/>
      </rPr>
      <t>monitored</t>
    </r>
    <r>
      <rPr>
        <sz val="11"/>
        <color indexed="8"/>
        <rFont val="Aptos"/>
        <family val="2"/>
        <scheme val="minor"/>
      </rPr>
      <t xml:space="preserve"> on an ongoing basis to ensure the continued effectiveness of those controls.</t>
    </r>
  </si>
  <si>
    <t>Examine: [SELECT FROM: Security planning policy; organizational procedures addressing system security plan development and implementation; procedures addressing system security plan reviews and updates; enterprise architecture documentation; system security plan; records of system security plan reviews and updates; other relevant documents or records].</t>
  </si>
  <si>
    <t>Interview: [SELECT FROM: Personnel with security planning and system security plan implementation responsibilities; personnel with information security responsibilities].</t>
  </si>
  <si>
    <t>Test: [SELECT FROM: Organizational processes for system security plan development, review, update, and approval; mechanisms supporting the system security plan].</t>
  </si>
  <si>
    <r>
      <t xml:space="preserve">a system security plan is </t>
    </r>
    <r>
      <rPr>
        <b/>
        <sz val="11"/>
        <color rgb="FF000000"/>
        <rFont val="Aptos"/>
        <family val="2"/>
        <scheme val="minor"/>
      </rPr>
      <t>developed</t>
    </r>
    <r>
      <rPr>
        <sz val="11"/>
        <color indexed="8"/>
        <rFont val="Aptos"/>
        <family val="2"/>
        <scheme val="minor"/>
      </rPr>
      <t>.</t>
    </r>
  </si>
  <si>
    <r>
      <t xml:space="preserve">the system boundary is </t>
    </r>
    <r>
      <rPr>
        <b/>
        <sz val="11"/>
        <color rgb="FF000000"/>
        <rFont val="Aptos"/>
        <family val="2"/>
        <scheme val="minor"/>
      </rPr>
      <t>described</t>
    </r>
    <r>
      <rPr>
        <sz val="11"/>
        <color indexed="8"/>
        <rFont val="Aptos"/>
        <family val="2"/>
        <scheme val="minor"/>
      </rPr>
      <t xml:space="preserve"> and </t>
    </r>
    <r>
      <rPr>
        <b/>
        <sz val="11"/>
        <color rgb="FF000000"/>
        <rFont val="Aptos"/>
        <family val="2"/>
        <scheme val="minor"/>
      </rPr>
      <t>documented</t>
    </r>
    <r>
      <rPr>
        <sz val="11"/>
        <color indexed="8"/>
        <rFont val="Aptos"/>
        <family val="2"/>
        <scheme val="minor"/>
      </rPr>
      <t xml:space="preserve"> in the system security plan.</t>
    </r>
  </si>
  <si>
    <r>
      <t xml:space="preserve">the system environment of operation is </t>
    </r>
    <r>
      <rPr>
        <b/>
        <sz val="11"/>
        <color rgb="FF000000"/>
        <rFont val="Aptos"/>
        <family val="2"/>
        <scheme val="minor"/>
      </rPr>
      <t>described</t>
    </r>
    <r>
      <rPr>
        <sz val="11"/>
        <color indexed="8"/>
        <rFont val="Aptos"/>
        <family val="2"/>
        <scheme val="minor"/>
      </rPr>
      <t xml:space="preserve"> and </t>
    </r>
    <r>
      <rPr>
        <b/>
        <sz val="11"/>
        <color rgb="FF000000"/>
        <rFont val="Aptos"/>
        <family val="2"/>
        <scheme val="minor"/>
      </rPr>
      <t>documented</t>
    </r>
    <r>
      <rPr>
        <sz val="11"/>
        <color indexed="8"/>
        <rFont val="Aptos"/>
        <family val="2"/>
        <scheme val="minor"/>
      </rPr>
      <t xml:space="preserve"> in the system security plan.</t>
    </r>
  </si>
  <si>
    <r>
      <t xml:space="preserve">the security requirements </t>
    </r>
    <r>
      <rPr>
        <b/>
        <sz val="11"/>
        <color rgb="FF000000"/>
        <rFont val="Aptos"/>
        <family val="2"/>
        <scheme val="minor"/>
      </rPr>
      <t>identified</t>
    </r>
    <r>
      <rPr>
        <sz val="11"/>
        <color indexed="8"/>
        <rFont val="Aptos"/>
        <family val="2"/>
        <scheme val="minor"/>
      </rPr>
      <t xml:space="preserve"> and </t>
    </r>
    <r>
      <rPr>
        <b/>
        <sz val="11"/>
        <color rgb="FF000000"/>
        <rFont val="Aptos"/>
        <family val="2"/>
        <scheme val="minor"/>
      </rPr>
      <t>approved</t>
    </r>
    <r>
      <rPr>
        <sz val="11"/>
        <color indexed="8"/>
        <rFont val="Aptos"/>
        <family val="2"/>
        <scheme val="minor"/>
      </rPr>
      <t xml:space="preserve"> by the designated authority as non-applicable are identified.</t>
    </r>
  </si>
  <si>
    <r>
      <t xml:space="preserve">the method of security requirement implementation is </t>
    </r>
    <r>
      <rPr>
        <b/>
        <sz val="11"/>
        <color rgb="FF000000"/>
        <rFont val="Aptos"/>
        <family val="2"/>
        <scheme val="minor"/>
      </rPr>
      <t>described</t>
    </r>
    <r>
      <rPr>
        <sz val="11"/>
        <color indexed="8"/>
        <rFont val="Aptos"/>
        <family val="2"/>
        <scheme val="minor"/>
      </rPr>
      <t xml:space="preserve"> and </t>
    </r>
    <r>
      <rPr>
        <b/>
        <sz val="11"/>
        <color rgb="FF000000"/>
        <rFont val="Aptos"/>
        <family val="2"/>
        <scheme val="minor"/>
      </rPr>
      <t>documented</t>
    </r>
    <r>
      <rPr>
        <sz val="11"/>
        <color indexed="8"/>
        <rFont val="Aptos"/>
        <family val="2"/>
        <scheme val="minor"/>
      </rPr>
      <t xml:space="preserve"> in the system security plan.</t>
    </r>
  </si>
  <si>
    <r>
      <t xml:space="preserve">the relationship with or connection to other systems is </t>
    </r>
    <r>
      <rPr>
        <b/>
        <sz val="11"/>
        <color rgb="FF000000"/>
        <rFont val="Aptos"/>
        <family val="2"/>
        <scheme val="minor"/>
      </rPr>
      <t>described</t>
    </r>
    <r>
      <rPr>
        <sz val="11"/>
        <color indexed="8"/>
        <rFont val="Aptos"/>
        <family val="2"/>
        <scheme val="minor"/>
      </rPr>
      <t xml:space="preserve"> and </t>
    </r>
    <r>
      <rPr>
        <b/>
        <sz val="11"/>
        <color rgb="FF000000"/>
        <rFont val="Aptos"/>
        <family val="2"/>
        <scheme val="minor"/>
      </rPr>
      <t>documented</t>
    </r>
    <r>
      <rPr>
        <sz val="11"/>
        <color indexed="8"/>
        <rFont val="Aptos"/>
        <family val="2"/>
        <scheme val="minor"/>
      </rPr>
      <t xml:space="preserve"> in the system security plan.</t>
    </r>
  </si>
  <si>
    <r>
      <t xml:space="preserve">the frequency to update the system security plan is </t>
    </r>
    <r>
      <rPr>
        <b/>
        <sz val="11"/>
        <color rgb="FF000000"/>
        <rFont val="Aptos"/>
        <family val="2"/>
        <scheme val="minor"/>
      </rPr>
      <t>defined</t>
    </r>
    <r>
      <rPr>
        <sz val="11"/>
        <color indexed="8"/>
        <rFont val="Aptos"/>
        <family val="2"/>
        <scheme val="minor"/>
      </rPr>
      <t>.</t>
    </r>
  </si>
  <si>
    <r>
      <t xml:space="preserve">system security plan is </t>
    </r>
    <r>
      <rPr>
        <b/>
        <sz val="11"/>
        <color rgb="FF000000"/>
        <rFont val="Aptos"/>
        <family val="2"/>
        <scheme val="minor"/>
      </rPr>
      <t>updated</t>
    </r>
    <r>
      <rPr>
        <sz val="11"/>
        <color indexed="8"/>
        <rFont val="Aptos"/>
        <family val="2"/>
        <scheme val="minor"/>
      </rPr>
      <t xml:space="preserve"> with the defined frequency.</t>
    </r>
  </si>
  <si>
    <t>Examine: [SELECT FROM: Security planning policy; procedures addressing system security plan development and implementation; procedures addressing system security plan reviews and updates; enterprise architecture documentation; system security plan; records of system security plan reviews and updates; other relevant documents or records].</t>
  </si>
  <si>
    <t>3.12.4 [a]</t>
  </si>
  <si>
    <t>3.12.4 [b]</t>
  </si>
  <si>
    <t>3.12.4 [c]</t>
  </si>
  <si>
    <t>3.12.4 [d]</t>
  </si>
  <si>
    <t>3.12.4 [e]</t>
  </si>
  <si>
    <t>3.12.4 [f]</t>
  </si>
  <si>
    <t>3.12.4 [g]</t>
  </si>
  <si>
    <t>3.12.4 [h]</t>
  </si>
  <si>
    <t>Security Assessment (CA)</t>
  </si>
  <si>
    <t>Performance Maintenance</t>
  </si>
  <si>
    <t>MA.L2-3.7.1</t>
  </si>
  <si>
    <t>3.7.1 [a]</t>
  </si>
  <si>
    <t>MA.L2-3.7.2</t>
  </si>
  <si>
    <t>3.7.2 [a]</t>
  </si>
  <si>
    <t>3.7.2 [b]</t>
  </si>
  <si>
    <t>3.7.2 [c]</t>
  </si>
  <si>
    <t>3.7.2 [d]</t>
  </si>
  <si>
    <r>
      <t xml:space="preserve">system maintenance is </t>
    </r>
    <r>
      <rPr>
        <b/>
        <sz val="11"/>
        <color rgb="FF000000"/>
        <rFont val="Aptos"/>
        <family val="2"/>
        <scheme val="minor"/>
      </rPr>
      <t>performed</t>
    </r>
    <r>
      <rPr>
        <sz val="11"/>
        <color indexed="8"/>
        <rFont val="Aptos"/>
        <family val="2"/>
        <scheme val="minor"/>
      </rPr>
      <t>.</t>
    </r>
  </si>
  <si>
    <t>Examine: [SELECT FROM: System maintenance policy; procedures addressing controlled system maintenance; maintenance records; manufacturer or vendor maintenance specifications; equipment sanitization records; media sanitization records; system security plan; other relevant documents or records].</t>
  </si>
  <si>
    <t>Interview: [SELECT FROM: Personnel with system maintenance responsibilities; personnel with information security responsibilities; personnel responsible for media sanitization; system or network administrators].</t>
  </si>
  <si>
    <t>Test: [SELECT FROM: Organizational processes for scheduling, performing, documenting, reviewing, approving, and monitoring maintenance and repairs for systems; organizational processes for sanitizing system components; mechanisms supporting or implementing controlled maintenance; mechanisms implementing sanitization of system components].</t>
  </si>
  <si>
    <t>System Maintenance Control</t>
  </si>
  <si>
    <t>Equipment Sanitization</t>
  </si>
  <si>
    <t>MA.L2-3.7.3</t>
  </si>
  <si>
    <t>Media Inspection</t>
  </si>
  <si>
    <t>MA.L2-3.7.4</t>
  </si>
  <si>
    <t>MA.L2-3.7.5</t>
  </si>
  <si>
    <t>MA.L2-3.7.6</t>
  </si>
  <si>
    <r>
      <t xml:space="preserve">tools used to conduct system maintenance are </t>
    </r>
    <r>
      <rPr>
        <b/>
        <sz val="11"/>
        <color rgb="FF000000"/>
        <rFont val="Aptos"/>
        <family val="2"/>
        <scheme val="minor"/>
      </rPr>
      <t>controlled</t>
    </r>
    <r>
      <rPr>
        <sz val="11"/>
        <color indexed="8"/>
        <rFont val="Aptos"/>
        <family val="2"/>
        <scheme val="minor"/>
      </rPr>
      <t>.</t>
    </r>
  </si>
  <si>
    <r>
      <t xml:space="preserve">techniques used to conduct system maintenance are </t>
    </r>
    <r>
      <rPr>
        <b/>
        <sz val="11"/>
        <color rgb="FF000000"/>
        <rFont val="Aptos"/>
        <family val="2"/>
        <scheme val="minor"/>
      </rPr>
      <t>controlled</t>
    </r>
    <r>
      <rPr>
        <sz val="11"/>
        <color indexed="8"/>
        <rFont val="Aptos"/>
        <family val="2"/>
        <scheme val="minor"/>
      </rPr>
      <t>.</t>
    </r>
  </si>
  <si>
    <r>
      <t xml:space="preserve">mechanisms used to conduct system maintenance are </t>
    </r>
    <r>
      <rPr>
        <b/>
        <sz val="11"/>
        <color rgb="FF000000"/>
        <rFont val="Aptos"/>
        <family val="2"/>
        <scheme val="minor"/>
      </rPr>
      <t>controlled</t>
    </r>
    <r>
      <rPr>
        <sz val="11"/>
        <color indexed="8"/>
        <rFont val="Aptos"/>
        <family val="2"/>
        <scheme val="minor"/>
      </rPr>
      <t>.</t>
    </r>
  </si>
  <si>
    <r>
      <t xml:space="preserve">personnel used to conduct system maintenance are </t>
    </r>
    <r>
      <rPr>
        <b/>
        <sz val="11"/>
        <color rgb="FF000000"/>
        <rFont val="Aptos"/>
        <family val="2"/>
        <scheme val="minor"/>
      </rPr>
      <t>controlled</t>
    </r>
    <r>
      <rPr>
        <sz val="11"/>
        <color indexed="8"/>
        <rFont val="Aptos"/>
        <family val="2"/>
        <scheme val="minor"/>
      </rPr>
      <t>.</t>
    </r>
  </si>
  <si>
    <t>Examine: [SELECT FROM: System maintenance policy; procedures addressing system maintenance tools and media; maintenance records; system maintenance tools and associated documentation; maintenance tool inspection records; system security plan; other relevant documents or records].</t>
  </si>
  <si>
    <t>Interview: [SELECT FROM: Personnel with system maintenance responsibilities; personnel with information security responsibilities].</t>
  </si>
  <si>
    <t>Test: [SELECT FROM: Organizational processes for approving, controlling, and monitoring maintenance tools; mechanisms supporting or implementing approval, control, and monitoring of maintenance tools; organizational processes for inspecting maintenance tools; mechanisms supporting or implementing inspection of maintenance tools; organizational process for inspecting media for malicious code; mechanisms supporting or implementing inspection of media used for maintenance].</t>
  </si>
  <si>
    <t>3.7.3 [a]</t>
  </si>
  <si>
    <r>
      <t xml:space="preserve">equipment to be removed from organizational spaces for off-site maintenance is </t>
    </r>
    <r>
      <rPr>
        <b/>
        <sz val="11"/>
        <color rgb="FF000000"/>
        <rFont val="Aptos"/>
        <family val="2"/>
        <scheme val="minor"/>
      </rPr>
      <t>sanitized</t>
    </r>
    <r>
      <rPr>
        <sz val="11"/>
        <color indexed="8"/>
        <rFont val="Aptos"/>
        <family val="2"/>
        <scheme val="minor"/>
      </rPr>
      <t xml:space="preserve"> of any CUI.</t>
    </r>
  </si>
  <si>
    <r>
      <t xml:space="preserve">media containing diagnostic and test programs are </t>
    </r>
    <r>
      <rPr>
        <b/>
        <sz val="11"/>
        <color rgb="FF000000"/>
        <rFont val="Aptos"/>
        <family val="2"/>
        <scheme val="minor"/>
      </rPr>
      <t>checked</t>
    </r>
    <r>
      <rPr>
        <sz val="11"/>
        <color indexed="8"/>
        <rFont val="Aptos"/>
        <family val="2"/>
        <scheme val="minor"/>
      </rPr>
      <t xml:space="preserve"> for malicious code before being used in organizational systems that process, store, or transmit CUI.</t>
    </r>
  </si>
  <si>
    <t>3.7.4 [a]</t>
  </si>
  <si>
    <t>Examine: [SELECT FROM: System maintenance policy; procedures addressing system maintenance tools; system maintenance tools and associated documentation; maintenance records; system security plan; other relevant documents or records].</t>
  </si>
  <si>
    <t>Test: [SELECT FROM: Organizational process for inspecting media for malicious code; mechanisms supporting or implementing inspection of media used for maintenance].</t>
  </si>
  <si>
    <t>3.7.5 [a]</t>
  </si>
  <si>
    <t>3.7.5 [b]</t>
  </si>
  <si>
    <r>
      <t xml:space="preserve">multifactor authentication is </t>
    </r>
    <r>
      <rPr>
        <b/>
        <sz val="11"/>
        <color rgb="FF000000"/>
        <rFont val="Aptos"/>
        <family val="2"/>
        <scheme val="minor"/>
      </rPr>
      <t>used</t>
    </r>
    <r>
      <rPr>
        <sz val="11"/>
        <color indexed="8"/>
        <rFont val="Aptos"/>
        <family val="2"/>
        <scheme val="minor"/>
      </rPr>
      <t xml:space="preserve"> to establish nonlocal maintenance sessions via external network connections.</t>
    </r>
  </si>
  <si>
    <r>
      <t xml:space="preserve">nonlocal maintenance sessions </t>
    </r>
    <r>
      <rPr>
        <sz val="11"/>
        <color rgb="FF000000"/>
        <rFont val="Aptos"/>
        <family val="2"/>
        <scheme val="minor"/>
      </rPr>
      <t>established</t>
    </r>
    <r>
      <rPr>
        <sz val="11"/>
        <color indexed="8"/>
        <rFont val="Aptos"/>
        <family val="2"/>
        <scheme val="minor"/>
      </rPr>
      <t xml:space="preserve"> via external network connections are </t>
    </r>
    <r>
      <rPr>
        <b/>
        <sz val="11"/>
        <color rgb="FF000000"/>
        <rFont val="Aptos"/>
        <family val="2"/>
        <scheme val="minor"/>
      </rPr>
      <t>terminated</t>
    </r>
    <r>
      <rPr>
        <sz val="11"/>
        <color indexed="8"/>
        <rFont val="Aptos"/>
        <family val="2"/>
        <scheme val="minor"/>
      </rPr>
      <t xml:space="preserve"> when nonlocal maintenance is complete.</t>
    </r>
  </si>
  <si>
    <t>Examine: [SELECT FROM: System maintenance policy; procedures addressing nonlocal system maintenance; system security plan; system design documentation; system configuration settings and associated documentation; maintenance records; diagnostic records; other relevant documents or records].</t>
  </si>
  <si>
    <t>Interview: [SELECT FROM: Personnel with system maintenance responsibilities; personnel with information security responsibilities; system or network administrators].</t>
  </si>
  <si>
    <t>Test: [SELECT FROM: Organizational processes for managing nonlocal maintenance; mechanisms implementing, supporting, and managing nonlocal maintenance; mechanisms for strong authentication of nonlocal maintenance diagnostic sessions; mechanisms for terminating nonlocal maintenance sessions and network connections].</t>
  </si>
  <si>
    <t>3.7.6 [a]</t>
  </si>
  <si>
    <t>Examine: [SELECT FROM: System maintenance policy; procedures addressing maintenance personnel; service provider contracts; service-level agreements; list of authorized personnel; maintenance records; access control records; system security plan; other relevant documents or records].</t>
  </si>
  <si>
    <t>Test: [SELECT FROM: Organizational processes for authorizing and managing maintenance personnel; mechanisms supporting or implementing authorization of maintenance personnel].</t>
  </si>
  <si>
    <r>
      <t xml:space="preserve">maintenance personnel without required access authorization are </t>
    </r>
    <r>
      <rPr>
        <b/>
        <sz val="11"/>
        <color rgb="FF000000"/>
        <rFont val="Aptos"/>
        <family val="2"/>
        <scheme val="minor"/>
      </rPr>
      <t>supervised</t>
    </r>
    <r>
      <rPr>
        <sz val="11"/>
        <color indexed="8"/>
        <rFont val="Aptos"/>
        <family val="2"/>
        <scheme val="minor"/>
      </rPr>
      <t xml:space="preserve"> during maintenance activities.</t>
    </r>
  </si>
  <si>
    <t>Media Protection</t>
  </si>
  <si>
    <t>MP.L2-3.8.1</t>
  </si>
  <si>
    <t>MP.L2-3.8.2</t>
  </si>
  <si>
    <t>Media Disposal</t>
  </si>
  <si>
    <t>MP.L1-3.8.3</t>
  </si>
  <si>
    <t>MP.L2-3.8.4</t>
  </si>
  <si>
    <t>Media Markings</t>
  </si>
  <si>
    <t>Media Accountability</t>
  </si>
  <si>
    <t>MP.L2-3.8.5</t>
  </si>
  <si>
    <t>Portable Storage Encryption</t>
  </si>
  <si>
    <t>MP.L2-3.8.6</t>
  </si>
  <si>
    <t>Removeable Media</t>
  </si>
  <si>
    <t>MP.L2-3.8.7</t>
  </si>
  <si>
    <t>Shared Media</t>
  </si>
  <si>
    <t>MP.L2-3.8.8</t>
  </si>
  <si>
    <t>Protect Backups</t>
  </si>
  <si>
    <t>MP.L2-3.8.9</t>
  </si>
  <si>
    <t>3.8.1 [a]</t>
  </si>
  <si>
    <t>3.8.1 [b]</t>
  </si>
  <si>
    <t>3.8.1 [c]</t>
  </si>
  <si>
    <t>3.8.1 [d]</t>
  </si>
  <si>
    <r>
      <t xml:space="preserve">paper media containing CUI is physically </t>
    </r>
    <r>
      <rPr>
        <b/>
        <sz val="11"/>
        <color rgb="FF000000"/>
        <rFont val="Aptos"/>
        <family val="2"/>
        <scheme val="minor"/>
      </rPr>
      <t>controlled</t>
    </r>
    <r>
      <rPr>
        <sz val="11"/>
        <color indexed="8"/>
        <rFont val="Aptos"/>
        <family val="2"/>
        <scheme val="minor"/>
      </rPr>
      <t>.</t>
    </r>
  </si>
  <si>
    <r>
      <t xml:space="preserve">digital media containing CUI is physically </t>
    </r>
    <r>
      <rPr>
        <b/>
        <sz val="11"/>
        <color rgb="FF000000"/>
        <rFont val="Aptos"/>
        <family val="2"/>
        <scheme val="minor"/>
      </rPr>
      <t>controlled</t>
    </r>
    <r>
      <rPr>
        <sz val="11"/>
        <color indexed="8"/>
        <rFont val="Aptos"/>
        <family val="2"/>
        <scheme val="minor"/>
      </rPr>
      <t>.</t>
    </r>
  </si>
  <si>
    <r>
      <t xml:space="preserve">paper media containing CUI is securely </t>
    </r>
    <r>
      <rPr>
        <b/>
        <sz val="11"/>
        <color rgb="FF000000"/>
        <rFont val="Aptos"/>
        <family val="2"/>
        <scheme val="minor"/>
      </rPr>
      <t>stored</t>
    </r>
    <r>
      <rPr>
        <sz val="11"/>
        <color indexed="8"/>
        <rFont val="Aptos"/>
        <family val="2"/>
        <scheme val="minor"/>
      </rPr>
      <t>.</t>
    </r>
  </si>
  <si>
    <r>
      <t xml:space="preserve">digital media containing CUI is securely </t>
    </r>
    <r>
      <rPr>
        <b/>
        <sz val="11"/>
        <color rgb="FF000000"/>
        <rFont val="Aptos"/>
        <family val="2"/>
        <scheme val="minor"/>
      </rPr>
      <t>stored</t>
    </r>
    <r>
      <rPr>
        <sz val="11"/>
        <color indexed="8"/>
        <rFont val="Aptos"/>
        <family val="2"/>
        <scheme val="minor"/>
      </rPr>
      <t>.</t>
    </r>
  </si>
  <si>
    <t>Examine: [SELECT FROM: System media protection policy; procedures addressing media storage; procedures addressing media access restrictions; access control policy and procedures; physical and environmental protection policy and procedures; system security plan; media storage facilities; access control records; other relevant documents or records].</t>
  </si>
  <si>
    <t>Interview: [SELECT FROM: Personnel with system media protection responsibilities; personnel with information security responsibilities; system or network administrators].</t>
  </si>
  <si>
    <t>Test: [SELECT FROM: Organizational processes for restricting information media; mechanisms supporting or implementing media access restrictions].</t>
  </si>
  <si>
    <r>
      <t xml:space="preserve">access to CUI on system media is </t>
    </r>
    <r>
      <rPr>
        <b/>
        <sz val="11"/>
        <color rgb="FF000000"/>
        <rFont val="Aptos"/>
        <family val="2"/>
        <scheme val="minor"/>
      </rPr>
      <t>limited</t>
    </r>
    <r>
      <rPr>
        <sz val="11"/>
        <color indexed="8"/>
        <rFont val="Aptos"/>
        <family val="2"/>
        <scheme val="minor"/>
      </rPr>
      <t xml:space="preserve"> to authorized users.</t>
    </r>
  </si>
  <si>
    <t>Examine: [SELECT FROM: System media protection policy; procedures addressing media storage; physical and environmental protection policy and procedures; access control policy and procedures; system security plan; system media; designated controlled areas; other relevant documents or records].</t>
  </si>
  <si>
    <t>Interview: [SELECT FROM: Personnel with system media protection and storage responsibilities; personnel with information security responsibilities].</t>
  </si>
  <si>
    <t>Test: [SELECT FROM: Organizational processes for storing media; mechanisms supporting or implementing secure media storage and media protection].</t>
  </si>
  <si>
    <t>3.8.3 [a]</t>
  </si>
  <si>
    <t>3.8.3 [b]</t>
  </si>
  <si>
    <r>
      <t xml:space="preserve">system media containing CUI is </t>
    </r>
    <r>
      <rPr>
        <b/>
        <sz val="11"/>
        <color rgb="FF000000"/>
        <rFont val="Aptos"/>
        <family val="2"/>
        <scheme val="minor"/>
      </rPr>
      <t>sanitized</t>
    </r>
    <r>
      <rPr>
        <sz val="11"/>
        <color indexed="8"/>
        <rFont val="Aptos"/>
        <family val="2"/>
        <scheme val="minor"/>
      </rPr>
      <t xml:space="preserve"> or destroyed before disposal.</t>
    </r>
  </si>
  <si>
    <r>
      <t xml:space="preserve">system media containing CUI is </t>
    </r>
    <r>
      <rPr>
        <b/>
        <sz val="11"/>
        <color rgb="FF000000"/>
        <rFont val="Aptos"/>
        <family val="2"/>
        <scheme val="minor"/>
      </rPr>
      <t>sanitized</t>
    </r>
    <r>
      <rPr>
        <sz val="11"/>
        <color indexed="8"/>
        <rFont val="Aptos"/>
        <family val="2"/>
        <scheme val="minor"/>
      </rPr>
      <t xml:space="preserve"> before it is released for reuse.</t>
    </r>
  </si>
  <si>
    <t>Examine: [SELECT FROM: System media protection policy; procedures addressing media sanitization and disposal; applicable standards and policies addressing media sanitization; system security plan; media sanitization records; system audit logs and records; system design documentation; system configuration settings and associated documentation; other relevant documents or records].</t>
  </si>
  <si>
    <t>Interview: [SELECT FROM: Personnel with media sanitization responsibilities; personnel with information security responsibilities; system or network administrators].</t>
  </si>
  <si>
    <t>Test: [SELECT FROM: Organizational processes for media sanitization; mechanisms supporting or implementing media sanitization].</t>
  </si>
  <si>
    <t>3.8.4 [a]</t>
  </si>
  <si>
    <t>3.8.4 [b]</t>
  </si>
  <si>
    <r>
      <t xml:space="preserve">media containing CUI is </t>
    </r>
    <r>
      <rPr>
        <b/>
        <sz val="11"/>
        <color rgb="FF000000"/>
        <rFont val="Aptos"/>
        <family val="2"/>
        <scheme val="minor"/>
      </rPr>
      <t>marked</t>
    </r>
    <r>
      <rPr>
        <sz val="11"/>
        <color indexed="8"/>
        <rFont val="Aptos"/>
        <family val="2"/>
        <scheme val="minor"/>
      </rPr>
      <t xml:space="preserve"> with applicable CUI markings.</t>
    </r>
  </si>
  <si>
    <r>
      <t xml:space="preserve">media containing CUI is </t>
    </r>
    <r>
      <rPr>
        <b/>
        <sz val="11"/>
        <color rgb="FF000000"/>
        <rFont val="Aptos"/>
        <family val="2"/>
        <scheme val="minor"/>
      </rPr>
      <t>marked</t>
    </r>
    <r>
      <rPr>
        <sz val="11"/>
        <color indexed="8"/>
        <rFont val="Aptos"/>
        <family val="2"/>
        <scheme val="minor"/>
      </rPr>
      <t xml:space="preserve"> with distribution limitations.</t>
    </r>
  </si>
  <si>
    <t>Examine: [SELECT FROM: System media protection policy; procedures addressing media marking; physical and environmental protection policy and procedures; system security plan; list of system media marking security attributes; designated controlled areas; other relevant documents or records].</t>
  </si>
  <si>
    <t>Interview: [SELECT FROM: Personnel with system media protection and marking responsibilities; personnel with information security responsibilities].</t>
  </si>
  <si>
    <t>Test: [SELECT FROM: Organizational processes for marking information media; mechanisms supporting or implementing media marking].</t>
  </si>
  <si>
    <t>3.8.5 [a]</t>
  </si>
  <si>
    <t>3.8.5 [b]</t>
  </si>
  <si>
    <r>
      <t xml:space="preserve">access to media containing CUI is </t>
    </r>
    <r>
      <rPr>
        <b/>
        <sz val="11"/>
        <color rgb="FF000000"/>
        <rFont val="Aptos"/>
        <family val="2"/>
        <scheme val="minor"/>
      </rPr>
      <t>controlled</t>
    </r>
    <r>
      <rPr>
        <sz val="11"/>
        <color indexed="8"/>
        <rFont val="Aptos"/>
        <family val="2"/>
        <scheme val="minor"/>
      </rPr>
      <t>.</t>
    </r>
  </si>
  <si>
    <r>
      <t xml:space="preserve">accountability for media containing CUI is </t>
    </r>
    <r>
      <rPr>
        <b/>
        <sz val="11"/>
        <color rgb="FF000000"/>
        <rFont val="Aptos"/>
        <family val="2"/>
        <scheme val="minor"/>
      </rPr>
      <t>maintained</t>
    </r>
    <r>
      <rPr>
        <sz val="11"/>
        <color indexed="8"/>
        <rFont val="Aptos"/>
        <family val="2"/>
        <scheme val="minor"/>
      </rPr>
      <t xml:space="preserve"> during transport outside of controlled areas.</t>
    </r>
  </si>
  <si>
    <t>Interview: [SELECT FROM: Personnel with system media protection and storage responsibilities; personnel with information security responsibilities; system or network administrators].</t>
  </si>
  <si>
    <t>Test: [SELECT FROM: Organizational processes for storing media; mechanisms supporting or implementing media storage and media protection].</t>
  </si>
  <si>
    <t>3.8.6 [a]</t>
  </si>
  <si>
    <r>
      <t xml:space="preserve">the confidentiality of CUI stored on digital media is </t>
    </r>
    <r>
      <rPr>
        <b/>
        <sz val="11"/>
        <color rgb="FF000000"/>
        <rFont val="Aptos"/>
        <family val="2"/>
        <scheme val="minor"/>
      </rPr>
      <t>protected</t>
    </r>
    <r>
      <rPr>
        <sz val="11"/>
        <color indexed="8"/>
        <rFont val="Aptos"/>
        <family val="2"/>
        <scheme val="minor"/>
      </rPr>
      <t xml:space="preserve"> during transport using cryptographic mechanisms </t>
    </r>
    <r>
      <rPr>
        <b/>
        <sz val="11"/>
        <color rgb="FF000000"/>
        <rFont val="Aptos"/>
        <family val="2"/>
        <scheme val="minor"/>
      </rPr>
      <t>or</t>
    </r>
    <r>
      <rPr>
        <sz val="11"/>
        <color indexed="8"/>
        <rFont val="Aptos"/>
        <family val="2"/>
        <scheme val="minor"/>
      </rPr>
      <t xml:space="preserve"> alternative physical safeguards.</t>
    </r>
  </si>
  <si>
    <t>Examine: [SELECT FROM: System media protection policy; procedures addressing media transport; system design documentation; system security plan; system configuration settings and associated documentation; system media transport records; system audit logs and records; other relevant documents or records].</t>
  </si>
  <si>
    <t>Interview: [SELECT FROM: Personnel with system media transport responsibilities; personnel with information security responsibilities].</t>
  </si>
  <si>
    <t>Test: [SELECT FROM: Cryptographic mechanisms protecting information on digital media during transportation outside controlled areas].</t>
  </si>
  <si>
    <t>3.8.7 [a]</t>
  </si>
  <si>
    <r>
      <t xml:space="preserve">the use of removable media on system components is </t>
    </r>
    <r>
      <rPr>
        <b/>
        <sz val="11"/>
        <color rgb="FF000000"/>
        <rFont val="Aptos"/>
        <family val="2"/>
        <scheme val="minor"/>
      </rPr>
      <t>controlled</t>
    </r>
    <r>
      <rPr>
        <sz val="11"/>
        <color indexed="8"/>
        <rFont val="Aptos"/>
        <family val="2"/>
        <scheme val="minor"/>
      </rPr>
      <t>.</t>
    </r>
  </si>
  <si>
    <t>Examine: [SELECT FROM: System media protection policy; system use policy; procedures addressing media usage restrictions; system security plan; rules of behavior; system design documentation; system configuration settings and associated documentation; system audit logs and records; other relevant documents or records].</t>
  </si>
  <si>
    <t>Interview: [SELECT FROM: Personnel with system media use responsibilities; personnel with information security responsibilities; system or network administrators].</t>
  </si>
  <si>
    <t>Test: [SELECT FROM: Organizational processes for media use; mechanisms restricting or prohibiting use of system media on systems or system components].</t>
  </si>
  <si>
    <t>3.8.8 [a]</t>
  </si>
  <si>
    <r>
      <t xml:space="preserve">the use of portable storage devices is </t>
    </r>
    <r>
      <rPr>
        <b/>
        <sz val="11"/>
        <color rgb="FF000000"/>
        <rFont val="Aptos"/>
        <family val="2"/>
        <scheme val="minor"/>
      </rPr>
      <t>prohibited when</t>
    </r>
    <r>
      <rPr>
        <sz val="11"/>
        <color indexed="8"/>
        <rFont val="Aptos"/>
        <family val="2"/>
        <scheme val="minor"/>
      </rPr>
      <t xml:space="preserve"> such devices have no identifiable owner.</t>
    </r>
  </si>
  <si>
    <t>Examine: [SELECT FROM: System media protection policy; system use policy; procedures addressing media usage restrictions; system security plan; rules of behavior; system configuration settings and associated documentation; system design documentation; system audit logs and records; other relevant documents or records].</t>
  </si>
  <si>
    <t>Test: [SELECT FROM: Organizational processes for media use; mechanisms prohibiting use of media on systems or system components].</t>
  </si>
  <si>
    <t>3.8.9 [a]</t>
  </si>
  <si>
    <r>
      <t xml:space="preserve">the confidentiality of backup CUI is </t>
    </r>
    <r>
      <rPr>
        <b/>
        <sz val="11"/>
        <color rgb="FF000000"/>
        <rFont val="Aptos"/>
        <family val="2"/>
        <scheme val="minor"/>
      </rPr>
      <t>protected</t>
    </r>
    <r>
      <rPr>
        <sz val="11"/>
        <color indexed="8"/>
        <rFont val="Aptos"/>
        <family val="2"/>
        <scheme val="minor"/>
      </rPr>
      <t xml:space="preserve"> at storage locations.</t>
    </r>
  </si>
  <si>
    <t>Examine: [SELECT FROM: Procedures addressing system backup; system configuration settings and associated documentation; security plan; backup storage locations; system backup logs or records; other relevant documents or records].</t>
  </si>
  <si>
    <t>Interview: [SELECT FROM: Personnel with system backup responsibilities; personnel with information security responsibilities].</t>
  </si>
  <si>
    <t>Test: [SELECT FROM: Organizational processes for conducting system backups; mechanisms supporting or implementing system backups].</t>
  </si>
  <si>
    <t>3.8.2 [a]</t>
  </si>
  <si>
    <t>Screen Individuals</t>
  </si>
  <si>
    <t>PS.L2-3.9.1</t>
  </si>
  <si>
    <t>Personnel Actions</t>
  </si>
  <si>
    <t>PS.L2-3.9.2</t>
  </si>
  <si>
    <r>
      <t xml:space="preserve">individuals are </t>
    </r>
    <r>
      <rPr>
        <b/>
        <sz val="11"/>
        <color rgb="FF000000"/>
        <rFont val="Aptos"/>
        <family val="2"/>
        <scheme val="minor"/>
      </rPr>
      <t>screened</t>
    </r>
    <r>
      <rPr>
        <sz val="11"/>
        <color indexed="8"/>
        <rFont val="Aptos"/>
        <family val="2"/>
        <scheme val="minor"/>
      </rPr>
      <t xml:space="preserve"> prior to authorizing access to organizational systems containing CUI.</t>
    </r>
  </si>
  <si>
    <t>Examine: [SELECT FROM: Personnel security policy; procedures addressing personnel screening; records of screened personnel; system security plan; other relevant documents or records].</t>
  </si>
  <si>
    <t>Interview: [SELECT FROM: Personnel with personnel security responsibilities; personnel with information security responsibilities].</t>
  </si>
  <si>
    <t>Test: [SELECT FROM: Organizational processes for personnel screening].</t>
  </si>
  <si>
    <t>3.9.1 [a]</t>
  </si>
  <si>
    <t>3.9.2 [a]</t>
  </si>
  <si>
    <t>3.9.2 [b]</t>
  </si>
  <si>
    <t>3.9.2 [c]</t>
  </si>
  <si>
    <r>
      <t xml:space="preserve">a policy and/or process for terminating system access and any credentials coincident with personnel actions is </t>
    </r>
    <r>
      <rPr>
        <b/>
        <sz val="11"/>
        <color rgb="FF000000"/>
        <rFont val="Aptos"/>
        <family val="2"/>
        <scheme val="minor"/>
      </rPr>
      <t>established</t>
    </r>
    <r>
      <rPr>
        <sz val="11"/>
        <color indexed="8"/>
        <rFont val="Aptos"/>
        <family val="2"/>
        <scheme val="minor"/>
      </rPr>
      <t>.</t>
    </r>
  </si>
  <si>
    <r>
      <t xml:space="preserve">system access and credentials are </t>
    </r>
    <r>
      <rPr>
        <b/>
        <sz val="11"/>
        <color rgb="FF000000"/>
        <rFont val="Aptos"/>
        <family val="2"/>
        <scheme val="minor"/>
      </rPr>
      <t>terminated</t>
    </r>
    <r>
      <rPr>
        <sz val="11"/>
        <color indexed="8"/>
        <rFont val="Aptos"/>
        <family val="2"/>
        <scheme val="minor"/>
      </rPr>
      <t xml:space="preserve"> consistent with personnel actions such as termination or transfer.</t>
    </r>
  </si>
  <si>
    <r>
      <t xml:space="preserve">the system is </t>
    </r>
    <r>
      <rPr>
        <b/>
        <sz val="11"/>
        <color rgb="FF000000"/>
        <rFont val="Aptos"/>
        <family val="2"/>
        <scheme val="minor"/>
      </rPr>
      <t>protected</t>
    </r>
    <r>
      <rPr>
        <sz val="11"/>
        <color indexed="8"/>
        <rFont val="Aptos"/>
        <family val="2"/>
        <scheme val="minor"/>
      </rPr>
      <t xml:space="preserve"> during and after personnel transfer actions.</t>
    </r>
  </si>
  <si>
    <t>Examine: [SELECT FROM: Personnel security policy; procedures addressing personnel transfer and termination; records of personnel transfer and termination actions; list of system accounts; records of terminated or revoked authenticators and credentials; records of exit interviews; other relevant documents or records].</t>
  </si>
  <si>
    <t>Interview: [SELECT FROM: Personnel with personnel security responsibilities; personnel with account management responsibilities; system or network administrators; personnel with information security responsibilities].</t>
  </si>
  <si>
    <t>Test: [SELECT FROM: Organizational processes for personnel transfer and termination; mechanisms supporting or implementing personnel transfer and termination notifications; mechanisms for disabling system access and revoking authenticators].</t>
  </si>
  <si>
    <t>Limit Physical Access</t>
  </si>
  <si>
    <t>PE.L1-3.10.1</t>
  </si>
  <si>
    <t>Monitor Facility</t>
  </si>
  <si>
    <t>PE.L2-3.10.2</t>
  </si>
  <si>
    <t>Escort Visitors</t>
  </si>
  <si>
    <t>PE.L1-3.10.3</t>
  </si>
  <si>
    <t>Physical Access Logs</t>
  </si>
  <si>
    <t>PE.L1-3.10.4</t>
  </si>
  <si>
    <t>Manage Physical Access</t>
  </si>
  <si>
    <t>PE.L1-3.10.5</t>
  </si>
  <si>
    <t>Alternative Work Sites</t>
  </si>
  <si>
    <t>PE.L2-3.10.6</t>
  </si>
  <si>
    <t>3.10.1 [a]</t>
  </si>
  <si>
    <t>3.10.1 [b]</t>
  </si>
  <si>
    <t>3.10.1 [c]</t>
  </si>
  <si>
    <t>3.10.1 [d]</t>
  </si>
  <si>
    <r>
      <t xml:space="preserve">authorized individuals allowed physical access are </t>
    </r>
    <r>
      <rPr>
        <b/>
        <sz val="11"/>
        <color rgb="FF000000"/>
        <rFont val="Aptos"/>
        <family val="2"/>
        <scheme val="minor"/>
      </rPr>
      <t>identified</t>
    </r>
    <r>
      <rPr>
        <sz val="11"/>
        <color indexed="8"/>
        <rFont val="Aptos"/>
        <family val="2"/>
        <scheme val="minor"/>
      </rPr>
      <t>.</t>
    </r>
  </si>
  <si>
    <r>
      <t xml:space="preserve">physical access to organizational systems is </t>
    </r>
    <r>
      <rPr>
        <b/>
        <sz val="11"/>
        <color rgb="FF000000"/>
        <rFont val="Aptos"/>
        <family val="2"/>
        <scheme val="minor"/>
      </rPr>
      <t>limited</t>
    </r>
    <r>
      <rPr>
        <sz val="11"/>
        <color indexed="8"/>
        <rFont val="Aptos"/>
        <family val="2"/>
        <scheme val="minor"/>
      </rPr>
      <t xml:space="preserve"> to authorized individuals.</t>
    </r>
  </si>
  <si>
    <r>
      <t xml:space="preserve">physical access to equipment is </t>
    </r>
    <r>
      <rPr>
        <b/>
        <sz val="11"/>
        <color rgb="FF000000"/>
        <rFont val="Aptos"/>
        <family val="2"/>
        <scheme val="minor"/>
      </rPr>
      <t>limited</t>
    </r>
    <r>
      <rPr>
        <sz val="11"/>
        <color indexed="8"/>
        <rFont val="Aptos"/>
        <family val="2"/>
        <scheme val="minor"/>
      </rPr>
      <t xml:space="preserve"> to authorized individuals.</t>
    </r>
  </si>
  <si>
    <r>
      <t xml:space="preserve">physical access to operating environments is </t>
    </r>
    <r>
      <rPr>
        <b/>
        <sz val="11"/>
        <color rgb="FF000000"/>
        <rFont val="Aptos"/>
        <family val="2"/>
        <scheme val="minor"/>
      </rPr>
      <t>limited</t>
    </r>
    <r>
      <rPr>
        <sz val="11"/>
        <color indexed="8"/>
        <rFont val="Aptos"/>
        <family val="2"/>
        <scheme val="minor"/>
      </rPr>
      <t xml:space="preserve"> to authorized individuals.</t>
    </r>
  </si>
  <si>
    <t>Examine: [SELECT FROM: Physical and environmental protection policy; procedures addressing physical access authorizations; system security plan; authorized personnel access list; authorization credentials; physical access list reviews; physical access termination records and associated documentation; other relevant documents or records].</t>
  </si>
  <si>
    <t>Interview: [SELECT FROM: Personnel with physical access authorization responsibilities; personnel with physical access to system facility; personnel with information security responsibilities].</t>
  </si>
  <si>
    <t>Test: [SELECT FROM: Organizational processes for physical access authorizations; mechanisms supporting or implementing physical access authorizations].</t>
  </si>
  <si>
    <t>3.10.2 [a]</t>
  </si>
  <si>
    <t>3.10.2 [b]</t>
  </si>
  <si>
    <t>3.10.2 [c]</t>
  </si>
  <si>
    <t>3.10.2 [d]</t>
  </si>
  <si>
    <r>
      <t xml:space="preserve">the physical facility where organizational systems reside is </t>
    </r>
    <r>
      <rPr>
        <b/>
        <sz val="11"/>
        <color rgb="FF000000"/>
        <rFont val="Aptos"/>
        <family val="2"/>
        <scheme val="minor"/>
      </rPr>
      <t>protected</t>
    </r>
    <r>
      <rPr>
        <sz val="11"/>
        <color indexed="8"/>
        <rFont val="Aptos"/>
        <family val="2"/>
        <scheme val="minor"/>
      </rPr>
      <t>.</t>
    </r>
  </si>
  <si>
    <r>
      <t xml:space="preserve">the support infrastructure for organizational systems is </t>
    </r>
    <r>
      <rPr>
        <b/>
        <sz val="11"/>
        <color rgb="FF000000"/>
        <rFont val="Aptos"/>
        <family val="2"/>
        <scheme val="minor"/>
      </rPr>
      <t>protected</t>
    </r>
    <r>
      <rPr>
        <sz val="11"/>
        <color indexed="8"/>
        <rFont val="Aptos"/>
        <family val="2"/>
        <scheme val="minor"/>
      </rPr>
      <t>.</t>
    </r>
  </si>
  <si>
    <r>
      <t xml:space="preserve">the physical facility where organizational systems reside is </t>
    </r>
    <r>
      <rPr>
        <b/>
        <sz val="11"/>
        <color rgb="FF000000"/>
        <rFont val="Aptos"/>
        <family val="2"/>
        <scheme val="minor"/>
      </rPr>
      <t>monitored</t>
    </r>
    <r>
      <rPr>
        <sz val="11"/>
        <color indexed="8"/>
        <rFont val="Aptos"/>
        <family val="2"/>
        <scheme val="minor"/>
      </rPr>
      <t>.</t>
    </r>
  </si>
  <si>
    <r>
      <t xml:space="preserve">the support infrastructure for organizational systems is </t>
    </r>
    <r>
      <rPr>
        <b/>
        <sz val="11"/>
        <color rgb="FF000000"/>
        <rFont val="Aptos"/>
        <family val="2"/>
        <scheme val="minor"/>
      </rPr>
      <t>monitored</t>
    </r>
    <r>
      <rPr>
        <sz val="11"/>
        <color indexed="8"/>
        <rFont val="Aptos"/>
        <family val="2"/>
        <scheme val="minor"/>
      </rPr>
      <t>.</t>
    </r>
  </si>
  <si>
    <t>Examine: [SELECT FROM: Physical and environmental protection policy; procedures addressing physical access monitoring; system security plan; physical access logs or records; physical access monitoring records; physical access log reviews; other relevant documents or records].</t>
  </si>
  <si>
    <t>Interview: [SELECT FROM: Personnel with physical access monitoring responsibilities; personnel with incident response responsibilities; personnel with information security responsibilities].</t>
  </si>
  <si>
    <t>Test: [SELECT FROM: Organizational processes for monitoring physical access; mechanisms supporting or implementing physical access monitoring; mechanisms supporting or implementing the review of physical access logs].</t>
  </si>
  <si>
    <t>3.10.3 [a]</t>
  </si>
  <si>
    <t>3.10.3 [b]</t>
  </si>
  <si>
    <r>
      <t xml:space="preserve">visitors are </t>
    </r>
    <r>
      <rPr>
        <b/>
        <sz val="11"/>
        <color rgb="FF000000"/>
        <rFont val="Aptos"/>
        <family val="2"/>
        <scheme val="minor"/>
      </rPr>
      <t>escorted</t>
    </r>
    <r>
      <rPr>
        <sz val="11"/>
        <color indexed="8"/>
        <rFont val="Aptos"/>
        <family val="2"/>
        <scheme val="minor"/>
      </rPr>
      <t>.</t>
    </r>
  </si>
  <si>
    <r>
      <t xml:space="preserve">visitor activity is </t>
    </r>
    <r>
      <rPr>
        <b/>
        <sz val="11"/>
        <color rgb="FF000000"/>
        <rFont val="Aptos"/>
        <family val="2"/>
        <scheme val="minor"/>
      </rPr>
      <t>monitored</t>
    </r>
    <r>
      <rPr>
        <sz val="11"/>
        <color indexed="8"/>
        <rFont val="Aptos"/>
        <family val="2"/>
        <scheme val="minor"/>
      </rPr>
      <t>.</t>
    </r>
  </si>
  <si>
    <t>Examine: [SELECT FROM: Physical and environmental protection policy; procedures addressing physical access control; system security plan; physical access control logs or records; inventory records of physical access control devices; system entry and exit points; records of key and lock combination changes; storage locations for physical access control devices; physical access control devices; list of security safeguards controlling access to designated publicly accessible areas within facility; other relevant documents or records].</t>
  </si>
  <si>
    <t>Interview: [SELECT FROM: Personnel with physical access control responsibilities; personnel with information security responsibilities].</t>
  </si>
  <si>
    <t>Test: [SELECT FROM: Organizational processes for physical access control; mechanisms supporting or implementing physical access control; physical access control devices].</t>
  </si>
  <si>
    <t>3.10.4 [a]</t>
  </si>
  <si>
    <t>3.10.5 [a]</t>
  </si>
  <si>
    <t>3.10.5 [b]</t>
  </si>
  <si>
    <t>3.10.5 [c]</t>
  </si>
  <si>
    <r>
      <t xml:space="preserve">physical access devices are </t>
    </r>
    <r>
      <rPr>
        <b/>
        <sz val="11"/>
        <color rgb="FF000000"/>
        <rFont val="Aptos"/>
        <family val="2"/>
        <scheme val="minor"/>
      </rPr>
      <t>identified</t>
    </r>
    <r>
      <rPr>
        <sz val="11"/>
        <color indexed="8"/>
        <rFont val="Aptos"/>
        <family val="2"/>
        <scheme val="minor"/>
      </rPr>
      <t>.</t>
    </r>
  </si>
  <si>
    <r>
      <t xml:space="preserve">physical access devices are </t>
    </r>
    <r>
      <rPr>
        <b/>
        <sz val="11"/>
        <color rgb="FF000000"/>
        <rFont val="Aptos"/>
        <family val="2"/>
        <scheme val="minor"/>
      </rPr>
      <t>controlled</t>
    </r>
    <r>
      <rPr>
        <sz val="11"/>
        <color indexed="8"/>
        <rFont val="Aptos"/>
        <family val="2"/>
        <scheme val="minor"/>
      </rPr>
      <t>.</t>
    </r>
  </si>
  <si>
    <r>
      <t xml:space="preserve">physical access devices are </t>
    </r>
    <r>
      <rPr>
        <b/>
        <sz val="11"/>
        <color rgb="FF000000"/>
        <rFont val="Aptos"/>
        <family val="2"/>
        <scheme val="minor"/>
      </rPr>
      <t>managed</t>
    </r>
    <r>
      <rPr>
        <sz val="11"/>
        <color indexed="8"/>
        <rFont val="Aptos"/>
        <family val="2"/>
        <scheme val="minor"/>
      </rPr>
      <t>.</t>
    </r>
  </si>
  <si>
    <t>3.10.6 [a]</t>
  </si>
  <si>
    <t>3.10.6 [b]</t>
  </si>
  <si>
    <r>
      <t xml:space="preserve">safeguarding measures for CUI are </t>
    </r>
    <r>
      <rPr>
        <b/>
        <sz val="11"/>
        <color rgb="FF000000"/>
        <rFont val="Aptos"/>
        <family val="2"/>
        <scheme val="minor"/>
      </rPr>
      <t>defined</t>
    </r>
    <r>
      <rPr>
        <sz val="11"/>
        <color indexed="8"/>
        <rFont val="Aptos"/>
        <family val="2"/>
        <scheme val="minor"/>
      </rPr>
      <t xml:space="preserve"> for alternate work sites.</t>
    </r>
  </si>
  <si>
    <r>
      <t xml:space="preserve">safeguarding measures for CUI are </t>
    </r>
    <r>
      <rPr>
        <b/>
        <sz val="11"/>
        <color rgb="FF000000"/>
        <rFont val="Aptos"/>
        <family val="2"/>
        <scheme val="minor"/>
      </rPr>
      <t>enforced</t>
    </r>
    <r>
      <rPr>
        <sz val="11"/>
        <color indexed="8"/>
        <rFont val="Aptos"/>
        <family val="2"/>
        <scheme val="minor"/>
      </rPr>
      <t xml:space="preserve"> for alternate work sites.</t>
    </r>
  </si>
  <si>
    <t>Examine: [SELECT FROM: Physical and environmental protection policy; procedures addressing alternate work sites for personnel; system security plan; list of safeguards required for alternate work sites; assessments of safeguards at alternate work sites; other relevant documents or records].</t>
  </si>
  <si>
    <t>Interview: [SELECT FROM: Personnel approving use of alternate work sites; personnel using alternate work sites; personnel assessing controls at alternate work sites; personnel with information security responsibilities].</t>
  </si>
  <si>
    <t>Test: [SELECT FROM: Organizational processes for security at alternate work sites; mechanisms supporting alternate work sites; safeguards employed at alternate work sites; means of communications between personnel at alternate work sites and security personnel].</t>
  </si>
  <si>
    <t>Risk Assessments</t>
  </si>
  <si>
    <t>RA.L2-3.11.1</t>
  </si>
  <si>
    <t>Vulnerability Scan</t>
  </si>
  <si>
    <t>RA.L2-3.11.2</t>
  </si>
  <si>
    <t>Vulnerability Remediation</t>
  </si>
  <si>
    <t>RA.L2-3.11.3</t>
  </si>
  <si>
    <t>3.11.1 [a]</t>
  </si>
  <si>
    <t>3.11.1 [b]</t>
  </si>
  <si>
    <r>
      <t xml:space="preserve">the frequency to assess risk to organizational operations, organizational assets, and individuals is </t>
    </r>
    <r>
      <rPr>
        <b/>
        <sz val="11"/>
        <color rgb="FF000000"/>
        <rFont val="Aptos"/>
        <family val="2"/>
        <scheme val="minor"/>
      </rPr>
      <t>defined</t>
    </r>
    <r>
      <rPr>
        <sz val="11"/>
        <color indexed="8"/>
        <rFont val="Aptos"/>
        <family val="2"/>
        <scheme val="minor"/>
      </rPr>
      <t>.</t>
    </r>
  </si>
  <si>
    <r>
      <t xml:space="preserve">risk to organizational operations, organizational assets, and individuals resulting from the operation of an organizational system that processes, stores, or transmits CUI is </t>
    </r>
    <r>
      <rPr>
        <b/>
        <sz val="11"/>
        <color rgb="FF000000"/>
        <rFont val="Aptos"/>
        <family val="2"/>
        <scheme val="minor"/>
      </rPr>
      <t>assessed</t>
    </r>
    <r>
      <rPr>
        <sz val="11"/>
        <color indexed="8"/>
        <rFont val="Aptos"/>
        <family val="2"/>
        <scheme val="minor"/>
      </rPr>
      <t xml:space="preserve"> with the defined frequency.</t>
    </r>
  </si>
  <si>
    <t>Examine: [SELECT FROM: Risk assessment policy; security planning policy and procedures; procedures addressing organizational risk assessments; system security plan; risk assessment; risk assessment results; risk assessment reviews; risk assessment updates; other relevant documents or records].</t>
  </si>
  <si>
    <t>Interview: [SELECT FROM: Personnel with risk assessment responsibilities; personnel with information security responsibilities].</t>
  </si>
  <si>
    <t>Test: [SELECT FROM: Organizational processes for risk assessment; mechanisms supporting or for conducting, documenting, reviewing, disseminating, and updating the risk assessment].</t>
  </si>
  <si>
    <t>3.11.2 [a]</t>
  </si>
  <si>
    <t>3.11.2 [b]</t>
  </si>
  <si>
    <t>3.11.2 [c]</t>
  </si>
  <si>
    <t>3.11.2 [d]</t>
  </si>
  <si>
    <t>3.11.2 [e]</t>
  </si>
  <si>
    <r>
      <t xml:space="preserve">the frequency to scan for vulnerabilities in organizational systems and applications is </t>
    </r>
    <r>
      <rPr>
        <b/>
        <sz val="11"/>
        <color rgb="FF000000"/>
        <rFont val="Aptos"/>
        <family val="2"/>
        <scheme val="minor"/>
      </rPr>
      <t>defined</t>
    </r>
    <r>
      <rPr>
        <sz val="11"/>
        <color indexed="8"/>
        <rFont val="Aptos"/>
        <family val="2"/>
        <scheme val="minor"/>
      </rPr>
      <t>.</t>
    </r>
  </si>
  <si>
    <r>
      <t xml:space="preserve">vulnerability scans are </t>
    </r>
    <r>
      <rPr>
        <b/>
        <sz val="11"/>
        <color rgb="FF000000"/>
        <rFont val="Aptos"/>
        <family val="2"/>
        <scheme val="minor"/>
      </rPr>
      <t>performed</t>
    </r>
    <r>
      <rPr>
        <sz val="11"/>
        <color indexed="8"/>
        <rFont val="Aptos"/>
        <family val="2"/>
        <scheme val="minor"/>
      </rPr>
      <t xml:space="preserve"> on organizational systems with the defined frequency.</t>
    </r>
  </si>
  <si>
    <r>
      <t xml:space="preserve">vulnerability scans are </t>
    </r>
    <r>
      <rPr>
        <b/>
        <sz val="11"/>
        <color rgb="FF000000"/>
        <rFont val="Aptos"/>
        <family val="2"/>
        <scheme val="minor"/>
      </rPr>
      <t>performed</t>
    </r>
    <r>
      <rPr>
        <sz val="11"/>
        <color indexed="8"/>
        <rFont val="Aptos"/>
        <family val="2"/>
        <scheme val="minor"/>
      </rPr>
      <t xml:space="preserve"> on applications with the defined frequency.</t>
    </r>
  </si>
  <si>
    <r>
      <t xml:space="preserve">vulnerability scans are </t>
    </r>
    <r>
      <rPr>
        <b/>
        <sz val="11"/>
        <color rgb="FF000000"/>
        <rFont val="Aptos"/>
        <family val="2"/>
        <scheme val="minor"/>
      </rPr>
      <t>performed</t>
    </r>
    <r>
      <rPr>
        <sz val="11"/>
        <color indexed="8"/>
        <rFont val="Aptos"/>
        <family val="2"/>
        <scheme val="minor"/>
      </rPr>
      <t xml:space="preserve"> on organizational systems </t>
    </r>
    <r>
      <rPr>
        <b/>
        <sz val="11"/>
        <color rgb="FF000000"/>
        <rFont val="Aptos"/>
        <family val="2"/>
        <scheme val="minor"/>
      </rPr>
      <t>when</t>
    </r>
    <r>
      <rPr>
        <sz val="11"/>
        <color indexed="8"/>
        <rFont val="Aptos"/>
        <family val="2"/>
        <scheme val="minor"/>
      </rPr>
      <t xml:space="preserve"> new vulnerabilities are identified.</t>
    </r>
  </si>
  <si>
    <r>
      <t xml:space="preserve">vulnerability scans are </t>
    </r>
    <r>
      <rPr>
        <b/>
        <sz val="11"/>
        <color rgb="FF000000"/>
        <rFont val="Aptos"/>
        <family val="2"/>
        <scheme val="minor"/>
      </rPr>
      <t>performed</t>
    </r>
    <r>
      <rPr>
        <sz val="11"/>
        <color indexed="8"/>
        <rFont val="Aptos"/>
        <family val="2"/>
        <scheme val="minor"/>
      </rPr>
      <t xml:space="preserve"> on applications </t>
    </r>
    <r>
      <rPr>
        <b/>
        <sz val="11"/>
        <color rgb="FF000000"/>
        <rFont val="Aptos"/>
        <family val="2"/>
        <scheme val="minor"/>
      </rPr>
      <t>when</t>
    </r>
    <r>
      <rPr>
        <sz val="11"/>
        <color indexed="8"/>
        <rFont val="Aptos"/>
        <family val="2"/>
        <scheme val="minor"/>
      </rPr>
      <t xml:space="preserve"> new vulnerabilities are identified.</t>
    </r>
  </si>
  <si>
    <t>Examine: [SELECT FROM: Risk assessment policy; procedures addressing vulnerability scanning; risk assessment; system security plan; security assessment report; vulnerability scanning tools and associated configuration documentation; vulnerability scanning results; patch and vulnerability management records; other relevant documents or records].</t>
  </si>
  <si>
    <t>Interview: [SELECT FROM: Personnel with risk assessment, security assessment and vulnerability scanning responsibilities; personnel with vulnerability scan analysis and remediation responsibilities; personnel with information security responsibilities; system or network administrators].</t>
  </si>
  <si>
    <t>Test: [SELECT FROM: Organizational processes for vulnerability scanning, analysis, remediation, and information sharing; mechanisms supporting or implementing vulnerability scanning, analysis, remediation, and information sharing].</t>
  </si>
  <si>
    <t>3.11.3 [a]</t>
  </si>
  <si>
    <t>3.11.3 [b]</t>
  </si>
  <si>
    <r>
      <t xml:space="preserve">vulnerabilities are </t>
    </r>
    <r>
      <rPr>
        <b/>
        <sz val="11"/>
        <color rgb="FF000000"/>
        <rFont val="Aptos"/>
        <family val="2"/>
        <scheme val="minor"/>
      </rPr>
      <t>identified</t>
    </r>
    <r>
      <rPr>
        <sz val="11"/>
        <color indexed="8"/>
        <rFont val="Aptos"/>
        <family val="2"/>
        <scheme val="minor"/>
      </rPr>
      <t>.</t>
    </r>
  </si>
  <si>
    <r>
      <t xml:space="preserve">vulnerabilities are </t>
    </r>
    <r>
      <rPr>
        <b/>
        <sz val="11"/>
        <color rgb="FF000000"/>
        <rFont val="Aptos"/>
        <family val="2"/>
        <scheme val="minor"/>
      </rPr>
      <t>remediated</t>
    </r>
    <r>
      <rPr>
        <sz val="11"/>
        <color indexed="8"/>
        <rFont val="Aptos"/>
        <family val="2"/>
        <scheme val="minor"/>
      </rPr>
      <t xml:space="preserve"> in accordance </t>
    </r>
    <r>
      <rPr>
        <b/>
        <sz val="11"/>
        <color rgb="FF000000"/>
        <rFont val="Aptos"/>
        <family val="2"/>
        <scheme val="minor"/>
      </rPr>
      <t>with</t>
    </r>
    <r>
      <rPr>
        <sz val="11"/>
        <color indexed="8"/>
        <rFont val="Aptos"/>
        <family val="2"/>
        <scheme val="minor"/>
      </rPr>
      <t xml:space="preserve"> risk assessments.</t>
    </r>
  </si>
  <si>
    <t>Interview: [SELECT FROM: Personnel with risk assessment, security assessment and vulnerability scanning responsibilities; personnel with vulnerability scan analysis responsibilities; personnel with vulnerability remediation responsibilities; personnel with information security responsibilities; system or network administrators].</t>
  </si>
  <si>
    <t>SC.L1-3.13.1</t>
  </si>
  <si>
    <t>Security Engineering</t>
  </si>
  <si>
    <t>SC.L2-3.13.2</t>
  </si>
  <si>
    <t>Role Separation</t>
  </si>
  <si>
    <t>Shared Resource Control</t>
  </si>
  <si>
    <t>Public-Access System Separation</t>
  </si>
  <si>
    <t>SC.L1-3.13.5</t>
  </si>
  <si>
    <t>Network Communication by Exception</t>
  </si>
  <si>
    <t>SC.L2-3.13.6</t>
  </si>
  <si>
    <t>Split Tunneling</t>
  </si>
  <si>
    <t>SC.L2-3.13.7</t>
  </si>
  <si>
    <t>Data In Transit</t>
  </si>
  <si>
    <t>SC.L2-3.13.8</t>
  </si>
  <si>
    <t>Connections Termination</t>
  </si>
  <si>
    <t>SC.L2-3.13.9</t>
  </si>
  <si>
    <t>Key Management</t>
  </si>
  <si>
    <t>SC.L2-3.13.10</t>
  </si>
  <si>
    <t>CUI Encryption</t>
  </si>
  <si>
    <t>SC.L2-3.13.11</t>
  </si>
  <si>
    <t>Collaborative Device Control</t>
  </si>
  <si>
    <t>SC.L2-3.13.12</t>
  </si>
  <si>
    <t>SC.L2-3.13.13</t>
  </si>
  <si>
    <t>Voice Over Internet Protocol</t>
  </si>
  <si>
    <t>SC.L2-3.13.14</t>
  </si>
  <si>
    <t>Communications Authenticity</t>
  </si>
  <si>
    <t>SC.L2-3.13.15</t>
  </si>
  <si>
    <t>Data At Rest</t>
  </si>
  <si>
    <t>SC.L2-3.13.16</t>
  </si>
  <si>
    <t>3.13.1 [a]</t>
  </si>
  <si>
    <t>3.13.1 [b]</t>
  </si>
  <si>
    <t>3.13.1 [c]</t>
  </si>
  <si>
    <t>3.13.1 [d]</t>
  </si>
  <si>
    <t>3.13.1 [e]</t>
  </si>
  <si>
    <t>3.13.1 [f]</t>
  </si>
  <si>
    <t>3.13.1 [g]</t>
  </si>
  <si>
    <t>3.13.1 [h]</t>
  </si>
  <si>
    <r>
      <t xml:space="preserve">the external system boundary is </t>
    </r>
    <r>
      <rPr>
        <b/>
        <sz val="11"/>
        <color rgb="FF000000"/>
        <rFont val="Aptos"/>
        <family val="2"/>
        <scheme val="minor"/>
      </rPr>
      <t>defined</t>
    </r>
    <r>
      <rPr>
        <sz val="11"/>
        <color indexed="8"/>
        <rFont val="Aptos"/>
        <family val="2"/>
        <scheme val="minor"/>
      </rPr>
      <t>.</t>
    </r>
  </si>
  <si>
    <r>
      <t xml:space="preserve">key internal system boundaries are </t>
    </r>
    <r>
      <rPr>
        <b/>
        <sz val="11"/>
        <color rgb="FF000000"/>
        <rFont val="Aptos"/>
        <family val="2"/>
        <scheme val="minor"/>
      </rPr>
      <t>defined</t>
    </r>
    <r>
      <rPr>
        <sz val="11"/>
        <color indexed="8"/>
        <rFont val="Aptos"/>
        <family val="2"/>
        <scheme val="minor"/>
      </rPr>
      <t>.</t>
    </r>
  </si>
  <si>
    <r>
      <t xml:space="preserve">communications are </t>
    </r>
    <r>
      <rPr>
        <b/>
        <sz val="11"/>
        <color rgb="FF000000"/>
        <rFont val="Aptos"/>
        <family val="2"/>
        <scheme val="minor"/>
      </rPr>
      <t>monitored</t>
    </r>
    <r>
      <rPr>
        <sz val="11"/>
        <color indexed="8"/>
        <rFont val="Aptos"/>
        <family val="2"/>
        <scheme val="minor"/>
      </rPr>
      <t xml:space="preserve"> at the external system boundary.</t>
    </r>
  </si>
  <si>
    <r>
      <t xml:space="preserve">communications are </t>
    </r>
    <r>
      <rPr>
        <b/>
        <sz val="11"/>
        <color rgb="FF000000"/>
        <rFont val="Aptos"/>
        <family val="2"/>
        <scheme val="minor"/>
      </rPr>
      <t>monitored</t>
    </r>
    <r>
      <rPr>
        <sz val="11"/>
        <color indexed="8"/>
        <rFont val="Aptos"/>
        <family val="2"/>
        <scheme val="minor"/>
      </rPr>
      <t xml:space="preserve"> at key internal boundaries.</t>
    </r>
  </si>
  <si>
    <r>
      <t xml:space="preserve">communications are </t>
    </r>
    <r>
      <rPr>
        <b/>
        <sz val="11"/>
        <color rgb="FF000000"/>
        <rFont val="Aptos"/>
        <family val="2"/>
        <scheme val="minor"/>
      </rPr>
      <t>controlled</t>
    </r>
    <r>
      <rPr>
        <sz val="11"/>
        <color indexed="8"/>
        <rFont val="Aptos"/>
        <family val="2"/>
        <scheme val="minor"/>
      </rPr>
      <t xml:space="preserve"> at the external system boundary.</t>
    </r>
  </si>
  <si>
    <r>
      <t xml:space="preserve">communications are </t>
    </r>
    <r>
      <rPr>
        <b/>
        <sz val="11"/>
        <color rgb="FF000000"/>
        <rFont val="Aptos"/>
        <family val="2"/>
        <scheme val="minor"/>
      </rPr>
      <t>controlled</t>
    </r>
    <r>
      <rPr>
        <sz val="11"/>
        <color indexed="8"/>
        <rFont val="Aptos"/>
        <family val="2"/>
        <scheme val="minor"/>
      </rPr>
      <t xml:space="preserve"> at key internal boundaries.</t>
    </r>
  </si>
  <si>
    <r>
      <t xml:space="preserve">communications are </t>
    </r>
    <r>
      <rPr>
        <b/>
        <sz val="11"/>
        <color rgb="FF000000"/>
        <rFont val="Aptos"/>
        <family val="2"/>
        <scheme val="minor"/>
      </rPr>
      <t>protected</t>
    </r>
    <r>
      <rPr>
        <sz val="11"/>
        <color indexed="8"/>
        <rFont val="Aptos"/>
        <family val="2"/>
        <scheme val="minor"/>
      </rPr>
      <t xml:space="preserve"> at the external system boundary.</t>
    </r>
  </si>
  <si>
    <r>
      <t xml:space="preserve">communications are </t>
    </r>
    <r>
      <rPr>
        <b/>
        <sz val="11"/>
        <color rgb="FF000000"/>
        <rFont val="Aptos"/>
        <family val="2"/>
        <scheme val="minor"/>
      </rPr>
      <t>protected</t>
    </r>
    <r>
      <rPr>
        <sz val="11"/>
        <color indexed="8"/>
        <rFont val="Aptos"/>
        <family val="2"/>
        <scheme val="minor"/>
      </rPr>
      <t xml:space="preserve"> at key internal boundaries.</t>
    </r>
  </si>
  <si>
    <t>Examine: [SELECT FROM: System and communications protection policy; procedures addressing boundary protection; system security plan; list of key internal boundaries of the system; system design documentation; boundary protection hardware and software; enterprise security architecture documentation; system audit logs and records; system configuration settings and associated documentation; other relevant documents or records].</t>
  </si>
  <si>
    <t>Interview: [SELECT FROM: System or network administrators; personnel with information security responsibilities; system developer; personnel with boundary protection responsibilities].</t>
  </si>
  <si>
    <t>Test: [SELECT FROM: Mechanisms implementing boundary protection capability].</t>
  </si>
  <si>
    <t>3.13.2 [a]</t>
  </si>
  <si>
    <t>3.13.2 [b]</t>
  </si>
  <si>
    <t>3.13.2 [c]</t>
  </si>
  <si>
    <t>3.13.2 [d]</t>
  </si>
  <si>
    <t>3.13.2 [e]</t>
  </si>
  <si>
    <t>3.13.2 [f]</t>
  </si>
  <si>
    <r>
      <t xml:space="preserve">architectural designs that promote effective information security are </t>
    </r>
    <r>
      <rPr>
        <b/>
        <sz val="11"/>
        <color rgb="FF000000"/>
        <rFont val="Aptos"/>
        <family val="2"/>
        <scheme val="minor"/>
      </rPr>
      <t>identified</t>
    </r>
    <r>
      <rPr>
        <sz val="11"/>
        <color indexed="8"/>
        <rFont val="Aptos"/>
        <family val="2"/>
        <scheme val="minor"/>
      </rPr>
      <t>.</t>
    </r>
  </si>
  <si>
    <r>
      <t xml:space="preserve">software development techniques that promote effective information security are </t>
    </r>
    <r>
      <rPr>
        <b/>
        <sz val="11"/>
        <color rgb="FF000000"/>
        <rFont val="Aptos"/>
        <family val="2"/>
        <scheme val="minor"/>
      </rPr>
      <t>identified</t>
    </r>
    <r>
      <rPr>
        <sz val="11"/>
        <color indexed="8"/>
        <rFont val="Aptos"/>
        <family val="2"/>
        <scheme val="minor"/>
      </rPr>
      <t>.</t>
    </r>
  </si>
  <si>
    <r>
      <t xml:space="preserve">systems engineering principles that promote effective information security are </t>
    </r>
    <r>
      <rPr>
        <b/>
        <sz val="11"/>
        <color rgb="FF000000"/>
        <rFont val="Aptos"/>
        <family val="2"/>
        <scheme val="minor"/>
      </rPr>
      <t>identified</t>
    </r>
    <r>
      <rPr>
        <sz val="11"/>
        <color indexed="8"/>
        <rFont val="Aptos"/>
        <family val="2"/>
        <scheme val="minor"/>
      </rPr>
      <t>.</t>
    </r>
  </si>
  <si>
    <r>
      <t xml:space="preserve">identified architectural designs that promote effective information security are </t>
    </r>
    <r>
      <rPr>
        <b/>
        <sz val="11"/>
        <color rgb="FF000000"/>
        <rFont val="Aptos"/>
        <family val="2"/>
        <scheme val="minor"/>
      </rPr>
      <t>employed</t>
    </r>
    <r>
      <rPr>
        <sz val="11"/>
        <color indexed="8"/>
        <rFont val="Aptos"/>
        <family val="2"/>
        <scheme val="minor"/>
      </rPr>
      <t>.</t>
    </r>
  </si>
  <si>
    <r>
      <t xml:space="preserve">identified software development techniques that promote effective information security are </t>
    </r>
    <r>
      <rPr>
        <b/>
        <sz val="11"/>
        <color rgb="FF000000"/>
        <rFont val="Aptos"/>
        <family val="2"/>
        <scheme val="minor"/>
      </rPr>
      <t>employed</t>
    </r>
    <r>
      <rPr>
        <sz val="11"/>
        <color indexed="8"/>
        <rFont val="Aptos"/>
        <family val="2"/>
        <scheme val="minor"/>
      </rPr>
      <t>.</t>
    </r>
  </si>
  <si>
    <r>
      <t xml:space="preserve">identified systems engineering principles that promote effective information security are </t>
    </r>
    <r>
      <rPr>
        <b/>
        <sz val="11"/>
        <color rgb="FF000000"/>
        <rFont val="Aptos"/>
        <family val="2"/>
        <scheme val="minor"/>
      </rPr>
      <t>employed</t>
    </r>
    <r>
      <rPr>
        <sz val="11"/>
        <color indexed="8"/>
        <rFont val="Aptos"/>
        <family val="2"/>
        <scheme val="minor"/>
      </rPr>
      <t>.</t>
    </r>
  </si>
  <si>
    <t>Examine: [SELECT FROM: Security planning policy; procedures addressing system security plan development and implementation; procedures addressing system security plan reviews and updates; enterprise architecture documentation; system security plan; records of system security plan reviews and updates; system and communications protection policy; procedures addressing security engineering principles used in the specification, design, development, implementation, and modification of the system; security architecture documentation; security requirements and specifications for the system; system design documentation; system configuration settings and associated documentation; other relevant documents or records].</t>
  </si>
  <si>
    <t>Interview: [SELECT FROM: Personnel with responsibility for determining information system security requirements; personnel with information system design, development, implementation, and modification responsibilities; personnel with security planning and system security plan implementation responsibilities; personnel with information security responsibilities].</t>
  </si>
  <si>
    <t>Test: [SELECT FROM: Organizational processes for system security plan development, review, update, and approval; mechanisms supporting the system security plan; processes for applying security engineering principles in system specification, design, development, implementation, and modification; automated mechanisms supporting the application of security engineering principles in information system specification, design, development, implementation, and modification].</t>
  </si>
  <si>
    <t>SC.L2-3.13.3</t>
  </si>
  <si>
    <t>3.13.3 [a]</t>
  </si>
  <si>
    <t>3.13.3 [b]</t>
  </si>
  <si>
    <t>3.13.3 [c]</t>
  </si>
  <si>
    <r>
      <t xml:space="preserve">user functionality is </t>
    </r>
    <r>
      <rPr>
        <b/>
        <sz val="11"/>
        <color rgb="FF000000"/>
        <rFont val="Aptos"/>
        <family val="2"/>
        <scheme val="minor"/>
      </rPr>
      <t>identified</t>
    </r>
    <r>
      <rPr>
        <sz val="11"/>
        <color indexed="8"/>
        <rFont val="Aptos"/>
        <family val="2"/>
        <scheme val="minor"/>
      </rPr>
      <t>.</t>
    </r>
  </si>
  <si>
    <r>
      <t xml:space="preserve">system management functionality is </t>
    </r>
    <r>
      <rPr>
        <b/>
        <sz val="11"/>
        <color rgb="FF000000"/>
        <rFont val="Aptos"/>
        <family val="2"/>
        <scheme val="minor"/>
      </rPr>
      <t>identified</t>
    </r>
    <r>
      <rPr>
        <sz val="11"/>
        <color indexed="8"/>
        <rFont val="Aptos"/>
        <family val="2"/>
        <scheme val="minor"/>
      </rPr>
      <t>.</t>
    </r>
  </si>
  <si>
    <r>
      <t xml:space="preserve">user functionality is </t>
    </r>
    <r>
      <rPr>
        <b/>
        <sz val="11"/>
        <color rgb="FF000000"/>
        <rFont val="Aptos"/>
        <family val="2"/>
        <scheme val="minor"/>
      </rPr>
      <t>separated</t>
    </r>
    <r>
      <rPr>
        <sz val="11"/>
        <color indexed="8"/>
        <rFont val="Aptos"/>
        <family val="2"/>
        <scheme val="minor"/>
      </rPr>
      <t xml:space="preserve"> from system management functionality.</t>
    </r>
  </si>
  <si>
    <t>Examine: [SELECT FROM: System and communications protection policy; procedures addressing application partitioning; system design documentation; system configuration settings and associated documentation; system security plan; system audit logs and records; other relevant documents or records].</t>
  </si>
  <si>
    <t>Interview: [SELECT FROM: System or network administrators; personnel with information security responsibilities; system developer].</t>
  </si>
  <si>
    <t>Test: [SELECT FROM: Separation of user functionality from system management functionality].</t>
  </si>
  <si>
    <t>3.13.4 [a]</t>
  </si>
  <si>
    <r>
      <t xml:space="preserve">unauthorized and unintended information transfer via shared system resources is </t>
    </r>
    <r>
      <rPr>
        <b/>
        <sz val="11"/>
        <color rgb="FF000000"/>
        <rFont val="Aptos"/>
        <family val="2"/>
        <scheme val="minor"/>
      </rPr>
      <t>prevented</t>
    </r>
    <r>
      <rPr>
        <sz val="11"/>
        <color indexed="8"/>
        <rFont val="Aptos"/>
        <family val="2"/>
        <scheme val="minor"/>
      </rPr>
      <t>.</t>
    </r>
  </si>
  <si>
    <t>Examine: [SELECT FROM: System and communications protection policy; procedures addressing application partitioning; system security plan; system design documentation; system configuration settings and associated documentation; system audit logs and records; other relevant documents or records].</t>
  </si>
  <si>
    <t>3.13.5 [a]</t>
  </si>
  <si>
    <t>3.13.5 [b]</t>
  </si>
  <si>
    <r>
      <t xml:space="preserve">publicly accessible system components are </t>
    </r>
    <r>
      <rPr>
        <b/>
        <sz val="11"/>
        <color rgb="FF000000"/>
        <rFont val="Aptos"/>
        <family val="2"/>
        <scheme val="minor"/>
      </rPr>
      <t>identified</t>
    </r>
    <r>
      <rPr>
        <sz val="11"/>
        <color indexed="8"/>
        <rFont val="Aptos"/>
        <family val="2"/>
        <scheme val="minor"/>
      </rPr>
      <t>.</t>
    </r>
  </si>
  <si>
    <r>
      <t xml:space="preserve">subnetworks for publicly accessible system components are physically or logically </t>
    </r>
    <r>
      <rPr>
        <b/>
        <sz val="11"/>
        <color rgb="FF000000"/>
        <rFont val="Aptos"/>
        <family val="2"/>
        <scheme val="minor"/>
      </rPr>
      <t>separated</t>
    </r>
    <r>
      <rPr>
        <sz val="11"/>
        <color indexed="8"/>
        <rFont val="Aptos"/>
        <family val="2"/>
        <scheme val="minor"/>
      </rPr>
      <t xml:space="preserve"> from internal networks.</t>
    </r>
  </si>
  <si>
    <t>Examine: [SELECT FROM: System and communications protection policy; procedures addressing boundary protection; system security plan; list of key internal boundaries of the system; system design documentation; boundary protection hardware and software; system configuration settings and associated documentation; enterprise security architecture documentation; system audit logs and records; other relevant documents or records].</t>
  </si>
  <si>
    <t>SC.L2-3.13.4</t>
  </si>
  <si>
    <t>SC.L1-3.13.6</t>
  </si>
  <si>
    <t>3.13.6 [a]</t>
  </si>
  <si>
    <t>3.13.6 [b]</t>
  </si>
  <si>
    <r>
      <t xml:space="preserve">network communications traffic is </t>
    </r>
    <r>
      <rPr>
        <b/>
        <sz val="11"/>
        <color rgb="FF000000"/>
        <rFont val="Aptos"/>
        <family val="2"/>
        <scheme val="minor"/>
      </rPr>
      <t>denied</t>
    </r>
    <r>
      <rPr>
        <sz val="11"/>
        <color indexed="8"/>
        <rFont val="Aptos"/>
        <family val="2"/>
        <scheme val="minor"/>
      </rPr>
      <t xml:space="preserve"> by </t>
    </r>
    <r>
      <rPr>
        <b/>
        <sz val="11"/>
        <color rgb="FF000000"/>
        <rFont val="Aptos"/>
        <family val="2"/>
        <scheme val="minor"/>
      </rPr>
      <t>default</t>
    </r>
    <r>
      <rPr>
        <sz val="11"/>
        <color indexed="8"/>
        <rFont val="Aptos"/>
        <family val="2"/>
        <scheme val="minor"/>
      </rPr>
      <t>.</t>
    </r>
  </si>
  <si>
    <r>
      <t xml:space="preserve">network communications traffic is </t>
    </r>
    <r>
      <rPr>
        <b/>
        <sz val="11"/>
        <color rgb="FF000000"/>
        <rFont val="Aptos"/>
        <family val="2"/>
        <scheme val="minor"/>
      </rPr>
      <t>allowed</t>
    </r>
    <r>
      <rPr>
        <sz val="11"/>
        <color indexed="8"/>
        <rFont val="Aptos"/>
        <family val="2"/>
        <scheme val="minor"/>
      </rPr>
      <t xml:space="preserve"> by </t>
    </r>
    <r>
      <rPr>
        <b/>
        <sz val="11"/>
        <color rgb="FF000000"/>
        <rFont val="Aptos"/>
        <family val="2"/>
        <scheme val="minor"/>
      </rPr>
      <t>exception</t>
    </r>
    <r>
      <rPr>
        <sz val="11"/>
        <color indexed="8"/>
        <rFont val="Aptos"/>
        <family val="2"/>
        <scheme val="minor"/>
      </rPr>
      <t>.</t>
    </r>
  </si>
  <si>
    <t>Examine: [SELECT FROM: System and communications protection policy; procedures addressing boundary protection; system security plan; system design documentation; system configuration settings and associated documentation; system audit logs and records; other relevant documents or records].</t>
  </si>
  <si>
    <t>Test: [SELECT FROM: Mechanisms implementing traffic management at managed interfaces].</t>
  </si>
  <si>
    <t>3.13.7 [a]</t>
  </si>
  <si>
    <r>
      <t xml:space="preserve">remote devices are </t>
    </r>
    <r>
      <rPr>
        <b/>
        <sz val="11"/>
        <color rgb="FF000000"/>
        <rFont val="Aptos"/>
        <family val="2"/>
        <scheme val="minor"/>
      </rPr>
      <t>prevented</t>
    </r>
    <r>
      <rPr>
        <sz val="11"/>
        <color indexed="8"/>
        <rFont val="Aptos"/>
        <family val="2"/>
        <scheme val="minor"/>
      </rPr>
      <t xml:space="preserve"> from simultaneously establishing non-remote connections with the system and communicating via some other connection to resources in external networks (i.e., split tunneling).</t>
    </r>
  </si>
  <si>
    <t>Examine: [SELECT FROM: System and communications protection policy; procedures addressing boundary protection; system security plan; system design documentation; system hardware and software; system architecture; system configuration settings and associated documentation; system audit logs and records; other relevant documents or records].</t>
  </si>
  <si>
    <t>Test: [SELECT FROM: Mechanisms implementing boundary protection capability; mechanisms supporting or restricting non-remote connections].</t>
  </si>
  <si>
    <t>3.13.8 [a]</t>
  </si>
  <si>
    <t>3.13.8 [b]</t>
  </si>
  <si>
    <t>3.13.8 [c]</t>
  </si>
  <si>
    <r>
      <t xml:space="preserve">cryptographic mechanisms intended to prevent unauthorized disclosure of CUI are </t>
    </r>
    <r>
      <rPr>
        <b/>
        <sz val="11"/>
        <color rgb="FF000000"/>
        <rFont val="Aptos"/>
        <family val="2"/>
        <scheme val="minor"/>
      </rPr>
      <t>identified</t>
    </r>
    <r>
      <rPr>
        <sz val="11"/>
        <color indexed="8"/>
        <rFont val="Aptos"/>
        <family val="2"/>
        <scheme val="minor"/>
      </rPr>
      <t>.</t>
    </r>
  </si>
  <si>
    <r>
      <t xml:space="preserve">alternative physical safeguards intended to prevent unauthorized disclosure of CUI are </t>
    </r>
    <r>
      <rPr>
        <b/>
        <sz val="11"/>
        <color rgb="FF000000"/>
        <rFont val="Aptos"/>
        <family val="2"/>
        <scheme val="minor"/>
      </rPr>
      <t>identified</t>
    </r>
    <r>
      <rPr>
        <sz val="11"/>
        <color indexed="8"/>
        <rFont val="Aptos"/>
        <family val="2"/>
        <scheme val="minor"/>
      </rPr>
      <t>.</t>
    </r>
  </si>
  <si>
    <r>
      <t xml:space="preserve">either cryptographic mechanisms </t>
    </r>
    <r>
      <rPr>
        <b/>
        <sz val="11"/>
        <color rgb="FF000000"/>
        <rFont val="Aptos"/>
        <family val="2"/>
        <scheme val="minor"/>
      </rPr>
      <t>or</t>
    </r>
    <r>
      <rPr>
        <sz val="11"/>
        <color indexed="8"/>
        <rFont val="Aptos"/>
        <family val="2"/>
        <scheme val="minor"/>
      </rPr>
      <t xml:space="preserve"> alternative physical safeguards are </t>
    </r>
    <r>
      <rPr>
        <b/>
        <sz val="11"/>
        <color rgb="FF000000"/>
        <rFont val="Aptos"/>
        <family val="2"/>
        <scheme val="minor"/>
      </rPr>
      <t>implemented</t>
    </r>
    <r>
      <rPr>
        <sz val="11"/>
        <color indexed="8"/>
        <rFont val="Aptos"/>
        <family val="2"/>
        <scheme val="minor"/>
      </rPr>
      <t xml:space="preserve"> to prevent unauthorized disclosure of CUI during transmission.</t>
    </r>
  </si>
  <si>
    <t>Examine: [SELECT FROM: System and communications protection policy; procedures addressing transmission confidentiality and integrity; system security plan; system design documentation; system configuration settings and associated documentation; system audit logs and records; other relevant documents or records].</t>
  </si>
  <si>
    <t>Test: [SELECT FROM: Cryptographic mechanisms or mechanisms supporting or implementing transmission confidentiality; organizational processes for defining and implementing alternative physical safeguards].</t>
  </si>
  <si>
    <t>3.13.9 [a]</t>
  </si>
  <si>
    <t>3.13.9 [b]</t>
  </si>
  <si>
    <t>3.13.9 [c]</t>
  </si>
  <si>
    <r>
      <t xml:space="preserve">a period of inactivity to terminate network connections associated with communications sessions is </t>
    </r>
    <r>
      <rPr>
        <b/>
        <sz val="11"/>
        <color rgb="FF000000"/>
        <rFont val="Aptos"/>
        <family val="2"/>
        <scheme val="minor"/>
      </rPr>
      <t>defined</t>
    </r>
    <r>
      <rPr>
        <sz val="11"/>
        <color indexed="8"/>
        <rFont val="Aptos"/>
        <family val="2"/>
        <scheme val="minor"/>
      </rPr>
      <t>.</t>
    </r>
  </si>
  <si>
    <r>
      <t xml:space="preserve">network connections associated with communications sessions are </t>
    </r>
    <r>
      <rPr>
        <b/>
        <sz val="11"/>
        <color rgb="FF000000"/>
        <rFont val="Aptos"/>
        <family val="2"/>
        <scheme val="minor"/>
      </rPr>
      <t>terminated at</t>
    </r>
    <r>
      <rPr>
        <sz val="11"/>
        <color indexed="8"/>
        <rFont val="Aptos"/>
        <family val="2"/>
        <scheme val="minor"/>
      </rPr>
      <t xml:space="preserve"> the end of the sessions.</t>
    </r>
  </si>
  <si>
    <r>
      <t xml:space="preserve">network connections associated with communications sessions are </t>
    </r>
    <r>
      <rPr>
        <b/>
        <sz val="11"/>
        <color rgb="FF000000"/>
        <rFont val="Aptos"/>
        <family val="2"/>
        <scheme val="minor"/>
      </rPr>
      <t>terminated after</t>
    </r>
    <r>
      <rPr>
        <sz val="11"/>
        <color indexed="8"/>
        <rFont val="Aptos"/>
        <family val="2"/>
        <scheme val="minor"/>
      </rPr>
      <t xml:space="preserve"> the defined period of inactivity.</t>
    </r>
  </si>
  <si>
    <t>Examine: [SELECT FROM: System and communications protection policy; procedures addressing network disconnect; system design documentation; system security plan; system configuration settings and associated documentation; system audit logs and records; other relevant documents or records].</t>
  </si>
  <si>
    <t>Test: [SELECT FROM: Mechanisms supporting or implementing network disconnect capability].</t>
  </si>
  <si>
    <t>3.13.10 [a]</t>
  </si>
  <si>
    <t>3.13.10 [b]</t>
  </si>
  <si>
    <r>
      <t xml:space="preserve">cryptographic keys are </t>
    </r>
    <r>
      <rPr>
        <b/>
        <sz val="11"/>
        <color rgb="FF000000"/>
        <rFont val="Aptos"/>
        <family val="2"/>
        <scheme val="minor"/>
      </rPr>
      <t>managed</t>
    </r>
    <r>
      <rPr>
        <sz val="11"/>
        <color indexed="8"/>
        <rFont val="Aptos"/>
        <family val="2"/>
        <scheme val="minor"/>
      </rPr>
      <t xml:space="preserve"> whenever cryptography is employed.</t>
    </r>
  </si>
  <si>
    <r>
      <t xml:space="preserve">cryptographic keys are </t>
    </r>
    <r>
      <rPr>
        <b/>
        <sz val="11"/>
        <color rgb="FF000000"/>
        <rFont val="Aptos"/>
        <family val="2"/>
        <scheme val="minor"/>
      </rPr>
      <t>established</t>
    </r>
    <r>
      <rPr>
        <sz val="11"/>
        <color indexed="8"/>
        <rFont val="Aptos"/>
        <family val="2"/>
        <scheme val="minor"/>
      </rPr>
      <t xml:space="preserve"> whenever cryptography is </t>
    </r>
    <r>
      <rPr>
        <sz val="11"/>
        <color rgb="FF000000"/>
        <rFont val="Aptos"/>
        <family val="2"/>
        <scheme val="minor"/>
      </rPr>
      <t>employed</t>
    </r>
    <r>
      <rPr>
        <sz val="11"/>
        <color indexed="8"/>
        <rFont val="Aptos"/>
        <family val="2"/>
        <scheme val="minor"/>
      </rPr>
      <t>.</t>
    </r>
  </si>
  <si>
    <r>
      <t xml:space="preserve">FIPS-validated cryptography is </t>
    </r>
    <r>
      <rPr>
        <b/>
        <sz val="11"/>
        <color rgb="FF000000"/>
        <rFont val="Aptos"/>
        <family val="2"/>
        <scheme val="minor"/>
      </rPr>
      <t>employed</t>
    </r>
    <r>
      <rPr>
        <sz val="11"/>
        <color indexed="8"/>
        <rFont val="Aptos"/>
        <family val="2"/>
        <scheme val="minor"/>
      </rPr>
      <t xml:space="preserve"> to protect the confidentiality of CUI.</t>
    </r>
  </si>
  <si>
    <t>3.13.11 [a]</t>
  </si>
  <si>
    <t>Examine: [SELECT FROM: System and communications protection policy; procedures addressing cryptographic key establishment and management; system security plan; system design documentation; cryptographic mechanisms; system configuration settings and associated documentation; system audit logs and records; other relevant documents or records].</t>
  </si>
  <si>
    <t>Interview: [SELECT FROM: System or network administrators; personnel with information security responsibilities; personnel with responsibilities for cryptographic key establishment and management].</t>
  </si>
  <si>
    <t>Test: [SELECT FROM: Mechanisms supporting or implementing cryptographic key establishment and management].</t>
  </si>
  <si>
    <t>Examine: [SELECT FROM: System and communications protection policy; procedures addressing cryptographic protection; system security plan; system design documentation; system configuration settings and associated documentation; cryptographic module validation certificates; list of FIPS-validated cryptographic modules; system audit logs and records; other relevant documents or records].</t>
  </si>
  <si>
    <t>Interview: [SELECT FROM: System or network administrators; personnel with information security responsibilities; system developer; personnel with responsibilities for cryptographic protection].</t>
  </si>
  <si>
    <t>Test: [SELECT FROM: Mechanisms supporting or implementing cryptographic protection].</t>
  </si>
  <si>
    <t>3.13.12 [a]</t>
  </si>
  <si>
    <t>3.13.12 [b]</t>
  </si>
  <si>
    <t>3.13.12 [c]</t>
  </si>
  <si>
    <r>
      <t xml:space="preserve">collaborative computing devices are </t>
    </r>
    <r>
      <rPr>
        <b/>
        <sz val="11"/>
        <color rgb="FF000000"/>
        <rFont val="Aptos"/>
        <family val="2"/>
        <scheme val="minor"/>
      </rPr>
      <t>identified</t>
    </r>
    <r>
      <rPr>
        <sz val="11"/>
        <color indexed="8"/>
        <rFont val="Aptos"/>
        <family val="2"/>
        <scheme val="minor"/>
      </rPr>
      <t>.</t>
    </r>
  </si>
  <si>
    <r>
      <t xml:space="preserve">collaborative computing devices </t>
    </r>
    <r>
      <rPr>
        <b/>
        <sz val="11"/>
        <color rgb="FF000000"/>
        <rFont val="Aptos"/>
        <family val="2"/>
        <scheme val="minor"/>
      </rPr>
      <t>provide</t>
    </r>
    <r>
      <rPr>
        <sz val="11"/>
        <color indexed="8"/>
        <rFont val="Aptos"/>
        <family val="2"/>
        <scheme val="minor"/>
      </rPr>
      <t xml:space="preserve"> indication to users of devices in use.</t>
    </r>
  </si>
  <si>
    <r>
      <t xml:space="preserve">remote activation of collaborative computing devices is </t>
    </r>
    <r>
      <rPr>
        <b/>
        <sz val="11"/>
        <color rgb="FF000000"/>
        <rFont val="Aptos"/>
        <family val="2"/>
        <scheme val="minor"/>
      </rPr>
      <t>prohibited</t>
    </r>
    <r>
      <rPr>
        <sz val="11"/>
        <color indexed="8"/>
        <rFont val="Aptos"/>
        <family val="2"/>
        <scheme val="minor"/>
      </rPr>
      <t>.</t>
    </r>
  </si>
  <si>
    <t>Examine: [SELECT FROM: System and communications protection policy; procedures addressing collaborative computing; access control policy and procedures; system security plan; system design documentation; system audit logs and records; system configuration settings and associated documentation; other relevant documents or records].</t>
  </si>
  <si>
    <t>Interview: [SELECT FROM: System or network administrators; personnel with information security responsibilities; system developer; personnel with responsibilities for managing collaborative computing devices].</t>
  </si>
  <si>
    <t>Test: [SELECT FROM: Mechanisms supporting or implementing management of remote activation of collaborative computing devices; mechanisms providing an indication of use of collaborative computing devices].</t>
  </si>
  <si>
    <t>3.13.13 [a]</t>
  </si>
  <si>
    <t>3.13.13 [b]</t>
  </si>
  <si>
    <r>
      <t xml:space="preserve">use of mobile code is </t>
    </r>
    <r>
      <rPr>
        <b/>
        <sz val="11"/>
        <color rgb="FF000000"/>
        <rFont val="Aptos"/>
        <family val="2"/>
        <scheme val="minor"/>
      </rPr>
      <t>controlled</t>
    </r>
    <r>
      <rPr>
        <sz val="11"/>
        <color indexed="8"/>
        <rFont val="Aptos"/>
        <family val="2"/>
        <scheme val="minor"/>
      </rPr>
      <t>.</t>
    </r>
  </si>
  <si>
    <r>
      <t xml:space="preserve">use of mobile code is </t>
    </r>
    <r>
      <rPr>
        <b/>
        <sz val="11"/>
        <color rgb="FF000000"/>
        <rFont val="Aptos"/>
        <family val="2"/>
        <scheme val="minor"/>
      </rPr>
      <t>monitored</t>
    </r>
    <r>
      <rPr>
        <sz val="11"/>
        <color indexed="8"/>
        <rFont val="Aptos"/>
        <family val="2"/>
        <scheme val="minor"/>
      </rPr>
      <t>.</t>
    </r>
  </si>
  <si>
    <t>Examine: [SELECT FROM: System and communications protection policy; procedures addressing mobile code; mobile code usage restrictions, mobile code implementation policy and procedures; system audit logs and records; system security plan; list of acceptable mobile code and mobile code technologies; list of unacceptable mobile code and mobile technologies; authorization records; system monitoring records; system audit logs and records; other relevant documents or records].</t>
  </si>
  <si>
    <t>Interview: [SELECT FROM: System or network administrators; personnel with information security responsibilities; personnel with responsibilities for managing mobile code].</t>
  </si>
  <si>
    <t>Test: [SELECT FROM: Organizational process for controlling, authorizing, monitoring, and restricting mobile code; mechanisms supporting or implementing the management of mobile code; mechanisms supporting or implementing the monitoring of mobile code].</t>
  </si>
  <si>
    <t>3.13.14 [a]</t>
  </si>
  <si>
    <t>3.13.14 [b]</t>
  </si>
  <si>
    <r>
      <t xml:space="preserve">use of Voice over Internet Protocol (VoIP) technologies is </t>
    </r>
    <r>
      <rPr>
        <b/>
        <sz val="11"/>
        <color rgb="FF000000"/>
        <rFont val="Aptos"/>
        <family val="2"/>
        <scheme val="minor"/>
      </rPr>
      <t>controlled</t>
    </r>
    <r>
      <rPr>
        <sz val="11"/>
        <color indexed="8"/>
        <rFont val="Aptos"/>
        <family val="2"/>
        <scheme val="minor"/>
      </rPr>
      <t>.</t>
    </r>
  </si>
  <si>
    <r>
      <t xml:space="preserve">use of Voice over Internet Protocol (VoIP) technologies is </t>
    </r>
    <r>
      <rPr>
        <b/>
        <sz val="11"/>
        <color rgb="FF000000"/>
        <rFont val="Aptos"/>
        <family val="2"/>
        <scheme val="minor"/>
      </rPr>
      <t>monitored</t>
    </r>
    <r>
      <rPr>
        <sz val="11"/>
        <color indexed="8"/>
        <rFont val="Aptos"/>
        <family val="2"/>
        <scheme val="minor"/>
      </rPr>
      <t>.</t>
    </r>
  </si>
  <si>
    <t>Examine: [SELECT FROM: System and communications protection policy; procedures addressing VoIP; VoIP usage restrictions; VoIP implementation guidance; system security plan; system design documentation; system audit logs and records; system configuration settings and associated documentation; system monitoring records; other relevant documents or records].</t>
  </si>
  <si>
    <t>Interview: [SELECT FROM: System or network administrators; personnel with information security responsibilities; personnel with responsibilities for managing VoIP].</t>
  </si>
  <si>
    <t>Test: [SELECT FROM: Organizational process for authorizing, monitoring, and controlling VoIP; mechanisms supporting or implementing authorizing, monitoring, and controlling VoIP].</t>
  </si>
  <si>
    <t>3.13.15 [a]</t>
  </si>
  <si>
    <r>
      <t xml:space="preserve">the authenticity of communications sessions is </t>
    </r>
    <r>
      <rPr>
        <b/>
        <sz val="11"/>
        <color rgb="FF000000"/>
        <rFont val="Aptos"/>
        <family val="2"/>
        <scheme val="minor"/>
      </rPr>
      <t>protected</t>
    </r>
    <r>
      <rPr>
        <sz val="11"/>
        <color indexed="8"/>
        <rFont val="Aptos"/>
        <family val="2"/>
        <scheme val="minor"/>
      </rPr>
      <t>.</t>
    </r>
  </si>
  <si>
    <t>Examine: [SELECT FROM: System and communications protection policy; procedures addressing session authenticity; system security plan; system design documentation; system configuration settings and associated documentation; system audit logs and records; other relevant documents or records].</t>
  </si>
  <si>
    <t>Test: [SELECT FROM: Mechanisms supporting or implementing session authenticity].</t>
  </si>
  <si>
    <r>
      <t xml:space="preserve">the confidentiality of CUI at rest is </t>
    </r>
    <r>
      <rPr>
        <b/>
        <sz val="11"/>
        <color rgb="FF000000"/>
        <rFont val="Aptos"/>
        <family val="2"/>
        <scheme val="minor"/>
      </rPr>
      <t>protected</t>
    </r>
    <r>
      <rPr>
        <sz val="11"/>
        <color indexed="8"/>
        <rFont val="Aptos"/>
        <family val="2"/>
        <scheme val="minor"/>
      </rPr>
      <t>.</t>
    </r>
  </si>
  <si>
    <t>3.13.16 [a]</t>
  </si>
  <si>
    <t>Examine: [SELECT FROM: System and communications protection policy; procedures addressing protection of information at rest; system security plan; system design documentation; list of information at rest requiring confidentiality protections; system configuration settings and associated documentation; cryptographic mechanisms and associated configuration documentation; other relevant documents or records].</t>
  </si>
  <si>
    <t>Test: [SELECT FROM: Mechanisms supporting or implementing confidentiality protections for information at rest].</t>
  </si>
  <si>
    <t>SI.L1-3.14.1</t>
  </si>
  <si>
    <t>SI.L1-3.14.2</t>
  </si>
  <si>
    <t>Security Alerts &amp; Advisories</t>
  </si>
  <si>
    <t>SI.L2-3.14.3</t>
  </si>
  <si>
    <t>Update Malicious Code Protection</t>
  </si>
  <si>
    <t>SI.L1-3.14.4</t>
  </si>
  <si>
    <t>System &amp; File Scanning</t>
  </si>
  <si>
    <t>SI.L1-3.14.5</t>
  </si>
  <si>
    <t>Monitor Communications for Attacks</t>
  </si>
  <si>
    <t>SI.L2-3.14.6</t>
  </si>
  <si>
    <t>Identify Unauthorized Use</t>
  </si>
  <si>
    <t>SI.L2-3.14.7</t>
  </si>
  <si>
    <t>3.14.1 [a]</t>
  </si>
  <si>
    <t>3.14.1 [b]</t>
  </si>
  <si>
    <t>3.14.1 [c]</t>
  </si>
  <si>
    <t>3.14.1 [d]</t>
  </si>
  <si>
    <t>3.14.1 [e]</t>
  </si>
  <si>
    <t>3.14.1 [f]</t>
  </si>
  <si>
    <r>
      <t xml:space="preserve">the time within which to identify system flaws is </t>
    </r>
    <r>
      <rPr>
        <b/>
        <sz val="11"/>
        <color rgb="FF000000"/>
        <rFont val="Aptos"/>
        <family val="2"/>
        <scheme val="minor"/>
      </rPr>
      <t>specified</t>
    </r>
    <r>
      <rPr>
        <sz val="11"/>
        <color indexed="8"/>
        <rFont val="Aptos"/>
        <family val="2"/>
        <scheme val="minor"/>
      </rPr>
      <t>.</t>
    </r>
  </si>
  <si>
    <r>
      <t xml:space="preserve">system flaws are </t>
    </r>
    <r>
      <rPr>
        <b/>
        <sz val="11"/>
        <color rgb="FF000000"/>
        <rFont val="Aptos"/>
        <family val="2"/>
        <scheme val="minor"/>
      </rPr>
      <t>identified</t>
    </r>
    <r>
      <rPr>
        <sz val="11"/>
        <color indexed="8"/>
        <rFont val="Aptos"/>
        <family val="2"/>
        <scheme val="minor"/>
      </rPr>
      <t xml:space="preserve"> within the </t>
    </r>
    <r>
      <rPr>
        <b/>
        <sz val="11"/>
        <color rgb="FF000000"/>
        <rFont val="Aptos"/>
        <family val="2"/>
        <scheme val="minor"/>
      </rPr>
      <t>specified</t>
    </r>
    <r>
      <rPr>
        <sz val="11"/>
        <color indexed="8"/>
        <rFont val="Aptos"/>
        <family val="2"/>
        <scheme val="minor"/>
      </rPr>
      <t xml:space="preserve"> time frame.</t>
    </r>
  </si>
  <si>
    <r>
      <t xml:space="preserve">the time within which to report system flaws is </t>
    </r>
    <r>
      <rPr>
        <b/>
        <sz val="11"/>
        <color rgb="FF000000"/>
        <rFont val="Aptos"/>
        <family val="2"/>
        <scheme val="minor"/>
      </rPr>
      <t>specified</t>
    </r>
    <r>
      <rPr>
        <sz val="11"/>
        <color indexed="8"/>
        <rFont val="Aptos"/>
        <family val="2"/>
        <scheme val="minor"/>
      </rPr>
      <t>.</t>
    </r>
  </si>
  <si>
    <r>
      <t xml:space="preserve">system flaws are </t>
    </r>
    <r>
      <rPr>
        <b/>
        <sz val="11"/>
        <color rgb="FF000000"/>
        <rFont val="Aptos"/>
        <family val="2"/>
        <scheme val="minor"/>
      </rPr>
      <t>reported</t>
    </r>
    <r>
      <rPr>
        <sz val="11"/>
        <color indexed="8"/>
        <rFont val="Aptos"/>
        <family val="2"/>
        <scheme val="minor"/>
      </rPr>
      <t xml:space="preserve"> within the </t>
    </r>
    <r>
      <rPr>
        <b/>
        <sz val="11"/>
        <color rgb="FF000000"/>
        <rFont val="Aptos"/>
        <family val="2"/>
        <scheme val="minor"/>
      </rPr>
      <t>specified</t>
    </r>
    <r>
      <rPr>
        <sz val="11"/>
        <color indexed="8"/>
        <rFont val="Aptos"/>
        <family val="2"/>
        <scheme val="minor"/>
      </rPr>
      <t xml:space="preserve"> time frame.</t>
    </r>
  </si>
  <si>
    <r>
      <t xml:space="preserve">the time within which to correct system flaws is </t>
    </r>
    <r>
      <rPr>
        <b/>
        <sz val="11"/>
        <color rgb="FF000000"/>
        <rFont val="Aptos"/>
        <family val="2"/>
        <scheme val="minor"/>
      </rPr>
      <t>specified</t>
    </r>
    <r>
      <rPr>
        <sz val="11"/>
        <color indexed="8"/>
        <rFont val="Aptos"/>
        <family val="2"/>
        <scheme val="minor"/>
      </rPr>
      <t>.</t>
    </r>
  </si>
  <si>
    <r>
      <t xml:space="preserve">system flaws are </t>
    </r>
    <r>
      <rPr>
        <b/>
        <sz val="11"/>
        <color rgb="FF000000"/>
        <rFont val="Aptos"/>
        <family val="2"/>
        <scheme val="minor"/>
      </rPr>
      <t>corrected</t>
    </r>
    <r>
      <rPr>
        <sz val="11"/>
        <color indexed="8"/>
        <rFont val="Aptos"/>
        <family val="2"/>
        <scheme val="minor"/>
      </rPr>
      <t xml:space="preserve"> within the </t>
    </r>
    <r>
      <rPr>
        <b/>
        <sz val="11"/>
        <color rgb="FF000000"/>
        <rFont val="Aptos"/>
        <family val="2"/>
        <scheme val="minor"/>
      </rPr>
      <t>specified</t>
    </r>
    <r>
      <rPr>
        <sz val="11"/>
        <color indexed="8"/>
        <rFont val="Aptos"/>
        <family val="2"/>
        <scheme val="minor"/>
      </rPr>
      <t xml:space="preserve"> time frame.</t>
    </r>
  </si>
  <si>
    <t>Examine: [SELECT FROM: System and information integrity policy; procedures addressing flaw remediation; procedures addressing configuration management; system security plan; list of flaws and vulnerabilities potentially affecting the system; list of recent security flaw remediation actions performed on the system (e.g., list of installed patches, service packs, hot fixes, and other software updates to correct system flaws); test results from the installation of software and firmware updates to correct system flaws; installation/change control records for security-relevant software and firmware updates; other relevant documents or records].</t>
  </si>
  <si>
    <t>Interview: [SELECT FROM: System or network administrators; personnel with information security responsibilities; personnel installing, configuring, and maintaining the system; personnel with responsibility for flaw remediation; personnel with configuration management responsibility].</t>
  </si>
  <si>
    <t>Test: [SELECT FROM: Organizational processes for identifying, reporting, and correcting system flaws; organizational process for installing software and firmware updates; mechanisms supporting or implementing reporting, and correcting system flaws; mechanisms supporting or implementing testing software and firmware updates].</t>
  </si>
  <si>
    <t>3.14.2 [a]</t>
  </si>
  <si>
    <t>3.14.2 [b]</t>
  </si>
  <si>
    <r>
      <t xml:space="preserve">designated locations for malicious code protection are </t>
    </r>
    <r>
      <rPr>
        <b/>
        <sz val="11"/>
        <color rgb="FF000000"/>
        <rFont val="Aptos"/>
        <family val="2"/>
        <scheme val="minor"/>
      </rPr>
      <t>identified</t>
    </r>
    <r>
      <rPr>
        <sz val="11"/>
        <color indexed="8"/>
        <rFont val="Aptos"/>
        <family val="2"/>
        <scheme val="minor"/>
      </rPr>
      <t>.</t>
    </r>
  </si>
  <si>
    <r>
      <t xml:space="preserve">protection from malicious code at designated locations is </t>
    </r>
    <r>
      <rPr>
        <b/>
        <sz val="11"/>
        <color rgb="FF000000"/>
        <rFont val="Aptos"/>
        <family val="2"/>
        <scheme val="minor"/>
      </rPr>
      <t>provided</t>
    </r>
    <r>
      <rPr>
        <sz val="11"/>
        <color indexed="8"/>
        <rFont val="Aptos"/>
        <family val="2"/>
        <scheme val="minor"/>
      </rPr>
      <t>.</t>
    </r>
  </si>
  <si>
    <t>Examine: [SELECT FROM: System and information integrity policy; configuration management policy and procedures; procedures addressing malicious code protection; records of malicious code protection updates; malicious code protection mechanisms; system security plan; system configuration settings and associated documentation; record of actions initiated by malicious code protection mechanisms in response to malicious code detection; scan results from malicious code protection mechanisms; system design documentation; system audit logs and records; other relevant documents or records].</t>
  </si>
  <si>
    <t>Interview: [SELECT FROM: System or network administrators; personnel with information security responsibilities; personnel installing, configuring, and maintaining the system; personnel with responsibility for malicious code protection; personnel with configuration management responsibility].</t>
  </si>
  <si>
    <t>Test: [SELECT FROM: Organizational processes for employing, updating, and configuring malicious code protection mechanisms; organizational process for addressing false positives and resulting potential impact; mechanisms supporting or implementing employing, updating, and configuring malicious code protection mechanisms; mechanisms supporting or implementing malicious code scanning and subsequent actions].</t>
  </si>
  <si>
    <t>3.14.3 [a]</t>
  </si>
  <si>
    <t>3.14.3 [b]</t>
  </si>
  <si>
    <t>3.14.3 [c]</t>
  </si>
  <si>
    <r>
      <t xml:space="preserve">response actions to system security alerts and advisories are </t>
    </r>
    <r>
      <rPr>
        <b/>
        <sz val="11"/>
        <color rgb="FF000000"/>
        <rFont val="Aptos"/>
        <family val="2"/>
        <scheme val="minor"/>
      </rPr>
      <t>identified</t>
    </r>
    <r>
      <rPr>
        <sz val="11"/>
        <color indexed="8"/>
        <rFont val="Aptos"/>
        <family val="2"/>
        <scheme val="minor"/>
      </rPr>
      <t>.</t>
    </r>
  </si>
  <si>
    <r>
      <t xml:space="preserve">system security alerts and advisories are </t>
    </r>
    <r>
      <rPr>
        <b/>
        <sz val="11"/>
        <color rgb="FF000000"/>
        <rFont val="Aptos"/>
        <family val="2"/>
        <scheme val="minor"/>
      </rPr>
      <t>monitored</t>
    </r>
    <r>
      <rPr>
        <sz val="11"/>
        <color indexed="8"/>
        <rFont val="Aptos"/>
        <family val="2"/>
        <scheme val="minor"/>
      </rPr>
      <t>.</t>
    </r>
  </si>
  <si>
    <r>
      <t xml:space="preserve">actions in </t>
    </r>
    <r>
      <rPr>
        <b/>
        <sz val="11"/>
        <color rgb="FF000000"/>
        <rFont val="Aptos"/>
        <family val="2"/>
        <scheme val="minor"/>
      </rPr>
      <t>response</t>
    </r>
    <r>
      <rPr>
        <sz val="11"/>
        <color indexed="8"/>
        <rFont val="Aptos"/>
        <family val="2"/>
        <scheme val="minor"/>
      </rPr>
      <t xml:space="preserve"> to system security alerts and advisories are </t>
    </r>
    <r>
      <rPr>
        <b/>
        <sz val="11"/>
        <color rgb="FF000000"/>
        <rFont val="Aptos"/>
        <family val="2"/>
        <scheme val="minor"/>
      </rPr>
      <t>taken</t>
    </r>
    <r>
      <rPr>
        <sz val="11"/>
        <color indexed="8"/>
        <rFont val="Aptos"/>
        <family val="2"/>
        <scheme val="minor"/>
      </rPr>
      <t>.</t>
    </r>
  </si>
  <si>
    <t>Examine: [SELECT FROM: System and information integrity policy; procedures addressing security alerts, advisories, and directives; system security plan; records of security alerts and advisories; other relevant documents or records].</t>
  </si>
  <si>
    <t>Interview: [SELECT FROM: Personnel with security alert and advisory responsibilities; personnel implementing, operating, maintaining, and using the system; personnel, organizational elements, and external organizations to whom alerts, advisories, and directives are to be disseminated; system or network administrators; personnel with information security responsibilities].</t>
  </si>
  <si>
    <t>Test: [SELECT FROM: Organizational processes for defining, receiving, generating, disseminating, and complying with security alerts, advisories, and directives; mechanisms supporting or implementing definition, receipt, generation, and dissemination of security alerts, advisories, and directives; mechanisms supporting or implementing security directives].</t>
  </si>
  <si>
    <r>
      <t xml:space="preserve">malicious code protection mechanisms are </t>
    </r>
    <r>
      <rPr>
        <b/>
        <sz val="11"/>
        <color rgb="FF000000"/>
        <rFont val="Aptos"/>
        <family val="2"/>
        <scheme val="minor"/>
      </rPr>
      <t>updated</t>
    </r>
    <r>
      <rPr>
        <sz val="11"/>
        <color indexed="8"/>
        <rFont val="Aptos"/>
        <family val="2"/>
        <scheme val="minor"/>
      </rPr>
      <t xml:space="preserve"> when new releases are </t>
    </r>
    <r>
      <rPr>
        <b/>
        <sz val="11"/>
        <color rgb="FF000000"/>
        <rFont val="Aptos"/>
        <family val="2"/>
        <scheme val="minor"/>
      </rPr>
      <t>available</t>
    </r>
    <r>
      <rPr>
        <sz val="11"/>
        <color indexed="8"/>
        <rFont val="Aptos"/>
        <family val="2"/>
        <scheme val="minor"/>
      </rPr>
      <t>.</t>
    </r>
  </si>
  <si>
    <t>3.14.4 [a]</t>
  </si>
  <si>
    <t>Examine: [SELECT FROM: System and information integrity policy; configuration management policy and procedures; procedures addressing malicious code protection; malicious code protection mechanisms; records of malicious code protection updates; system security plan; system design documentation; system configuration settings and associated documentation; scan results from malicious code protection mechanisms; record of actions initiated by malicious code protection mechanisms in response to malicious code detection; system audit logs and records; other relevant documents or records].</t>
  </si>
  <si>
    <t>Test: [SELECT FROM: Organizational processes for employing, updating, and configuring malicious code protection mechanisms; organizational process for addressing false positives and resulting potential impact; mechanisms supporting or implementing malicious code protection mechanisms (including updates and configurations); mechanisms supporting or implementing malicious code scanning and subsequent actions].</t>
  </si>
  <si>
    <t>3.14.5 [a]</t>
  </si>
  <si>
    <t>3.14.5 [b]</t>
  </si>
  <si>
    <t>3.14.5 [c]</t>
  </si>
  <si>
    <r>
      <t xml:space="preserve">the frequency for malicious code scans is </t>
    </r>
    <r>
      <rPr>
        <b/>
        <sz val="11"/>
        <color rgb="FF000000"/>
        <rFont val="Aptos"/>
        <family val="2"/>
        <scheme val="minor"/>
      </rPr>
      <t>defined</t>
    </r>
    <r>
      <rPr>
        <sz val="11"/>
        <color indexed="8"/>
        <rFont val="Aptos"/>
        <family val="2"/>
        <scheme val="minor"/>
      </rPr>
      <t>.</t>
    </r>
  </si>
  <si>
    <r>
      <t xml:space="preserve">malicious code scans are </t>
    </r>
    <r>
      <rPr>
        <b/>
        <sz val="11"/>
        <color rgb="FF000000"/>
        <rFont val="Aptos"/>
        <family val="2"/>
        <scheme val="minor"/>
      </rPr>
      <t>performed</t>
    </r>
    <r>
      <rPr>
        <sz val="11"/>
        <color indexed="8"/>
        <rFont val="Aptos"/>
        <family val="2"/>
        <scheme val="minor"/>
      </rPr>
      <t xml:space="preserve"> with the defined frequency.</t>
    </r>
  </si>
  <si>
    <r>
      <t xml:space="preserve">real-time malicious code </t>
    </r>
    <r>
      <rPr>
        <b/>
        <sz val="11"/>
        <color rgb="FF000000"/>
        <rFont val="Aptos"/>
        <family val="2"/>
        <scheme val="minor"/>
      </rPr>
      <t>scans</t>
    </r>
    <r>
      <rPr>
        <sz val="11"/>
        <color indexed="8"/>
        <rFont val="Aptos"/>
        <family val="2"/>
        <scheme val="minor"/>
      </rPr>
      <t xml:space="preserve"> of files from </t>
    </r>
    <r>
      <rPr>
        <b/>
        <sz val="11"/>
        <color rgb="FF000000"/>
        <rFont val="Aptos"/>
        <family val="2"/>
        <scheme val="minor"/>
      </rPr>
      <t>external</t>
    </r>
    <r>
      <rPr>
        <sz val="11"/>
        <color indexed="8"/>
        <rFont val="Aptos"/>
        <family val="2"/>
        <scheme val="minor"/>
      </rPr>
      <t xml:space="preserve"> </t>
    </r>
    <r>
      <rPr>
        <b/>
        <sz val="11"/>
        <color rgb="FF000000"/>
        <rFont val="Aptos"/>
        <family val="2"/>
        <scheme val="minor"/>
      </rPr>
      <t>sources</t>
    </r>
    <r>
      <rPr>
        <sz val="11"/>
        <color indexed="8"/>
        <rFont val="Aptos"/>
        <family val="2"/>
        <scheme val="minor"/>
      </rPr>
      <t xml:space="preserve"> as files are downloaded, opened, or executed are performed.</t>
    </r>
  </si>
  <si>
    <t>3.14.6 [a]</t>
  </si>
  <si>
    <t>3.14.6 [b]</t>
  </si>
  <si>
    <t>3.14.6 [c]</t>
  </si>
  <si>
    <r>
      <t xml:space="preserve">the system is </t>
    </r>
    <r>
      <rPr>
        <b/>
        <sz val="11"/>
        <color rgb="FF000000"/>
        <rFont val="Aptos"/>
        <family val="2"/>
        <scheme val="minor"/>
      </rPr>
      <t>monitored</t>
    </r>
    <r>
      <rPr>
        <sz val="11"/>
        <color indexed="8"/>
        <rFont val="Aptos"/>
        <family val="2"/>
        <scheme val="minor"/>
      </rPr>
      <t xml:space="preserve"> to detect attacks and indicators of potential attacks.</t>
    </r>
  </si>
  <si>
    <r>
      <rPr>
        <b/>
        <sz val="11"/>
        <color rgb="FF000000"/>
        <rFont val="Aptos"/>
        <family val="2"/>
        <scheme val="minor"/>
      </rPr>
      <t>inbound</t>
    </r>
    <r>
      <rPr>
        <sz val="11"/>
        <color indexed="8"/>
        <rFont val="Aptos"/>
        <family val="2"/>
        <scheme val="minor"/>
      </rPr>
      <t xml:space="preserve"> communications traffic is </t>
    </r>
    <r>
      <rPr>
        <b/>
        <sz val="11"/>
        <color rgb="FF000000"/>
        <rFont val="Aptos"/>
        <family val="2"/>
        <scheme val="minor"/>
      </rPr>
      <t>monitored</t>
    </r>
    <r>
      <rPr>
        <sz val="11"/>
        <color indexed="8"/>
        <rFont val="Aptos"/>
        <family val="2"/>
        <scheme val="minor"/>
      </rPr>
      <t xml:space="preserve"> to detect attacks and indicators of potential attacks.</t>
    </r>
  </si>
  <si>
    <r>
      <rPr>
        <b/>
        <sz val="11"/>
        <color rgb="FF000000"/>
        <rFont val="Aptos"/>
        <family val="2"/>
        <scheme val="minor"/>
      </rPr>
      <t>outbound</t>
    </r>
    <r>
      <rPr>
        <sz val="11"/>
        <color indexed="8"/>
        <rFont val="Aptos"/>
        <family val="2"/>
        <scheme val="minor"/>
      </rPr>
      <t xml:space="preserve"> communications traffic is </t>
    </r>
    <r>
      <rPr>
        <b/>
        <sz val="11"/>
        <color rgb="FF000000"/>
        <rFont val="Aptos"/>
        <family val="2"/>
        <scheme val="minor"/>
      </rPr>
      <t>monitored</t>
    </r>
    <r>
      <rPr>
        <sz val="11"/>
        <color indexed="8"/>
        <rFont val="Aptos"/>
        <family val="2"/>
        <scheme val="minor"/>
      </rPr>
      <t xml:space="preserve"> to detect attacks and indicators of potential attacks.</t>
    </r>
  </si>
  <si>
    <t>Examine: [SELECT FROM: System and information integrity policy; procedures addressing system monitoring tools and techniques; continuous monitoring strategy; system and information integrity policy; procedures addressing system monitoring tools and techniques; facility diagram or layout; system security plan; system monitoring tools and techniques documentation; system design documentation; locations within system where monitoring devices are deployed; system protocols; system configuration settings and associated documentation; system audit logs and records; other relevant documents or records].</t>
  </si>
  <si>
    <t>Interview: [SELECT FROM: System or network administrators; personnel with information security responsibilities; personnel installing, configuring, and maintaining the system; personnel with responsibility monitoring the system; personnel with responsibility for the intrusion detection system].</t>
  </si>
  <si>
    <t>Test: [SELECT FROM: Organizational processes for system monitoring; mechanisms supporting or implementing intrusion detection capability and system monitoring; mechanisms supporting or implementing system monitoring capability; organizational processes for intrusion detection and system monitoring; mechanisms supporting or implementing the monitoring of inbound and outbound communications traffic].</t>
  </si>
  <si>
    <t>3.14.7 [a]</t>
  </si>
  <si>
    <t>3.14.7 [b]</t>
  </si>
  <si>
    <r>
      <t xml:space="preserve">authorized use of the system is </t>
    </r>
    <r>
      <rPr>
        <b/>
        <sz val="11"/>
        <color rgb="FF000000"/>
        <rFont val="Aptos"/>
        <family val="2"/>
        <scheme val="minor"/>
      </rPr>
      <t>defined</t>
    </r>
    <r>
      <rPr>
        <sz val="11"/>
        <color indexed="8"/>
        <rFont val="Aptos"/>
        <family val="2"/>
        <scheme val="minor"/>
      </rPr>
      <t>.</t>
    </r>
  </si>
  <si>
    <r>
      <t xml:space="preserve">unauthorized use of the system is </t>
    </r>
    <r>
      <rPr>
        <b/>
        <sz val="11"/>
        <color rgb="FF000000"/>
        <rFont val="Aptos"/>
        <family val="2"/>
        <scheme val="minor"/>
      </rPr>
      <t>identified</t>
    </r>
    <r>
      <rPr>
        <sz val="11"/>
        <color indexed="8"/>
        <rFont val="Aptos"/>
        <family val="2"/>
        <scheme val="minor"/>
      </rPr>
      <t>.</t>
    </r>
  </si>
  <si>
    <t>Examine: [SELECT FROM: Continuous monitoring strategy; system and information integrity policy; procedures addressing system monitoring tools and techniques; facility diagram/layout; system security plan; system design documentation; system monitoring tools and techniques documentation; locations within system where monitoring devices are deployed; system configuration settings and associated documentation; other relevant documents or records].</t>
  </si>
  <si>
    <t>Interview: [SELECT FROM: System or network administrators; personnel with information security responsibilities; personnel installing, configuring, and maintaining the system; personnel with responsibility for monitoring the system].</t>
  </si>
  <si>
    <t>Test: [SELECT FROM: Organizational processes for system monitoring; mechanisms supporting or implementing system monitoring capability].</t>
  </si>
  <si>
    <t>Perform Maintenance</t>
  </si>
  <si>
    <t xml:space="preserve">Plan of Action </t>
  </si>
  <si>
    <t xml:space="preserve">Practice Scoring 
(+) </t>
  </si>
  <si>
    <t>N/A</t>
  </si>
  <si>
    <t>3 or 5</t>
  </si>
  <si>
    <r>
      <rPr>
        <b/>
        <sz val="11"/>
        <color rgb="FF000000"/>
        <rFont val="Aptos"/>
        <family val="2"/>
        <scheme val="minor"/>
      </rPr>
      <t>retention</t>
    </r>
    <r>
      <rPr>
        <sz val="11"/>
        <color indexed="8"/>
        <rFont val="Aptos"/>
        <family val="2"/>
        <scheme val="minor"/>
      </rPr>
      <t xml:space="preserve"> requirements for audit records are </t>
    </r>
    <r>
      <rPr>
        <b/>
        <sz val="11"/>
        <color rgb="FF000000"/>
        <rFont val="Aptos"/>
        <family val="2"/>
        <scheme val="minor"/>
      </rPr>
      <t>defined</t>
    </r>
    <r>
      <rPr>
        <sz val="11"/>
        <color indexed="8"/>
        <rFont val="Aptos"/>
        <family val="2"/>
        <scheme val="minor"/>
      </rPr>
      <t>.</t>
    </r>
  </si>
  <si>
    <r>
      <t xml:space="preserve">the software </t>
    </r>
    <r>
      <rPr>
        <b/>
        <sz val="11"/>
        <color rgb="FF000000"/>
        <rFont val="Aptos"/>
        <family val="2"/>
        <scheme val="minor"/>
      </rPr>
      <t>allowed</t>
    </r>
    <r>
      <rPr>
        <sz val="11"/>
        <color indexed="8"/>
        <rFont val="Aptos"/>
        <family val="2"/>
        <scheme val="minor"/>
      </rPr>
      <t xml:space="preserve"> to execute under whitelisting or denied use under blacklisting is </t>
    </r>
    <r>
      <rPr>
        <b/>
        <sz val="11"/>
        <color rgb="FF000000"/>
        <rFont val="Aptos"/>
        <family val="2"/>
        <scheme val="minor"/>
      </rPr>
      <t>specified</t>
    </r>
    <r>
      <rPr>
        <sz val="11"/>
        <color indexed="8"/>
        <rFont val="Aptos"/>
        <family val="2"/>
        <scheme val="minor"/>
      </rPr>
      <t>.</t>
    </r>
  </si>
  <si>
    <r>
      <t xml:space="preserve">whitelisting to allow the execution of authorized software or blacklisting to prevent the use of unauthorized software is </t>
    </r>
    <r>
      <rPr>
        <b/>
        <sz val="11"/>
        <color rgb="FF000000"/>
        <rFont val="Aptos"/>
        <family val="2"/>
        <scheme val="minor"/>
      </rPr>
      <t>implemented</t>
    </r>
    <r>
      <rPr>
        <sz val="11"/>
        <color indexed="8"/>
        <rFont val="Aptos"/>
        <family val="2"/>
        <scheme val="minor"/>
      </rPr>
      <t xml:space="preserve"> as </t>
    </r>
    <r>
      <rPr>
        <b/>
        <sz val="11"/>
        <color rgb="FF000000"/>
        <rFont val="Aptos"/>
        <family val="2"/>
        <scheme val="minor"/>
      </rPr>
      <t>specified</t>
    </r>
    <r>
      <rPr>
        <sz val="11"/>
        <color indexed="8"/>
        <rFont val="Aptos"/>
        <family val="2"/>
        <scheme val="minor"/>
      </rPr>
      <t>.</t>
    </r>
  </si>
  <si>
    <r>
      <t xml:space="preserve">audit logs of physical access are </t>
    </r>
    <r>
      <rPr>
        <b/>
        <sz val="11"/>
        <color rgb="FF000000"/>
        <rFont val="Aptos"/>
        <family val="2"/>
        <scheme val="minor"/>
      </rPr>
      <t>maintained</t>
    </r>
    <r>
      <rPr>
        <sz val="11"/>
        <color indexed="8"/>
        <rFont val="Aptos"/>
        <family val="2"/>
        <scheme val="minor"/>
      </rPr>
      <t>.</t>
    </r>
  </si>
  <si>
    <t>Assurit Protected Information System (APIS)</t>
  </si>
  <si>
    <t>CMMC-L2 (Moderate)</t>
  </si>
  <si>
    <t>APIS_SSP_v1.1-10-31-2025.docx
Assurit_Cyber_Handbook_v2.1-09-08-2025.docx
AC.L1-3.1.1a-11-06-2025.png</t>
  </si>
  <si>
    <t>11/06/2025: Assurit Cyber Handbook defines the company's requirement for uniquely identifying users, processes, and devices. Users are identified via their unique MS Entra ID account which is provisioned and assigned by Assurit. A unique local AVD admin account is assigned to the company's System Administrator (assurit-bg).</t>
  </si>
  <si>
    <t>11/06/2025: Service groups/accounts are uniquely identified by their group name and/or UPN.</t>
  </si>
  <si>
    <t>APIS_SSP_v1.1-10-31-2025.docx</t>
  </si>
  <si>
    <t>APIS_SSP_v1.1-10-31-2025.docx
AC.L1-3.1.1b1-11-06-2025.png
AC.L1-3.1.1b2-11-06-2025.png</t>
  </si>
  <si>
    <t>11/06/2025: AVD are assigned a unique hostname and primary user.</t>
  </si>
  <si>
    <t>APIS_SSP_v1.1-10-31-2025.docx
AC.L1-3.1.1c1-11-06-2025.png
AC.L1-3.1.1c2-11-06-2025.png</t>
  </si>
  <si>
    <t>11/06/2025: Access to service groups/accounts are restricted to authorized users only.</t>
  </si>
  <si>
    <t>11/06/2025: APIS Admin Portals are restricted to select authorized users. M365 services and AVD is restricted to authorized users and groups only. This is configured through conditional access policies.</t>
  </si>
  <si>
    <t>APIS_SSP_v1.1-10-31-2025.docx
AC.L1-3.1.1d1-11-06-2025.png
AC.L1-3.1.1d2-11-06-2025.png</t>
  </si>
  <si>
    <t>APIS_SSP_v1.1-10-31-2025.docx
AC.L1-3.1.1e-11-06-2025.png</t>
  </si>
  <si>
    <t>APIS_SSP_v1.1-10-31-2025.docx
AC.L1-3.1.1f1-11-06-2025.png
AC.L1-3.1.1f2-11-06-2025.png</t>
  </si>
  <si>
    <t>11/06/2025: Assurit Cyber Handbook defines the company's requirement for authorized system functions and acceptable use. The SSP defines M365 services and Administrative Consoles/Portals as authorized functions.</t>
  </si>
  <si>
    <t>APIS_SSP_v1.1-10-31-2025.docx
AC.L1-3.1.2b-11-06-2025.png</t>
  </si>
  <si>
    <t>APIS_SSP_v1.1-10-31-2025.docx
Assurit_Cyber_Handbook_v2.1-09-08-2025.docx</t>
  </si>
  <si>
    <t>11/06/2025: SSP defines GCC High M365 services (OneDrive, Exchange, SharePoint) for storing, processing, and or transmitting CUI data. In addition, Assurit's M365 services can only be accessed from AVD and whitelist locations.</t>
  </si>
  <si>
    <t xml:space="preserve">11/06/2025: SSP defines GCC High M365 services (OneDrive, Exchange, SharePoint) for storing, processing, and or transmitting CUI data. In addition, Assurit's M365 services can only be accessed from AVD and whitelist locations. </t>
  </si>
  <si>
    <t>11/06/2025: Authorizations for controlling CUI flow is defined for ingress/egress into Assurit's M365 services which can only be access from APIS AVDs. Purview policies are enabled to provide sensitivity labels for incoming messages. Exchange rules are enabled to ensure that all outgoing email must be approved by an Assurit System Administrator before sending.</t>
  </si>
  <si>
    <t>11/06/2025: Assurit Cyber Handbook defines the company's CUI Information Flow policy and requirements.</t>
  </si>
  <si>
    <t>APIS_SSP_v1.1-10-31-2025.docx
AC.L1-3.1.3d1-11-06-2025.png
AC.L1-3.1.3d2-11-06-2025.png
AC.L1-3.1.3d3-11-06-2025.png
AC.L1-3.1.3d4-11-06-2025.png
AC.L1-3.1.3d5-11-06-2025.png</t>
  </si>
  <si>
    <t>11/06/2025: Purview policies are enabled to provide sensitivity labels for incoming messages and attachments. Exchange rules are enabled to ensure that all outgoing email must be approved by an Assurit System Administrator before sending.</t>
  </si>
  <si>
    <t>11/06/2025: APIS roles and responsibilities are defined within the Assurit Cyber Handbook. Each role requiring separate responsibilities are thoroughly described and highlights any security-related responsibilities as it pertains to APIS and CUI.</t>
  </si>
  <si>
    <t>11/06/2025: Assurit designates an Authorizing Official, System Owner, and System Administrator for APIS. Role designations and contact information are documented for each assigned role within the SSP.</t>
  </si>
  <si>
    <t>11/06/2025: Assurit assigns access privileges based on the user's APIS roles which are divided into 3 groups:
-APIS-Admins (Privileged)
-APIS-Users (Non-Privileged)
-APIS Secure (SharePoint/OneDrive)
Access/permissions are assigned for each group for APIS resources through conditional access policies and direct assignments.</t>
  </si>
  <si>
    <t>11/06/2025: Privileged groups, accounts, and purposes are defined within the SSP.</t>
  </si>
  <si>
    <t>11/06/2025: Provisioning and access to privileged accounts are authorized by Assurit's Authorizing Official and System Owner.</t>
  </si>
  <si>
    <t>11/06/2025: Provisioning and access to security functions are authorized by Assurit's Authorizing Official and System Owner.</t>
  </si>
  <si>
    <t>11/6/2025: Security-related functionality for APIS is defined within the SSP as environment configurations, virtual machine configurations, and M365 settings.</t>
  </si>
  <si>
    <t>Assessment SRTM Workbook for CMMC Level 2 C3PAO/Self Assessments</t>
  </si>
  <si>
    <t>2.0</t>
  </si>
  <si>
    <t>Updated based on Final Rule and Assessment Guides</t>
  </si>
  <si>
    <t>Deductible Points
(-)</t>
  </si>
  <si>
    <t>11/06/2025: APIS is designed to be a self-contained environment and does not have any external connections outside of Azure GCC High/M365 services. Assurit Cyber Handbook defines the policy requirements for identifying, verifying and controlling external system connections.</t>
  </si>
  <si>
    <t>APIS_SSP_v1.1-10-31-2025.docx
Assurit_Cyber_Handbook_v2.1-09-08-2025.docx
FEDRAMP-EquivalencyCloudServiceProviders.pdf
Office 365 - Attestation of Compliance with Defence Federal Acquisition Regulation (DFARS) (2022)</t>
  </si>
  <si>
    <t xml:space="preserve">11/06/2025: APIS is a self-contained environment hosted solely within the Azure GCC High environment. Physical and environmental protection controls are provided by Microsoft and their datacenters. The Azure GCC High is Fedramp Authorized (High) and meets the requirements of all PE controls. It is noted that Assurit defines the organization's PE control requirements within the Cyber Handbook. </t>
  </si>
  <si>
    <t xml:space="preserve">11/06/2025: APIS is a self-contained environment hosted solely within the Azure GCC High environment. By design, APIS restricts the ability to print or transfer data to external media sources. Media protection controls are provided by Microsoft and their datacenters. The Azure GCC High is Fedramp Authorized (High) and meets the requirements of all Media controls. It is noted that Assurit defines the organization's MP control requirements within the Cyber Handbook. </t>
  </si>
  <si>
    <t xml:space="preserve">11/06/2025: APIS is a self-contained environment hosted solely within the Azure GCC High environment. Maintenance controls are provided by Microsoft for all APIS assets hosted within their datacenters. The Azure GCC High is Fedramp Authorized (High) and meets the requirements of all Maintenance controls. It is noted that Assurit defines the organization's MA control requirements within the Cyber Handbook. </t>
  </si>
  <si>
    <t xml:space="preserve">11/11/2025: APIS is a self-contained environment hosted solely within the Azure GCC High environment. By design, APIS does not have direct wireless access. Any wireless access for the Azure GCC environment is managed through Microsoft. It is noted that Assurit defines the organization's wireless access control requirements within the Cyber Handbook. </t>
  </si>
  <si>
    <t>Assurit_Cyber_Handbook_v2.1-09-08-2025.docx</t>
  </si>
  <si>
    <t>11/11/2025: Assurit's Cyber Handbook requires by policy that portable storage devices are not permitted for use when handling CUI. APIS is a self-contained environment hosted solely within the Azure GCC High environment. By design, APIS does not have the ability to connect with portal storage devices. Any portable storage usage for the Azure GCC environment is managed through Microsoft.</t>
  </si>
  <si>
    <t>11/11/2025: Assurit implements a security training program and Insider Threat Program that addresses risks involving CUI. The program encompasses computer-based training sessions regarding the management, handling, and monitoring of risks associated to CUI which includes insider threats. It is required by policy that all Assurit employees and contractors that hold security clearances to complete the training upon employment and annually thereafter. When completed, participants are required to sign and acknowledge the policies and requirements for holding a position that requires a security clearance.</t>
  </si>
  <si>
    <t>APIS_SSP_v1.1-10-31-2025.docx
Assurit_Cyber_Handbook_v2.1-09-08-2025.docx
ASSURIT-ITP-01 (Insider Threat Plan) V2.0.pdf
ASSURIT-SPP-01 (Standard Practice Procedures) V2.0.pdf
2024 Annual Security Refresher Training To Be Completed By 9 February 2024.msg
2025 Annual Security Refresher Training To Be Completed By 26 September 2025</t>
  </si>
  <si>
    <t>11/11/2025: Assurit roles with security-related duties, roles, and responsibilities are defined within the Cyber Handbook. The key roles with security responsibilities are the Authorizing Official, System Owner, and the System Administrator.</t>
  </si>
  <si>
    <t xml:space="preserve">11/11/2025: Assurit roles with security-related duties, roles, and responsibilities associated to APIS are designated to individuals noted within the APIS SSP. </t>
  </si>
  <si>
    <t xml:space="preserve">11/06/2025: Access to defined functions are restricted by Azure groups and conditional access policies. </t>
  </si>
  <si>
    <t>11/06/2025: Access to APIS AVD is restricted to authorized users and trusted locations only configured through Azure conditional access policies.</t>
  </si>
  <si>
    <t>11/28/2025: Nonsecurity functions are identified as conventional, non-configuration usage of O365 and Azure services.</t>
  </si>
  <si>
    <t>11/28/2025: APIS users can only access O365 services using their Entra ID account. The APIS O365 services can only be accessed from the APIS network. Although non-privileged, O365 services are required for both privileged and non-privileged users (word, excel, sharepoint, etc) to perform their duties.</t>
  </si>
  <si>
    <t xml:space="preserve">12/10/2025: Privileged functions are defined within the SSP which include:
o	Azure environment configurations
o	Virtual machine configurations
o	Exchange, SharePoint, OneDrive Settings </t>
  </si>
  <si>
    <t>12/10/2025: Non-privileged users are conventional system users and are assigned the APIS-Users group.</t>
  </si>
  <si>
    <t>APIS_SSP_v1.1-10-31-2025.docx
AC.L2-3.1.6b1-12-10-2025.png
AC.L2-3.1.6b2-12-10-2025.png</t>
  </si>
  <si>
    <t>AC.L2-3.1.7b1-12-10-2025.png</t>
  </si>
  <si>
    <t>12/10/2025: Non-privileged users are prevented from conditional access policies and AVD/Intune policies. Non-privileged users are restricted by CA policies from logging into Admin portals. AVD IAM roles are assigned to specific users which only allow for non-privileged logins (Virtual Machine User Login). Intune policies apply DISA STIG (Microsoft Windows 11 STIG - Ver 2, Rel 5) which restricts privileged actions and requires elevated authentication.</t>
  </si>
  <si>
    <t>AC.L2-3.1.7c1-12-10-2025.png
AC.L2-3.1.7c2-12-10-2025.png
AC.L2-3.1.7c3-12-10-2025.png</t>
  </si>
  <si>
    <t>12/10/2025: The execution of privlieged functions are captured within several sources that include Azure audit logs and sign-in logs which tracks any changes made to the admin consoles. AVD logs are captured and forwarded to sentinel for monitoring.</t>
  </si>
  <si>
    <t>AC.L2-3.1.7d1-12-10-2025.png
AC.L2-3.1.7d2-12-10-2025.png</t>
  </si>
  <si>
    <t>12/10/2025: Assurit's unsuccessful login threshold is defined as (3) consecutive failed attempts. After the 3rd attempt, users are blocked from attempting login for 15 minutes (900 seconds). The means for preventing this is configured through Entra ID Authentication Method settings and Intune policies.</t>
  </si>
  <si>
    <t>12/10/2025: Entra ID services are implemented to apply the company's lockout thresholds, and reinforced through intune policies (AVD). All APIS services are integrated with Entra ID to ensure a uniformed authentication scheme.</t>
  </si>
  <si>
    <t>AC.L2-3.1.8b1-12-10-2025.png</t>
  </si>
  <si>
    <t>12/10/2025: Assurit defines a security/privacy notice that is consistent with the company's CUI requirements within the SSP and Cyber Handbook.</t>
  </si>
  <si>
    <t>12/10/2025: The notice is displayed to all users that login to AVD that require acknowledgement prior to access: The Assurit Protected Information System is for authorized use only.
This system may contain Controlled Unclassified Information (CUI) and Federal Contract Information (FCI). All users are required to handle, safeguard, and protect such information in accordance with applicable laws, regulations, and contractual requirements.
By accessing or using this system, you acknowledge and consent to monitoring, recording, and auditing of all activities for security, compliance, and operational purposes. Unauthorized access, use, or modification of this system is strictly prohibited and may result in disciplinary action, civil penalties, and/or criminal prosecution.
All data transmitted, processed, or stored on this system may be monitored and disclosed to authorized personnel or law enforcement as permitted by law.
By proceeding, you confirm your understanding of these requirements and acknowledge you have no reasonable expectation of privacy while using this system.</t>
  </si>
  <si>
    <t>AC.L2-3.1.9b1-12-10-2025.png</t>
  </si>
  <si>
    <t>12/10/2025: Assurit defines session lock requirements within the Cyber handbook. The policy requirement states that system initiated session locks should occur after 15 minutes of inactivity.</t>
  </si>
  <si>
    <t>12/10/2025: System and user initiated session lock terminates AVD RDP sessions, preventing further access to the environment until re-authentication.</t>
  </si>
  <si>
    <t>12/10/2025: System and user initiated session lock terminates AVD RDP sessions, preventing further access to the environment until re-authentication. This is concealed by a black screen and logout message.</t>
  </si>
  <si>
    <t>12/10/2025: Assurit defines the conditions for session termination within the Cyber handbook. Termination conditions include exceeding a 15 minute inactivity period or a user-initiated logoff.</t>
  </si>
  <si>
    <t>12/10/2025: Access to Azure Admin Portals and AVD sessions are automatically terminated after 15 minutes of inactivity or when user-initiated.</t>
  </si>
  <si>
    <t>AC.L2-3.1.10b1-12-10-2025.png
AC.L2-3.1.10b2-12-10-2025.png</t>
  </si>
  <si>
    <t xml:space="preserve">12/10/2025: Remote access sessions are permitted and defined within the Cyber Handbook. </t>
  </si>
  <si>
    <t xml:space="preserve">12/10/2025: The Cyber handbook identifies Remote Desktop Protocol (RDP) via Azure Virtual Desktop is the only permitted remote access method. </t>
  </si>
  <si>
    <t xml:space="preserve">12/10/2025: Remote access sessions to AVD are controlled through multiple, combined settings to ensure that only authorized users are able to remotely access AVD resources:
1. Entra ID credentials and conditional access controls are implemented to ensure authorized users and their locations can initiate a remote connection.
2. AVD IAM settings are configured to allow remote connections for assets assigned to each user. AVD assignments is 1:1 to authorized users.
3. Intune Configuration Policies are configured to harden AVD remote access sessions to DISA STIG requirements (Win11V5R2) </t>
  </si>
  <si>
    <t>12/10/2025: Remote access is monitored through two primary log sources:
1. Entra ID Sign-In Logs monitor interactive sign-ins intiated through AVD remote connections. 
2. Windows Event Logs monitor for user's activities and actions while they are remotely connected to the AVD.
3. Logs are forwarded to Microsoft Sentinel with configured rules to monitor for suspicious activity.</t>
  </si>
  <si>
    <r>
      <t xml:space="preserve">managed access control points are </t>
    </r>
    <r>
      <rPr>
        <b/>
        <sz val="12"/>
        <color theme="1"/>
        <rFont val="Aptos"/>
        <family val="2"/>
        <scheme val="minor"/>
      </rPr>
      <t>identified</t>
    </r>
    <r>
      <rPr>
        <sz val="12"/>
        <color theme="1"/>
        <rFont val="Aptos"/>
        <family val="2"/>
        <scheme val="minor"/>
      </rPr>
      <t xml:space="preserve"> and </t>
    </r>
    <r>
      <rPr>
        <b/>
        <sz val="12"/>
        <color theme="1"/>
        <rFont val="Aptos"/>
        <family val="2"/>
        <scheme val="minor"/>
      </rPr>
      <t>implemented</t>
    </r>
    <r>
      <rPr>
        <sz val="12"/>
        <color theme="1"/>
        <rFont val="Aptos"/>
        <family val="2"/>
        <scheme val="minor"/>
      </rPr>
      <t>.</t>
    </r>
  </si>
  <si>
    <t>12/10/2025: Assurit restricts the use of mobile devices (Cyber handbook) for connecting or accessing APIS resources that include AVD and O365 applications. Access restrictions are implemented through Entra ID conditional access policies that requires users to access resources through a laptop and browser. Any attempts to login via Mobile Device are captured within Entra ID sign-in logs.</t>
  </si>
  <si>
    <t>12/10/2025: Security-relevant information authorized to be remote access are Windows Event Logs. In the event that Event Logs cannot be accessed via MS Sentinel, APIS-Admins are authorized to view these logs on the local machine to support investigations.</t>
  </si>
  <si>
    <t>12/10/2025: Privileged commands/functions are only accessible by the APIS-Admins and the assurit-bg account. This is restricted by Intune Policy/Microsoft Defender for Endpoint.</t>
  </si>
  <si>
    <t>12/10/2025: Security-relevant information are only accessible by the APIS-Admins and the assurit-bg account. This is restricted by Intune Policy.</t>
  </si>
  <si>
    <t>11/15/2025: Assurit's Authorizing Official or delegated representative are the only individuals permitted to post content on the company's website and social media.</t>
  </si>
  <si>
    <t>11/15/2025: Policy restrictions prohibiting CUI and sensitive information on the company's public systems are defined within the Cyber handbook.</t>
  </si>
  <si>
    <t>11/15/2025: All company website changes and social media posts are reviewed by the AO prior to authorization.</t>
  </si>
  <si>
    <t>11/15/2025: The AO has direct access to the company website and social media accounts, allowing for swift action in the event that content needs to be removed.</t>
  </si>
  <si>
    <t>APIS_SSP_v1.1-10-31-2025.docx
AC.L2-3.1.4c1-11-06-2025.png
AC.L2-3.1.4c2-11-06-2025.png
AC.L2-3.1.4c3-11-06-2025.png
AC.L2-3.1.4c4-11-06-2025.png
AC.L2-3.1.4c5-11-06-2025.png
AC.L2-3.1.4c6-11-06-2025.png
AC.L2-3.1.4c7-11-06-2025.png
AC.L2-3.1.4c8-11-06-2025.png
AC.L2-3.1.4c9-11-06-2025.png</t>
  </si>
  <si>
    <t>AC.L2-3.1.12c1-12-06-2025.png
AC.L2-3.1.12c2-12-06-2025.png
AC.L2-3.1.12c3-12-06-2025.png
AC.L2-3.1.12c4-12-06-2025.png
AC.L2-3.1.12c5-12-06-2025.png</t>
  </si>
  <si>
    <t>12/10/2025: Assurit leverages the encryption settings for Azure GCC RDP sessions. By default, Microsoft Azure GCC High environments leverage a minimum of TLS 1.2 per https://learn.microsoft.com/en-us/azure/virtual-desktop/network-connectivity. In addition, DISA STIG settings are applied via Intune which require hardened RDP settings.</t>
  </si>
  <si>
    <t>APIS_SSP_v1.1-10-31-2025.docx
Assurit_Cyber_Handbook_v2.1-09-08-2025.docx
https://learn.microsoft.com/en-us/azure/virtual-desktop/network-connectivity
AC.L2-3.1.13b1-12-06-2025.png
AC.L2-3.1.13b2-12-06-2025.png</t>
  </si>
  <si>
    <t>12/10/2025: Assurit leverages the Azure GCC High AVD Webclient (ARM) as the remote access point to AVD machines. Conditional access policies enforce requirements for authorized users to connect to the AVD Webclient via browser. https://rdweb.wvd.azure.us/arm/webclient/index.html. Once remote authentication is complete, the user is provided the option to remotely connect to their assigned AVD (1:1 assignment and single-session configuration).</t>
  </si>
  <si>
    <t>APIS_SSP_v1.1-10-31-2025.docx
Assurit_Cyber_Handbook_v2.1-09-08-2025.docx
https://rdweb.wvd.azure.us/arm/webclient/index.html
AC.L2-3.1.14b1-12-06-2025.png
AC.L2-3.1.14b2-12-06-2025.png
AC.L2-3.1.14b3-12-06-2025.png</t>
  </si>
  <si>
    <t xml:space="preserve">12/10/2025: Privileged commands/functions authorized for remote execution on AVD resources consists of system administration and software updates. These commands can only be executed by an APIS-Admins and the local admin account. The commands are can only be executed through Cloud Shell (portal.azure.us) or AVD PowerShell. All other functions are restricted/blocked by Intune Policy/Microsoft Defender for Endpoint. </t>
  </si>
  <si>
    <t>AC.L2-3.1.15c1-12-06-2025.png
AC.L2-3.1.15c2-12-06-2025.png
AC.L2-3.1.15c3-12-06-2025.png</t>
  </si>
  <si>
    <t>APIS_SSP_v1.1-10-31-2025.docx
Assurit_Cyber_Handbook_v2.1-09-08-2025.docx
AC.L2-3.1.18b1-12-10-2025.png
AC.L2-3.1.18b2-12-10-2025.png
AC.L2-3.1.18b3-12-10-2025.png</t>
  </si>
  <si>
    <t>11/11/2025: APIS admins and users are required to complete all necessary training and acknowledgements prior to being granted access to the system.</t>
  </si>
  <si>
    <t xml:space="preserve">12/12/2025: Audit log types to specified as necessary to support monitoring/after-the-fact investigations is defined within the Cyber Handbook and the SSP:
o	Authentication events (successful and failed logon/logoff).
o	File and object access events (create, delete, modify, permission changes, ownership changes).
o	User and group management activity (account creation, deletion, modification, disablement, or lockout).
o	Privileged functions (policy changes, role elevation, access to audit logs, administrative actions).
o	System events (reboots, shutdowns, restarts).
o	Application events </t>
  </si>
  <si>
    <t>12/12/2025: The Cyber Handbook defines the minimum requirement for audit log content are the date/time, source, and outcome of the event.</t>
  </si>
  <si>
    <t>12/12/2025: Audit logs are generated through the following sources:
-Entra ID (Sign-in/Audit)
-AVD Windows Events (forwarded to log analytics workspace)
-Defender for Endpoint</t>
  </si>
  <si>
    <t>12/12/2025: Audit logs at minimum, contain the date/time, source, and outcome of an event.</t>
  </si>
  <si>
    <t>12/12/2025: Assurit specifies a 365 day period for the retention of audit logs.</t>
  </si>
  <si>
    <t>12/12/2025: apis-avd-monitoring is configured to retain audit logs forwarded to it for 365 days.</t>
  </si>
  <si>
    <t>APIS_SSP_v1.1-10-31-2025.docx
AU.L2-3.3.1d1-12-12-2025.png
AU.L2-3.3.1d2-12-12-2025.png
AU.L2-3.3.1d3-12-12-2025.png
AU.L2-3.3.1d4-12-12-2025.png
AU.L2-3.3.1d5-12-12-2025.png
AU.L2-3.3.1d6-12-12-2025.png
AU.L2-3.3.1d7-12-12-2025.png
AU.L2-3.3.1f1-12-12-2025.png</t>
  </si>
  <si>
    <t>APIS_SSP_v1.1-10-31-2025.docx
Assurit_Cyber_Handbook_v2.1-09-08-2025.docx
AU.L2-3.3.1d1-12-12-2025.png
AU.L2-3.3.1d2-12-12-2025.png
AU.L2-3.3.1d3-12-12-2025.png
AU.L2-3.3.1d4-12-12-2025.png
AU.L2-3.3.1d5-12-12-2025.png
AU.L2-3.3.1d6-12-12-2025.png
AU.L2-3.3.1d7-12-12-2025.png
AU.L2-3.3.1f1-12-12-2025.png</t>
  </si>
  <si>
    <t>12/12/2025: The content of audit records to support traceability of user actions are defined within the SSP. The minimum content required is defined as the date/time, event type, identity (source), and outcome of the event.</t>
  </si>
  <si>
    <t>12/12/2025: Audit records are generated through windows event and azure activity logs. The audit records generated contain the minimum content as required by the Assurit to trace user/system activity.</t>
  </si>
  <si>
    <t>APIS_SSP_v1.1-10-31-2025.docx
AU.L2-3.3.2b1-12-12-2025.png
AU.L2-3.3.2b2-12-12-2025.png
AU.L2-3.3.2b3-12-12-2025.png
AU.L2-3.3.2b4-12-12-2025.png</t>
  </si>
  <si>
    <t>12/13/2025: Requirements for event reviews are defined within the Assurit Cyber handbook and enforced accordingly. At minimum, event type reviews are performed annually or when a significant system change occurs. The SSP outlines the process for performining event type reviews.</t>
  </si>
  <si>
    <t>12/13/2025: APIS is currently in its initial deployment. Assurit will ensure that the event reviews are performed in accordance with the Cyber Handbook and SSP once the system has been authorized.</t>
  </si>
  <si>
    <t>12/13/2025: The list of logged event types are updated within the SSP under practice AU.L2-3.3.1. The SSP is version controlled with approved versions signed by the AO.</t>
  </si>
  <si>
    <t>12/13/2025: The Cyber Handbook specifies that administrators must be notified of Entra ID and Azure Activity audit log processing failures. The SSP defines the APIS Admins group as the personnel to be notified of any audit log processing failure.</t>
  </si>
  <si>
    <t>12/13/2025: The SSP defines Entra ID Sign-In/Audit logs and Azure Activity logs as the sources that require alerting when they occur.</t>
  </si>
  <si>
    <t>12/13/2025: The APIS Admin group is alerted via the Microsoft Sentinel dashboard which they are required to review on a daily basis.</t>
  </si>
  <si>
    <t>APIS_SSP_v1.1-10-31-2025.docx
Assurit_Cyber_Handbook_v2.1-09-08-2025.docx
AU.L2-3.3.4b1-12-13-2025.png
AU.L2-3.3.4b2-12-13-2025.png
AU.L2-3.3.4b3-12-13-2025.png
AU.L2-3.3.4b4-12-13-2025.png</t>
  </si>
  <si>
    <t xml:space="preserve">12/30/2025: Secure baseline configurations are established for Windows 11 and applicable Azure/O365 services. Assurit aligns with DISA STIG and CIS Benchmarks for component hardening practices. Deviations to baselines are documented with proper justifications annotated. </t>
  </si>
  <si>
    <t>12/30/2025: Baseline configurations include Windows 11 and Azure/O365 services. Hardware and firmware are not included as they are fully managed by Microsoft as the CSP.</t>
  </si>
  <si>
    <t>12/30/2025: Per the Assurit Cyber Handbook, baseline configurations are reviewed, at minimum, on an annual basis or when a significant environment change occurs. In addition, baselines are reviewed on a case-by-case basis when there are updates to DISA STIG and CIS benchmarks for applicability.</t>
  </si>
  <si>
    <t>12/30/2025: The system inventory is established and maintained within the Azure Government Portal which documents all virtual assets that comprises the system. AVD hosts are onboarded to Azure/Sentinel monitoring as a part of provisionining process to track components.</t>
  </si>
  <si>
    <t>12/30/2025: The system inventory is established and maintained within the Azure Government Portal which documents all virtual assets that comprises the system. In addition, the inventory can be referenced within the SSP.</t>
  </si>
  <si>
    <t>12/30/2025: The system inventory is maintained within the Azure Government Portal which is updated in-real time.</t>
  </si>
  <si>
    <t xml:space="preserve">12/30/2025: Assurit aligns its component hardening standards to DISA STIG or CIS benchmarks, selecting the most stringent applicable baseline. For Windows 11 hosts, all baselines are configured within intune device configuration policies/scripts and are applied to the primary AVD resource group. </t>
  </si>
  <si>
    <t>12/13/2025: The Assurit Cyber handbook defines the requirements for the audit review process and what log criteria is mandatory to support current and after-the-fact investigations of system activity. In addition, guidance is specified to ensure that the audit review process and technologies are appropriately implemented within the Azure environment.</t>
  </si>
  <si>
    <t>12/13/2025: Log analytics are implemented via Microsoft Sentinel to automate the correlation of activity in order to identify/resolve suspicious or malicious events. Analytic rules are configured using ksql syntax to identify patterns in log activity that would indicate certain activities (e.g. log processing failures, brute force log-ins, etc).</t>
  </si>
  <si>
    <t>12/13/2025: Microsoft Sentinel provides ad-hoc query/reporting capabilities to support the on-demand analysis of assets or events.</t>
  </si>
  <si>
    <t xml:space="preserve">12/13/2025: APIS logs are generated and forwarded to Sentinel. Log timestamps are generated in both EST and UTC. </t>
  </si>
  <si>
    <t>12/13/2025: The authoritative source for log timestamps is sync'd to Microsoft's source which is time.microsoft.com</t>
  </si>
  <si>
    <t xml:space="preserve">12/13/2025: Log timestamps are generated in both EST and UTC which for each event, enabling the comparison of event times to ensure synchronization. </t>
  </si>
  <si>
    <t xml:space="preserve">12/14/2025: Log information for AVD hosts, Entra ID, and Azure Activity is forwarded to Sentinel via encrypted data connectors and agents. Log information can only be accessed by authorized APIS-Admins via the Azure Government Portal (security.microsoft.us) which is protected by CAs. Local AVD access to Windows Logs are prevented by assigned user groups, intune policies, and Defender for Endpoint. </t>
  </si>
  <si>
    <t>12/14/2025: Log information for AVD hosts, Entra ID, and Azure Activity is forwarded to Sentinel via encrypted data connectors and agents. Logs are submitted in real-time in which Sentinel restricts the modification of logged events. In addition, local AVD access is restricted by intune policies/Defender for Endpoint to ensure host logs are tamper-proof or deleted.</t>
  </si>
  <si>
    <t>12/14/2025: Log information for AVD hosts, Entra ID, and Azure Activity is forwarded to Sentinel via encrypted data connectors and agents. Log information can only be accessed by authorized APIS-Admins via the Azure Government Portal (security.microsoft.us) which is protected by CAs. Proposed modifications must be reviewed and approved through Assurit's change management process prior to implementation. Furthermore, all Azure Activity is logged to ensure accountability of APIS-Admin actions.</t>
  </si>
  <si>
    <t>12/14/2025: Log information is only accessible to users assigned to the APIS-Admins group which is enforced by CA policies and trusted locations. The admin role requires access to log information to support monitoring and IR responsibilities.</t>
  </si>
  <si>
    <t>APIS_SSP_v1.1-10-31-2025.docx
Assurit_Cyber_Handbook_v2.1-09-08-2025.docx
AU.L2-3.3.5b1-12-18-2025.png
AU.L2-3.3.5b2-12-18-2025.png
AU.L2-3.3.5b3-12-18-2025.png</t>
  </si>
  <si>
    <t>APIS_SSP_v1.1-10-31-2025.docx
Assurit_Cyber_Handbook_v2.1-09-08-2025.docx
AU.L2-3.3.6b1-12-18-2025.png
AU.L2-3.3.6b2-12-18-2025.png</t>
  </si>
  <si>
    <t>APIS_SSP_v1.1-10-31-2025.docx
Assurit_Cyber_Handbook_v2.1-09-08-2025.docx
AU.L2-3.3.7a1-12-18-2025.png</t>
  </si>
  <si>
    <t>APIS_SSP_v1.1-10-31-2025.docx
Assurit_Cyber_Handbook_v2.1-09-08-2025.docx
AU.L2-3.3.7b1-12-18-2025</t>
  </si>
  <si>
    <t>12/24/2025: The Assurit Cyber Handbook defines the frequency of security control assessments to occur at minimum annually or when a significant change occurs with the system.</t>
  </si>
  <si>
    <t>12/24/2025: This is the initial assessment performed for the APIS system. Assurit will conduct assessment in accordance with its policy and to maintain CMMC requirements. (Annual Attestations)</t>
  </si>
  <si>
    <t xml:space="preserve">12/24/2025: The Assurit Cyber Handbook defines the requirement for continuously monitoring control effectiveness through operational activities that include adhoc assessments, change management reviews, and security monitoring (Logs). </t>
  </si>
  <si>
    <t>12/24/2025: The requirements for establishing POA&amp;Ms for identified weaknesses/vulnerabilities are defined within the Assurit Cyber Handbook. POA&amp;Ms will originate from assessments, audits, and continuous monitoring activities as noted within the handbook.</t>
  </si>
  <si>
    <t>12/24/2025: The handbook defines the criteria for POA&amp;M development in which each record is required to include include a description of the issue, risk impact, corrective actions, responsible personnel, and remediation timeline.</t>
  </si>
  <si>
    <t>12/24/2025: APIS is in the process of its initial authorization. Following the authorization of the system, all identified weakness/deficiencies will developed and tracked as POA&amp;Ms in alignment with the Cyber Handbook.</t>
  </si>
  <si>
    <t>12/24/2025: The APIS SSP has been developed in alignment with NIST 800-18.</t>
  </si>
  <si>
    <t>12/24/2025: The APIS system boundary is described in section 2.6 of the SSP.</t>
  </si>
  <si>
    <t>12/24/2025: The APIS system environment and operations is fully described in section 2 (and all sub sections within) of the SSP.</t>
  </si>
  <si>
    <t>12/24/2025: Controls that are identified as "Inherited" by the CSP has been identified by the SO/SA and approved by the AO.</t>
  </si>
  <si>
    <t>12/24/2025: The security practice implementation is described for each practice ID in alignment with NIST 800-171r2. The practice implementation statements have been described for each control under section 3.0 of the SSP.</t>
  </si>
  <si>
    <t>12/24/2025: The APIS system interconnections is outlined and described in section 2.10.</t>
  </si>
  <si>
    <t>12/24/2025: The frequency of SSP updates is defined within the Cyber Handbook to occur at minimum annually or when a significant change occurs.</t>
  </si>
  <si>
    <t>12/24/2025: The SSP is updated and version controlled (with dates) to ensure changes are captured and authorized.</t>
  </si>
  <si>
    <t>12/27/2025: Privileged accounts are identified as System Administrators (SA). SA accounts are identified through their Entra ID group membership which are assigned the "APIS-Admins" group.</t>
  </si>
  <si>
    <t>APIS_SSP_v1.1-10-31-2025.docx
IA.L2-3.5.3a1-12-27-2025.png</t>
  </si>
  <si>
    <t xml:space="preserve">12/27/2025: The local admin account (AVD Windows) can only be access once a privileged user has connected to their assigned VM. All privileged users are required to connect via the RDP web client which requires MFA prior to granting access.  </t>
  </si>
  <si>
    <t xml:space="preserve">12/27/2025: All privileged and non-privileged users are required to connect via the RDP web client which requires MFA prior to granting access.  </t>
  </si>
  <si>
    <t>APIS_SSP_v1.1-10-31-2025.docx
IA.L2-3.5.3c1-12-27-2025.png
IA.L2-3.5.3c2-12-27-2025.png
IA.L2-3.5.3c3-12-27-2025.png
IA.L2-3.5.3c4-12-27-2025.png</t>
  </si>
  <si>
    <t>12/27/2025: Assurit implements Microsoft Authenticator for all MFA users. SMS MFA is only available to select admins to ensure the company is never locked out of the portal.</t>
  </si>
  <si>
    <t>IA.L2-3.5.4a1-12-27-2025.png
IA.L2-3.5.4a2-12-27-2025.png
IA.L2-3.5.4a3-12-27-2025.png</t>
  </si>
  <si>
    <t>12/27/2025: All system users are identified by their assigned Entra ID account. Accounts are provisioned by the SA and follow a naming convention that uniquely identifies the user (first.last@assurit.onmicrosoft.us).</t>
  </si>
  <si>
    <t>12/27/2025: Windows OS application processes acting on behalf of users are uniquely identified and managed through the operating system. APIS does not utilize any other 3rd party applications outside of what is provided through the Azure GCC/Microsoft ecosystem.</t>
  </si>
  <si>
    <t>12/27/2025: BYOD devices accessing the APIS AVDs/Azure Portals are uniquely identified by their IP address. APIS user IP addresses are whitelisted within Entra ID and are restricted on what they can access based on their roles (privileged/non-privileged).</t>
  </si>
  <si>
    <t>APIS_SSP_v1.1-10-31-2025.docx
IA.L1-3.5.1a1-12-27-2025.png
IA.L1-3.5.1a2-12-27-2025.png
IA.L1-3.5.1a3-12-27-2025.png</t>
  </si>
  <si>
    <t>APIS_SSP_v1.1-10-31-2025.docx
IA.L1-3.5.1c1-12-27-2025.png</t>
  </si>
  <si>
    <t>12/27/2025: All users are authenticated via Entra ID prior to being granted access to their AVDs or Azure Portals. Users are authenticated through the assigned username (user principal name), password, and MFA challenge.</t>
  </si>
  <si>
    <t>12/27/2025: Windows OS application processes acting on behalf of users are authenticated and managed through the operating system. APIS does not utilize any other 3rd party applications outside of what is provided through the Azure GCC/Microsoft ecosystem that requires authentication on behalf of users.</t>
  </si>
  <si>
    <t>12/27/2025: BYOD devices accessing the APIS AVDs/Azure Portals are authenticated/enforced by their IP address. APIS user IP addresses are whitelisted within Entra ID and enforced through Conditional Access policies.</t>
  </si>
  <si>
    <t>APIS_SSP_v1.1-10-31-2025.docx
IA.L1-3.5.2c1-12-27-2025.png
IA.L1-3.5.2c2-12-27-2025.png</t>
  </si>
  <si>
    <t>12/27/2025: Assurit solely utilizes Entra ID for identifiers. Entra ID enforces identifier reuse protections through built-in lifecycle controls. When an account is deleted, its identifiers (such as UPN and email address) are retained during a mandatory soft-delete period, preventing immediate reuse for 30 days (https://learn.microsoft.com/en-us/entra/architecture/recover-from-deletions?utm_source=chatgpt.com). Object identifiers are globally unique and never reassigned. For hybrid identities, immutable identifiers bind cloud accounts to on-premises objects, preventing reassociation. These protections are enforced by the Entra ID service and are not configurable by tenant administrators.</t>
  </si>
  <si>
    <t>12/27/2025: Assurit defines the identifier reuse policy requirements for (30) days following deletion from the system. In addition, disabled identifiers are prohibited from being re-assigned.</t>
  </si>
  <si>
    <t>APIS_SSP_v1.1-10-31-2025.docx
https://learn.microsoft.com/en-us/entra/architecture/recover-from-deletions?utm_source=chatgpt.com</t>
  </si>
  <si>
    <t>IA.L1-3.5.6b1-01-03-2026.png
IA.L1-3.5.6b2-01-03-2026.png
IA.L1-3.5.6b3-01-03-2026.png</t>
  </si>
  <si>
    <t>01/03/2026: Assurit implements "Access Reviews" via Entra ID. Reviews are prompted monthly in which failure to login or respond results in the removal of the user's APIS access.</t>
  </si>
  <si>
    <t>01/03/2026: Assurit defines a (30) day inactivity period for APIS accounts. Accounts that exceed the (30) day period are subject to deactivation and must be re-approved prior to reinstatement.</t>
  </si>
  <si>
    <t>12/27/2025: Password complexity requirements are defined within the Cyber Handbook as follows:
Passwords for all user and administrative accounts shall:
o Be at least 8 characters in length.
o Include at least one uppercase letter, one lowercase letter, one number, and one special character.</t>
  </si>
  <si>
    <t>12/27/2025: Password change requirements are defined within the Cyber Handbook   as follows:
III. Passwords shall be changed at least every 6 months.</t>
  </si>
  <si>
    <t>12/27/2025: Microsoft Entra ID enforces a built-in, tenant-wide password policy for all cloud-only user accounts. Password complexity requirements are enforced directly by the Entra ID service and cannot be modified or weakened by tenant administrators. This policy requires a minimum password length of eight (8) characters and evaluates password strength using entropy-based analysis, Microsoft-maintained banned password lists, and optional tenant-defined custom banned passwords. Passwords that do not meet these requirements are rejected at the time of creation, change, or reset.
For local AVD accounts (Windows), the password complexity is configured and enforced through Intune as a DISA STIG requirement.</t>
  </si>
  <si>
    <t xml:space="preserve">12/27/2025: Microsoft Entra ID does not provide a configurable setting to enforce mandatory periodic password changes for cloud-only users. This design aligns with modern authentication guidance, including NIST SP 800-63B, which discourages arbitrary password rotation in favor of stronger controls such as multifactor authentication, weak-password blocking, and compromise detection. As a result, the Entra ID portal does not expose a password expiration or change-frequency policy for cloud-managed identities. Password changes occur only when initiated by the user, required by an administrator, or triggered by suspected credential compromise.
For local AVD accounts (Windows), the password expiration is omitted as the local admin account is only known by a single administrator. In addition, the password complexity is set to +30 characters. </t>
  </si>
  <si>
    <t>12/27/2025: Assurit defines the password reuse requirement within the Cyber Handbook as follows:
I. Users shall not reuse any of their last 10 unique passwords.</t>
  </si>
  <si>
    <t>12/27/2025: Password reuse protections are enforced by the Entra ID service through internal password history controls and banned password evaluation. The length of password history and reuse thresholds are not configurable by tenant administrators and are enforced as part of Microsoft’s service-level security baseline.
For local AVD accounts (Windows), the password reuse restrictions is configured and enforced through Intune as a DISA STIG requirement.</t>
  </si>
  <si>
    <t>APIS_SSP_v1.1-10-31-2025.docx
https://learn.microsoft.com/en-us/entra/identity/authentication/concept-sspr-policy?tabs=ms-powershell
IA.L1-3.5.7c1-12-27-2025.png</t>
  </si>
  <si>
    <t>APIS_SSP_v1.1-10-31-2025.docx
https://learn.microsoft.com/en-us/entra/identity/authentication/concept-password-ban-bad-combined-policy
IA.L1-3.5.7c1-12-27-2025.png</t>
  </si>
  <si>
    <t>APIS_SSP_v1.1-10-31-2025.docx
IA.L1-3.5.7c1-12-27-2025.png</t>
  </si>
  <si>
    <t>01/03/2026: Assurit utilizes the Temporary Access Password (TAP) authentication method (Entra ID) when issuing temporary passwords to uses. TAP authentication can only be used upon intial login and must be changed thereafter.</t>
  </si>
  <si>
    <t>APIS_SSP_v1.1-10-31-2025.docx
Assurit_Cyber_Handbook_v2.1-09-08-2025.docx
IA.L1-3.5.9a1-01-03-2026.png</t>
  </si>
  <si>
    <t>01/03/2026: Microsoft Entra ID protects user passwords through service-level cryptographic controls that ensure passwords are never stored or transmitted in plaintext. Passwords are processed using industry-standard, one-way cryptographic hashing algorithms with salting and are stored in a non-reversible form within Microsoft’s identity infrastructure. At no time are tenant administrators or Microsoft personnel able to retrieve user passwords in cleartext.
All authentication traffic between clients and Microsoft Entra ID is protected using Transport Layer Security (TLS), ensuring passwords and authentication tokens are encrypted in transit and protected against interception or tampering. Entra ID additionally applies continuous monitoring, anomaly detection, and secure credential handling practices as part of Microsoft’s cloud security baseline.
These protections are enforced by the Microsoft Entra ID service and are not configurable by tenant administrators</t>
  </si>
  <si>
    <t>APIS_SSP_v1.1-10-31-2025.docx
Assurit_Cyber_Handbook_v2.1-09-08-2025.docx
https://learn.microsoft.com/en-us/entra/architecture/security-operations-introduction</t>
  </si>
  <si>
    <t>APIS_SSP_v1.1-10-31-2025.docx
Assurit_Cyber_Handbook_v2.1-09-08-2025.docx
https://learn.microsoft.com/azure/security/fundamentals/encryption-overview#encryption-in-transit</t>
  </si>
  <si>
    <t>01/03/2026: All authentication sequences are re-directed to login.microsoftonline.us in which password are obscured by default when entering them.</t>
  </si>
  <si>
    <t>APIS_SSP_v1.1-10-31-2025.docx
IA.L1-3.5.11a1-01-03-2026.png</t>
  </si>
  <si>
    <t>12/30/2025: APIS system changes are tracked as internal change requests that are submitted via SharePoint, which are assigned a unique tracking ID, description, security impact, and approval.</t>
  </si>
  <si>
    <t>12/30/2025: APIS system changes are reviewed by the AO/SO to ensure changes meet its objective and a Security Impact Analysis (SIA) has been completed.</t>
  </si>
  <si>
    <t>12/30/2025: APIS system changes are either approved or disapproved by the AO or SO. Disapproved changes are provided justifications for rejection.</t>
  </si>
  <si>
    <t>12/30/2025: Security Impact Analysis (SIA) are completed by the submitter and reviewed/approved by the AO or SO prior to implementation. The SIA focuses on the impact to users, data, and/or security controls relevant to the change.</t>
  </si>
  <si>
    <t xml:space="preserve">12/30/2025: APIS is hosted entirely within the Microsoft Azure GCC High environment. Assurit inherits the physical access restrictions provided by Microsoft as the CSP.  </t>
  </si>
  <si>
    <t>12/30/2025: Logical access restrictions to APIS components are managed entirely through the Azure Government Portals. The requirements for physical and logical access restrictions are defined within the Cyber Handbook.</t>
  </si>
  <si>
    <t>12/30/2025: Logical access restrictions to APIS components are managed entirely through the Azure Government Portals. Any changes to logical access to these portals are documented as a part of the Assurit change request process noted for CM.L2-3.4.3.</t>
  </si>
  <si>
    <t>12/30/2025: Logical access restrictions to the Azure Government Portals is enforced through Entra ID and Conditional Access Policies defined for AC.L1-3.1.1.</t>
  </si>
  <si>
    <t xml:space="preserve">12/30/2025: Essential capabilities for APIS consists of the cloud infrastructure and AVDs. APIS is designed to securely store, process, and/or transmit CUI data in which only the minimum functionality is configured to support this. In addition, Assurit aligns with DISA STIG and CIS hardening standards to remove nonessential functions and to further secure the environment. </t>
  </si>
  <si>
    <t>12/30/2025: APIS components are configured to only provide the minimum functionality to support the secure storage, processing, and/or transmission of CUI data to and from the environment. The Windows 11 AVDs are hardened to DISA STIG compliance in which configuration policies are implemented/enforced via Intune. The AVD Network Security Group (NSG) and Network Address Translation (NAT) Gateway are implemented to ensure the AVDs can access M365 services while remaining private within the APIS enclave. Section 2.11 of the SSP lists the ports, protocols, and services that are configured for the NSG to support network connectivity. In addition, Conditional Access (CA) policies are configured to restrict access to Assurit's M365 services from the NAT gateway's public IP address.</t>
  </si>
  <si>
    <t>12/30/2025: Essential programs for APIS are defined as the following:
-Single-Session Windows 11 AVD
-Microsoft M365 services (Assurit-specific) to include Word, Excel, PowerPoint, Exchange, SharePoint, and OneDrive
-Microsoft Edge Browser</t>
  </si>
  <si>
    <t>12/30/2025: Assurit defines the list of non-essential programs within the Cyber Handbook and prohibits their use unless approved by the AO or SO.</t>
  </si>
  <si>
    <t>12/30/2025: Assurit implements an Intune Configuration Policy which installs only authorized M365 services/software. Furthermore, the intune device configuration policies restricts user-installed programs in alignment with the Windows 11 DISA STIG.</t>
  </si>
  <si>
    <t>12/30/2025: Essential ports, protocols, and services are defined within section 2.11 of the SSP. These services are deemed essential to support the company's CUI objectives and protection.</t>
  </si>
  <si>
    <t>12/30/2025: Non-essential functions are defined within the Cyber Handbook. The use of non-essential functions are prohibited and must be requested/approved by the AO or SO.</t>
  </si>
  <si>
    <t>12/30/2025: Essential functions are defined within section 2.11 of the SSP. These services are deemed essential to support the company's CUI objectives and protection.</t>
  </si>
  <si>
    <t xml:space="preserve">12/30/2025: Only essential functions are configured and implemented through the NSG rules. </t>
  </si>
  <si>
    <t>12/30/2025: Only essential ports, protocols, and services are configured and implemented through the NSG rules.</t>
  </si>
  <si>
    <t>12/30/2025: Non-essential ports, protocols, and services are defined within the Cyber Handbook. The use of non-essential functions are prohibited and must be requested/approved by the AO or SO.</t>
  </si>
  <si>
    <t>12/30/2025: Assurit defines within the Cyber Handbook, the use of whitelisting to permit the use of authorized applications.</t>
  </si>
  <si>
    <t>12/30/2025: Application execution for the Windows 11 AVDs are controlled through (2) primary mechanisms:
1. Conditional Access Policies: Only permits APIS AVDs to connect to Assurit's M365 services through the static NAT gateway.
2. Attack Surface Reduction (ASR) Rules: Prevents the execution or installation of software that are not Microsoft products.</t>
  </si>
  <si>
    <t>12/30/2025: Permitted software that are authorized for execution are Microsoft M365/Office programs and Edge browser.</t>
  </si>
  <si>
    <t>01/03/2026: Assurit establishes policy restrictions for user-installed software within the Cyber Handbook. Users are restricted for installing software on assigned AVDs. All software installations must be performed through Intune or manually by an authorized administrator. Only authorized software is permitted for installation.</t>
  </si>
  <si>
    <t>01/03/2026: User installation is restricted through ASR and intune device configuration policies. ASR prevents the installation of software downloaded from the internet or webmail. Installations require elevated privileges which are not assigned to normal users.</t>
  </si>
  <si>
    <t>01/03/2026: Software installation is logged within Windows events and forwarded to Sentinel for monitoring.</t>
  </si>
  <si>
    <t>APIS_SSP_v1.1-10-31-2025.docx
Assurit_Cyber_Handbook_v2.1-09-08-2025.docx
U_MS_Windows_11_V2R5_STIG.zip</t>
  </si>
  <si>
    <t>APIS_SSP_v1.1-10-31-2025.docx
CM.L2-3.4.2a1-01-03-2026.png
CM.L2-3.4.2a2-01-03-2026.png
CM.L2-3.4.2a3-01-03-2026.png</t>
  </si>
  <si>
    <t>12/30/2025: All Windows 11 baselines are enforced via intune management. Validation of enforcement is performed through SCC SCAP scans which meet an 88% score with 12% of settings that are not applicable or omitted.</t>
  </si>
  <si>
    <t>APIS_SSP_v1.1-10-31-2025.docx
CM.L2-3.4.2b1-01-03-2026.png</t>
  </si>
  <si>
    <t>APIS_SSP_v1.1-10-31-2025.docx
Assurit_Cyber_Handbook_v2.1-09-08-2025.docx
CM.L2-3.4.2a1-01-03-2026.png
CM.L2-3.4.2a2-01-03-2026.png
CM.L2-3.4.2a3-01-03-2026.png</t>
  </si>
  <si>
    <t>APIS_SSP_v1.1-10-31-2025.docx
Assurit_Cyber_Handbook_v2.1-09-08-2025.docx
CM.L2-3.4.6b1-01-03-2026.png</t>
  </si>
  <si>
    <t>APIS_SSP_v1.1-10-31-2025.docx
CM.L2-3.4.8b1-01-03-2026.png
CM.L2-3.4.8b2-01-03-2026.png
CM.L2-3.4.9b1-01-03-2026.png
CM.L2-3.4.9b2-01-03-2026.png</t>
  </si>
  <si>
    <t>Assurit_Cyber_Handbook_v2.1-09-08-2025.docx
Assurit_Employee_Handbook-2025.pdf</t>
  </si>
  <si>
    <t>CMMC Practice Scoring</t>
  </si>
  <si>
    <t>01/04/2026: The AO/SO notifies the SA of employment termination and specifies the date of termination. The SA terminates the user's APIS access by disabling their Entra ID account. The account is maintained for 30 days thereafter in the event that the termination was unfavorable. Throughout the termination period, the user's activity is monitored to ensure that APIS and relevant CUI is protected.</t>
  </si>
  <si>
    <t>01/04/2026: Assurit establishes the policy requirements for personnel termination and actions within the Cyber Handbook.</t>
  </si>
  <si>
    <t>01/04/2026: Per the Cyber Handbook, all Assurit employees and contractors must undergo eligibility and background checks prior to being granted access to APIS. The background checks include:
-Professional Interviews
-CJIS
-Security Clearance (SF-86) as required by contractual requirements. 
Upon favorable results, users are required to review/acknowledge the Assurit Employee Handbook/ROB, and complete all Assurit training requirements (AT.L2-3.2.1, AT.L2-3.2.2, AT.L2-3.2.3).
Upon successful completion of all onboarding requirements, users are provisioned with an Entra ID (Azure GCC) and assigned access based on their job duties/need-to-know.</t>
  </si>
  <si>
    <t>Assurit_Cyber_Handbook_v2.1-09-08-2025.docx
PS.L2-3.9.2b1-01-04-2026.png
PS.L2-3.9.2b2-01-04-2026.png</t>
  </si>
  <si>
    <t>01/05/2026: The frequency of risk assessment are defined within the Cyber Handbook as follows: 
"Risk assessments shall be conducted at least annually, or upon significant changes to APIS architecture, operations, or threat landscape."</t>
  </si>
  <si>
    <t>01/05/2026: APIS is currently undergoing its initial assessment for authorization. Upon completion of the initial security assessment, a risk assessment will be performed following the identification of security weaknesses. Thereafter, risk assessments will be performed as a part of the company's annual attestation requirements (SPRS) and change management activities (ongoing).</t>
  </si>
  <si>
    <t>Assurit_Cyber_Handbook_v2.1-09-08-2025.docx
APIS_SSP_v1.1-10-31-2025.docx</t>
  </si>
  <si>
    <t>01/06/2026: Assurit defines the frequency of vulnerability scans to occur, at minimum, weekly or when a significant change occurs with the system (Cyber Handbook).</t>
  </si>
  <si>
    <t>01/06/2026: APIS AVDs are onboarded to Microsoft Defender for Endpoint (GCC) in which scans are performed daily and in real-time. The vulnerability scans are performed through deployed agents and encompasses both the Windows 11 OS and installed applications. In addition antivirus scans are scheduled to occur daily. New vulnerability are detected as signatures are updated for Defender by Microsoft.</t>
  </si>
  <si>
    <t>APIS_SSP_v1.1-10-31-2025.docx
RA.L2-3.11.2b1-01-06-2026.png
RA.L2-3.11.2b2-01-06-2026.png
RA.L2-3.11.2b3-01-06-2026.png
RA.L2-3.11.2b4-01-06-2026.png
RA.L2-3.11.2b5-01-06-2026.png</t>
  </si>
  <si>
    <t>01/06/2026: Vulnerabilities are identified through Defender for Endpoint scans which occur daily and in-real time.</t>
  </si>
  <si>
    <t>01/06/2026: Vulnerabilities are remediated manually or through the "Update Rings" that apply Windows patches every Wednesday.</t>
  </si>
  <si>
    <t>12/18/2025: The external system boundary consists of Microsoft Office 365 services for Government (M365) in which Assurit utilizes Word, Excel, PowerPoint, SharePoint/One Drive, and Exchange Online.</t>
  </si>
  <si>
    <t>12/18/2025: The APIS internal boundary consists of (1) private subnet for Windows 11 AVDs. The internal boundary is separated from the public internet through a hardened NSG and a NAT gateway. The NAT gateway is configured with a static IP address attached to the AVD NSG that enables outbound internet traffic.</t>
  </si>
  <si>
    <t>01/06/2026: The APIS assets and services that require Malicious Code Protection are the following:
-Windows 11 AVDs
-M365 Exchange, SharePoint, OneDrive
-Azure Blob Storage Accounts</t>
  </si>
  <si>
    <t>01/06/2026: Microsoft Defender for Endpoint (MDE) is deployed on all Windows 11 AVD as a part of the deployment process. An AV protection policy is configured and enabled to ensure both real-time and active scanning is performed on all AVD endpoints. 
Microsoft Defender for Office is deployed for all M365 services which provides malware protection for Exchange, SharePoint, and OneDrive.</t>
  </si>
  <si>
    <t>APIS_SSP_v1.1-10-31-2025.docx
SI.L1-3.14.2b1-01-06-2026.png
SI.L1-3.14.2b2-01-06-2026.png
SI.L1-3.14.2b3-01-06-2026.png
SI.L1-3.14.2b4-01-06-2026.png
SI.L1-3.14.2b5-01-06-2026.png</t>
  </si>
  <si>
    <t>01/06/2026: Defender for Endpoint Antivirus is configured to perform signature updates every (8) hours for Windows 11 AVDs. Defender for Office is a managed service in which Microsoft maintains signature updates.</t>
  </si>
  <si>
    <t>APIS_SSP_v1.1-10-31-2025.docx
SI.L1-3.14.4a1-01-06-2026.png</t>
  </si>
  <si>
    <t>01/06/2026: Assurit defines the frequency of malicious code scans to occur, at minimum, weekly within the Cyber Handbook.</t>
  </si>
  <si>
    <t>01/06/2026: Assurit configures an AV policy via intune to perform full and quick scans daily (9:00AM and 4:00PM).</t>
  </si>
  <si>
    <t>APIS_SSP_v1.1-10-31-2025.docx
SI.L1-3.14.5b1-01-06-2026.png</t>
  </si>
  <si>
    <t>APIS_SSP_v1.1-10-31-2025.docx
SI.L1-3.14.5c1-01-06-2026.png
SI.L1-3.14.5c2-01-06-2026.png</t>
  </si>
  <si>
    <t>01/06/2026: Assurit configures an AV policy via intune to scans all downloaded files and email attachments. In addition, real-time monitoring and ASR rules are enabled for additional malware protection.</t>
  </si>
  <si>
    <t>01/07/2026: Assurit defines the time for which system flaws are identified within the Cyber Handbook as follows:
I. System flaws shall be identified utilizing automated tools and within (14) days from when the signature is made available by the vendor.</t>
  </si>
  <si>
    <t>01/07/2026: The organization uses Microsoft Defender for Endpoint deployed across all Windows 11 AVD session hosts within the Azure Government Cloud High environment to continuously identify system flaws. Defender for Endpoint provides real-time visibility into endpoint security posture through integrated vulnerability assessment and threat detection capabilities. The platform evaluates operating system configuration, installed software, missing security updates, and exposure indicators against Microsoft-maintained threat intelligence and vulnerability data. Detected flaws, including unpatched vulnerabilities, insecure configurations, and exploitable software weaknesses, are centrally surfaced in the Microsoft 365 Defender portal</t>
  </si>
  <si>
    <t>01/07/2026: Un-remediated vulnerabilities that exceeds Assurit's remediation timeline/risk threshold are documented as POA&amp;Ms. Vulnerabilities that are remediated through automated Windows 11 Update Rings is treated as system maintenance in which the completion of updates is verified by the SA and reported as needed.</t>
  </si>
  <si>
    <t>01/07/2026: APIS is currently undergoing its initial authorization. Vulnerability reporting will begin in alignment with the Cyber Handbook requirements following the system's authorization.</t>
  </si>
  <si>
    <t>01/07/2026: Assurit defines the time for flaw remediation within the Cyber Handbook as follows:
o	Critical/High vulnerabilities within 30 days of patch availability 
o	Moderate vulnerabilities within 90 days of patch availability; 
o	Low vulnerabilities within 365 days of patch availability. 
o	Items that cannot meet timelines require AO-approved, time-bound POA&amp;M entries with compensating controls and a review date.</t>
  </si>
  <si>
    <t>01/07/2026: Windows 11 Updates are performed via Update Rings which automatically install patches as they are made available.</t>
  </si>
  <si>
    <t>APIS_SSP_v1.1-10-31-2025.docx
SI.L1-3.14.1b1-01-07-2026.png
SI.L1-3.14.1b2-01-07-2026.png
SI.L1-3.14.1b3-01-07-2026.png
https://learn.microsoft.com/en-us/defender-vulnerability-management/defender-vulnerability-management?tabs=preview-customers#continuous-asset-discovery-and-monitoring
https://learn.microsoft.com/en-us/defender-vulnerability-management/tvm-weaknesses</t>
  </si>
  <si>
    <t>APIS_SSP_v1.1-10-31-2025.docx
SI.L1-3.14.1f1-01-07-2026.png
SI.L1-3.14.1f2-01-07-2026.png</t>
  </si>
  <si>
    <t>01/07/2026: Response actions for APIS alerts are defined within the SSP. Alerts are reviewed, investigated, and resolved in accordance with the Cyber Handbook. Alerts that are deemed valid are elevated to incidents and are handled in accordance with the company's IR plan/procedures.</t>
  </si>
  <si>
    <t>01/07/2026: Alerts are monitored on a daily/weekly basis within Microsoft Sentinel. In addition, alerts trigger email notification to the SA for action.</t>
  </si>
  <si>
    <t>01/07/2026: Responses to alerts are taken as necessary to mitigate any risks to the environment and data. Actions and observations are noted within Sentinel to provide a timeline of activities taken for each alert or incident.</t>
  </si>
  <si>
    <t>APIS_SSP_v1.1-10-31-2025.docx
SI.L1-3.14.3b1-01-07-2026.png
SI.L1-3.14.3b2-01-07-2026.png
SI.L1-3.14.3b3-01-07-2026.png</t>
  </si>
  <si>
    <t>01/07/2026: APIS implements analytics rules to support the detection of both Network and Host-Based attacks. Assurit utilizes the Microsoft Content Hub for analytic templates and tailors them as required to meet monitoring objectives.</t>
  </si>
  <si>
    <t>01/07/2026: All inbound/outbound traffic is captured through NSG Flow Logs which is forwarded to Sentinel. Sentinel alerts and logs are reviewed on a daily/weekly basis with a focus on NSG traffic to ensure APIS AVDs are protected. In addition, email alerts are configured to notify the SA of suspected events based on analytic rules.</t>
  </si>
  <si>
    <t>APIS_SSP_v1.1-10-31-2025.docx
SI.L2-3.14.6b1-01-07-2026.png
SI.L2-3.14.6b2-01-07-2026.png
SI.L2-3.14.6b3-01-07-2026.png
SI.L2-3.14.6b4-01-07-2026.png</t>
  </si>
  <si>
    <t xml:space="preserve">01/07/2026: Authorized use of APIS is defined within the SSP as follows:
• Non-Privileged Use (APIS-Users): Routine activities utilizing M365 services which includes:
o	Word/Excel/PowerPoint
o	Outlook (Receiving/Sending)
o	SharePoint/OneDrive
• Privileged Use: Privileged functions are defined as elevated access to the following to administer the APIS environment: 
o	Azure environment configurations
o	Virtual machine configurations
o	Exchange, SharePoint, OneDrive Settings </t>
  </si>
  <si>
    <t>01/07/2026: Unauthorized use is identified through Sentinel Analytics and Microsoft DLP in which alerts are triggered for violations. In addition, the SA is emailed of violations which prompt response actions defined for control SI.L2-3.14.3.</t>
  </si>
  <si>
    <t>APIS_SSP_v1.1-10-31-2025.docx
SI.L2-3.14.7b1-01-07-2026.png
SI.L2-3.14.7b2-01-07-2026.png
SI.L2-3.14.7b3-01-07-2026.png
SI.L2-3.14.7b4-01-07-2026.png</t>
  </si>
  <si>
    <t>01/07/2026: APIS is virtualized and hosted entirely within the Azure GCC High cloud environment. By design, collaborative computing devices are unable to interconnect or access APIS resources by design. Additional controls are applied to Host Pools/sessions to ensure AVDs are unable to redirect input to external devices (e.g. printers, microphones, smart devices).</t>
  </si>
  <si>
    <t>APIS_SSP_v1.1-10-31-2025.docx
Assurit_Cyber_Handbook_v2.1-09-08-2025.docx
SC.L2-3.13.12a1-01-07-2026.png</t>
  </si>
  <si>
    <t>01/07/2026: Inbound/outbound traffic is monitored through the NSG flow logs. The environment contains a single NSG that manages and filters all traffic to the APIS AVDs. The NSG flow logs are sent to a designated log analytics workspace that is forwarded to Microsoft Sentinel for monitoring.</t>
  </si>
  <si>
    <t>01/07/2026: Inbound/Outbound traffic leaving the APIS environment is controlled through the NSG and NAT gateway, maintaining essential connectivity to M365 services while ensuring the AVDs remain private (Not directly accessible from the Internet). In addition, conditional access policies are configured to only allow M365 access from the NAT gateway.</t>
  </si>
  <si>
    <t>01/07/2026: Inbound/outbound traffic is protected via TLS 1.2 encryption (443) In addition, Defender for Cloud is employed to protect RDP sessions (3389).</t>
  </si>
  <si>
    <t>APIS_SSP_v1.1-10-31-2025.docx
SC.L1-3.13.1a1-01-07-2026.png
SC.L1-3.13.1a2-01-07-2026.png
SC.L1-3.13.1e1-01-07-2026.png
SC.L1-3.13.1e2-01-07-2026.png
SC.L1-3.13.1g1-01-07-2026.png</t>
  </si>
  <si>
    <t>01/07/2026: Assurit identifies "Defense-in-Depth" security principles and implementation guidance within the Cyber Handbook.</t>
  </si>
  <si>
    <t>01/07/2026: APIS is designed as a logically isolated environment within Azure GCC High and operates on a private network architecture intended to securely process, store, and transmit CUI. Network isolation is enforced through a single NSG combined with an attached NAT gateway, permitting controlled outbound communications while preventing direct public exposure of AVD resources. Inbound network access to AVDs is restricted and not publicly routable.
Access to APIS is further controlled through CA policies configured to enforce deny-by-default access. Remote access to AVDs is permitted only for authorized users based on assigned permissions and approved source locations. These controls establish a clear trust boundary between external user endpoints and internal system resources.
AVDs are configured using DISA STIG Windows 11 baselines and are deployed with MDE to provide continuous monitoring, threat detection, and visibility into security-relevant activity. Defense-in-depth principles are applied through layered identity, network, endpoint, and monitoring controls to reduce attack surface and limit the impact of potential compromise.
All network communications within APIS are protected using TLS 1.2, and all data at rest and in transit is encrypted using Microsoft-provided encryption mechanisms by default. Security engineering decisions, trust boundaries, and authorized data flows are documented within the SSP and are reviewed as part of system governance and continuous monitoring activities.</t>
  </si>
  <si>
    <t>01/07/2026: User functionality within APIS is limited to AVD and M365 services and is accessed using non-privileged user accounts. System management functionality is restricted to Azure Government administrative portals and is accessible only to authorized personnel assigned to privileged roles. These functions are separated by design through the use of distinct access methods, including dedicated web-based administrative consoles and controlled RDP sessions, preventing users from performing administrative actions within standard user sessions.
Access to user and administrative functions is enforced through CA policies configured to deny access by default and permit access only based on role assignment and approved conditions. Administrative access to Azure Government portals is restricted to authorized privileged accounts, while AVD access is limited to approved users based on assigned permissions. The use of separate consoles, accounts (Entra ID), and access paths ensures that user, system management, and security administration functions are logically and operationally separated.
User roles do not possess administrative privileges. This separation prevents any single individual from executing conflicting functions without authorization and supports least privilege enforcement across APIS.</t>
  </si>
  <si>
    <t>APIS_SSP_v1.1-10-31-2025.docx
Assurit_Cyber_Handbook_v2.1-09-08-2025.docx
SC.L2-3.13.3a1-01-07-2026.png
SC.L2-3.13.3a2-01-07-2026.png
SC.L2-3.13.3a3-01-07-2026.png
SC.L2-3.13.3a4-01-07-2026.png</t>
  </si>
  <si>
    <t>01/07/2026: APIS operates on shared cloud infrastructure while enforcing logical isolation of user sessions, data, and services. User access is restricted through AVD session isolation and identity-based access controls, ensuring users cannot access other users’ processes, memory, or data. Shared services and storage are protected through role-based permissions and operating system–level access controls. Foundational shared resource protections are inherited from Azure GCC High, which enforces isolation across compute, memory, and storage layers.</t>
  </si>
  <si>
    <t>01/07/2026: The APIS environment is hosted within the Azure GCC High Cloud in which system components are not physically accessible by the public. APIS AVDs and Azure Government Portals are not logically accessible by the public as they are protected through conditional access policies, NAT gateway and NSG settings.</t>
  </si>
  <si>
    <t>01/07/2026: The assessor reviewed the NSG applied to APIS AVD resources and observed that inbound and outbound network traffic is denied by default. The NSG includes an explicit DenyAllInBound rule preventing unauthorized inbound communications and does not permit general inbound access from external networks. No public exposure of AVD resources was identified. Platform-required rules allowing VirtualNetwork and AzureLoadBalancer traffic are present and limited in scope.
Outbound network communications are explicitly authorized through defined allow rules, including restricted outbound connectivity to required Microsoft service endpoints over TCP 443. A DenyAllOutBound rule is configured to block all other outbound traffic not explicitly permitted. This configuration ensures that network communications are allowed only when specifically authorized and all other traffic is denied.</t>
  </si>
  <si>
    <t>APIS_SSP_v1.1-10-31-2025.docx
SC.L2-3.13.6a1-01-07-2026</t>
  </si>
  <si>
    <t>01/07/2026: APIS does not employ remote access technologies that establish network tunnels (e.g., VPNs) where split tunneling could occur. User access is provided through AVD using brokered application-layer connectivity (rdweb.wvd.azure.us/arm/webclient/index.html), and user endpoints do not route traffic into the system network. All network communications originate from APIS-managed resources and are governed by centralized network security controls.</t>
  </si>
  <si>
    <t>01/07/2026: APIS protects the confidentiality and integrity of CUI during transmission through the use of cryptographic mechanisms and secure communication protocols. All data transmitted within and from APIS is protected using TLS 1.2, which is enforced by default for communications between system components, user access sessions, and integrated cloud services. User access to APIS occurs exclusively through AVD using brokered HTTPS connections, ensuring that data transmitted between user endpoints and system resources is encrypted in transit.
Internal system communications, including communications between virtual machines, platform services, and management interfaces, are constrained to private network paths and protected using encrypted channels. Email communications processed through Exchange Online are encrypted in transit using TLS, and data exchanged with Microsoft cloud services leverages Microsoft-managed secure transport mechanisms. Network traffic is further controlled and monitored through NSGs and centralized security monitoring to prevent unauthorized or unprotected transmissions.</t>
  </si>
  <si>
    <t>APIS_SSP_v1.1-10-31-2025.docx
https://learn.microsoft.com/en-us/purview/email-encryption</t>
  </si>
  <si>
    <t>01/07/2026: APIS ensures the authenticity of communications by using cryptographic mechanisms and trusted identity services to verify the source of information prior to acceptance. User and system communications with APIS are authenticated through Entra ID using strong identity verification and token-based authentication mechanisms. Access to system resources is permitted only after successful authentication and authorization, ensuring that communications originate from verified users, devices, and services.
Communications between user endpoints and APIS occur exclusively through AVD using brokered HTTPS connections protected by TLS 1.2, which provides server authentication and protects against spoofing and man-in-the-middle attacks. Internal system communications and service-to-service interactions rely on Microsoft-managed certificates and trusted service identities to validate endpoints and ensure that data exchanges occur only between authorized system components.
Email communications processed through Exchange Online use authenticated SMTP sessions and TLS-protected transport, ensuring that message sources are validated prior to acceptance and delivery. Network traffic paths are further constrained by NSGs and CA policies, preventing unauthenticated or unauthorized connections from being established.</t>
  </si>
  <si>
    <t>01/07/2026: APIS protects the confidentiality of CUI at rest through host-based encryption and default platform-level storage encryption provided by Azure Government Cloud. All AVD session hosts are configured with encryption at host enabled, ensuring that data written to OS disks is encrypted prior to being persisted to Azure Storage. This mechanism provides encryption at rest that is enforced at the compute host level and is independent of guest operating system controls.
In addition, all Azure Storage accounts used by APIS, including those supporting NSG flow logs and system logging, are encrypted at rest by default using Azure Storage Service Encryption with Microsoft-managed keys. Storage encryption is applied automatically as data is written and transparently decrypted when accessed by authorized services. This ensures that logs and other stored data are protected without requiring user or application-level encryption actions.</t>
  </si>
  <si>
    <t>APIS_SSP_v1.1-10-31-2025.docx
SC.L2-3.13.16a1-01-07-2026.png
SC.L2-3.13.16a2-01-07-2026.png</t>
  </si>
  <si>
    <t>01/07/2026: APIS relies exclusively on Microsoft-managed cryptographic keys for the protection of CUI, with all key generation, storage, rotation, protection, and destruction functions performed by the cloud service provider. Cryptographic keys used to encrypt data at rest and in transit are centrally managed by Microsoft within Azure Government Cloud in accordance with Microsoft security and compliance requirements.
Encryption services used by APIS, including encryption at host for virtual machine disks, Azure Storage Service Encryption, and Microsoft 365 service encryption, utilize Microsoft-managed keys by default. These keys are protected within Microsoft-controlled key management infrastructure and are rotated and retired in accordance with provider-defined lifecycle policies. APIS users and administrators do not have direct access to, or the ability to export, view, or modify cryptographic keys.</t>
  </si>
  <si>
    <t>APIS_SSP_v1.1-10-31-2025.docx
SC.L2-3.13.10a1-01-07-2026.png
https://learn.microsoft.com/en-us/azure/storage/common/customer-managed-keys-overview</t>
  </si>
  <si>
    <t>APIS_SSP_v1.1-10-31-2025.docx
SC.L2-3.13.14a1-01-07-2026.png</t>
  </si>
  <si>
    <t>01/07/2026: VoIP services are not utilized for Assurit's GCC High M365 services. The use of Microsoft Teams Licenses are disabled for all users.</t>
  </si>
  <si>
    <t>01/07/2026: APIS uses FIPS 140-validated cryptographic mechanisms inherited from Azure Government Cloud and Microsoft 365 GCC High services. Encryption at rest and in transit is enforced using Microsoft-managed cryptographic modules validated under FIPS 140, ensuring that CUI is protected using approved cryptographic standards.</t>
  </si>
  <si>
    <t>APIS_SSP_v1.1-10-31-2025.docx
SC.L2-3.13.11a1-01-07-2026.png
https://learn.microsoft.com/en-us/azure/virtual-machines/disk-encryption-overview
https://learn.microsoft.com/en-us/azure/storage/common/storage-service-encryption</t>
  </si>
  <si>
    <t>01/07/2026: APIS protects against unauthorized and malicious mobile code by restricting all user activity to managed AVD session hosts hardened to DISA STIG baselines. MDE provides continuous monitoring and prevention of malicious scripts and executables, while M365 services inspect content for embedded threats. Network and privilege restrictions further limit the introduction and execution of mobile code, ensuring that only authorized code executes within the system.</t>
  </si>
  <si>
    <t>APIS_SSP_v1.1-10-31-2025.docx
SC.L2-3.13.13a1-01-07-2026</t>
  </si>
  <si>
    <t xml:space="preserve">01/07/2026: Session termination for Azure Government administrative portals is enforced through Entra ID Conditional Access using sign-in frequency controls. Authentication tokens are limited to 15 minutes, requiring users to re-authenticate after the configured interval, thereby preventing indefinite or unattended administrative sessions.
RDP session inactivity is enforced through Intune administrative template policies that configure Remote Desktop Services session time limits. Idle and disconnected sessions are automatically terminated after defined periods, preventing unattended access to system resources.
</t>
  </si>
  <si>
    <t>APIS_SSP_v1.1-10-31-2025.docx
SC.L2-3.13.9b1-01-07-2026.png
SC.L2-3.13.9b2-01-07-2026.png
SC.L2-3.13.9b3-01-07-2026.png
SC.L2-3.13.9b4-01-07-2026.png</t>
  </si>
  <si>
    <t>01/08/2025: Assurit implements an incident handling capability for APIS that includes preparation, detection, analysis, containment, eradication, and recovery activities for security incidents involving CUI. Incident handling procedures are formally documented and define roles, responsibilities, escalation paths, and coordination requirements applicable to APIS resources.
APIS leverages Microsoft Sentinel as the centralized security information and event management platform to aggregate, correlate, and analyze security-relevant logs and alerts from system components. Microsoft Defender for Endpoint is deployed on all AVD session hosts to provide continuous endpoint monitoring, threat detection, and alerting. Microsoft Purview is used to support visibility into data-related events and potential data handling incidents involving CUI. These tools collectively enable timely detection and analysis of potential security incidents.
When a potential incident is identified, Assurit personnel follow documented incident response procedures to validate the event, determine scope and impact, and initiate containment actions. Containment activities may include isolating affected endpoints, restricting user access, and blocking malicious activity. Evidence relevant to the incident is preserved to support investigation and reporting requirements.
Recovery activities are performed to restore affected systems to an operational state following containment and remediation. Incident handling activities and outcomes are reviewed, and lessons learned are incorporated into updates to procedures, configurations, or controls as appropriate. These practices ensure that incidents affecting APIS are consistently identified, handled, and resolved in a manner that protects CUI and supports system resilience.</t>
  </si>
  <si>
    <t>01/08/2026: Assurit has established and implements incident reporting procedures for APIS to ensure that security incidents involving CUI are reported to designated internal officials in a timely manner. Incident reporting requirements, including reporting thresholds, timelines, and notification responsibilities, are formally documented and communicated to personnel with incident response and system oversight responsibilities.
APIS leverages Microsoft Sentinel to generate and centralize security alerts and incidents based on correlated security events across system components. Alerts from Microsoft Defender for Endpoint and data-related events identified through Microsoft Purview are ingested into Sentinel and escalated according to defined severity levels. Sentinel incidents serve as the primary mechanism for identifying reportable security events and initiating incident reporting workflows.
When a reportable incident is identified, Assurit personnel follow established procedures to notify appropriate internal stakeholders, including security, system, and management officials, based on the nature and severity of the incident. Incident details, actions taken, and reporting activities are documented to support tracking, management oversight, and follow-up actions.</t>
  </si>
  <si>
    <t>01/08/2025: Assurit conducts incident response testing for APIS on an annual basis to validate the effectiveness of incident handling and reporting procedures. Testing is performed through tabletop and simulated exercises that reflect realistic security incident scenarios affecting CUI. These exercises evaluate personnel roles, communication paths, escalation procedures, and response workflows. Results are documented, and identified gaps or lessons learned are incorporated into updates to incident response procedures, training, or controls as appropriate.</t>
  </si>
  <si>
    <t>Sample Question - What is the purpose of the system?</t>
  </si>
  <si>
    <t>The system is used by political commmittees to report campaign contribution and expenditures. The use of the system is required for committees that have or are expected to have total contributions/expenditures that exceed $50,000 in the reporting calendar year.</t>
  </si>
  <si>
    <t>John Smith, System Owner</t>
  </si>
  <si>
    <t>How is access to APIS restricted to authorized users?</t>
  </si>
  <si>
    <t>Access to APIS is restricted through Entra ID authentication and RBAC. Users access the system exclusively through AVD based on assigned roles and approved permissions.</t>
  </si>
  <si>
    <t>How do you ensure least privilege within APIS?</t>
  </si>
  <si>
    <t>Least privilege is enforced through role-based access assignments. Users are granted only the minimum permissions required, and privileged roles are restricted to authorized administrators.</t>
  </si>
  <si>
    <t>How is remote access controlled?</t>
  </si>
  <si>
    <t>Remote access is provided only through AVD using brokered HTTPS connections. No direct network access or VPN connectivity is permitted.</t>
  </si>
  <si>
    <t>How are inactive user sessions terminated?</t>
  </si>
  <si>
    <t>RDP session inactivity is enforced through Intune policies that terminate idle and disconnected sessions after defined time limits.</t>
  </si>
  <si>
    <t>How are users authenticated before accessing APIS?</t>
  </si>
  <si>
    <t>Users authenticate using Entra ID credentials, with authentication required before access to AVD or M365 services is granted.</t>
  </si>
  <si>
    <t>How do you prevent unauthorized access using stolen credentials?</t>
  </si>
  <si>
    <t>Conditional Access policies enforce deny-by-default access and restrict access based on user identity, role, and approved conditions.</t>
  </si>
  <si>
    <t>How is administrative access protected?</t>
  </si>
  <si>
    <t>Administrative access is limited to privileged roles and is performed through separate Azure Government administrative portals with Conditional Access enforcement.</t>
  </si>
  <si>
    <t>How does Assurit detect security incidents affecting APIS?</t>
  </si>
  <si>
    <t>Security events are detected using Microsoft Sentinel, which aggregates alerts from MDE and Purview for centralized analysis.</t>
  </si>
  <si>
    <t>How are incidents handled once detected?</t>
  </si>
  <si>
    <t>Assurit follows documented incident handling procedures that include analysis, containment, eradication, and recovery activities.</t>
  </si>
  <si>
    <t>How are incidents reported internally?</t>
  </si>
  <si>
    <t>Reportable incidents are escalated through defined reporting procedures, with notifications sent to designated internal officials based on severity.</t>
  </si>
  <si>
    <t>How do you test incident response capabilities?</t>
  </si>
  <si>
    <t>Incident response testing is conducted annually using tabletop or simulated exercises to validate roles, procedures, and communication paths.</t>
  </si>
  <si>
    <t>How are system boundaries protected?</t>
  </si>
  <si>
    <t>System boundaries are protected using NSGs configured with deny-by-default rules and controlled outbound access via a NAT gateway.</t>
  </si>
  <si>
    <t>How is network communication restricted by exception?</t>
  </si>
  <si>
    <t>NSGs explicitly allow only required inbound and outbound traffic, with all other communications denied by default.</t>
  </si>
  <si>
    <t>How is data protected in transit?</t>
  </si>
  <si>
    <t>All data in transit is protected using TLS 1.2 for user access, service-to-service communication, and email transmission.</t>
  </si>
  <si>
    <t>How is data protected at rest?</t>
  </si>
  <si>
    <t>Data at rest is protected using encryption at host for VM disks and default Azure Storage Service Encryption with Microsoft-managed keys.</t>
  </si>
  <si>
    <t>How is cryptographic key management handled?</t>
  </si>
  <si>
    <t>All cryptographic keys are Microsoft-managed. Key generation, storage, rotation, and destruction are handled by the CSP.</t>
  </si>
  <si>
    <t>How do you ensure communications authenticity?</t>
  </si>
  <si>
    <t>Communications are authenticated using Entra ID identity verification and TLS-protected connections that validate endpoints prior to acceptance.</t>
  </si>
  <si>
    <t>How are shared resources protected?</t>
  </si>
  <si>
    <t>Shared resources are protected through AVD session isolation, OS-level access controls, and identity-based permissions.</t>
  </si>
  <si>
    <t>Does split tunneling apply to APIS?</t>
  </si>
  <si>
    <t>No. APIS does not use VPN or tunneling-based remote access. Users connect through AVD using brokered HTTPS connections.</t>
  </si>
  <si>
    <t>How is mobile code controlled?</t>
  </si>
  <si>
    <t>Mobile code execution is restricted to managed AVD hosts hardened to DISA STIG baselines and monitored by MDE.</t>
  </si>
  <si>
    <t>How are system flaws identified?</t>
  </si>
  <si>
    <t>MDE continuously assesses endpoints for vulnerabilities, insecure configurations, and missing updates.</t>
  </si>
  <si>
    <t>How are security patches applied?</t>
  </si>
  <si>
    <t>Windows updates are applied automatically through configured update rings to ensure timely remediation of identified flaws.</t>
  </si>
  <si>
    <t>How do you protect against malicious code?</t>
  </si>
  <si>
    <t>MDE provides real-time malware detection and response, including monitoring of scripts and executables.</t>
  </si>
  <si>
    <t>How do you monitor system integrity?</t>
  </si>
  <si>
    <t>System activity and security events are monitored through Sentinel using centralized logging and alert correlation.</t>
  </si>
  <si>
    <t>How are system configurations controlled?</t>
  </si>
  <si>
    <t>Configurations are standardized and enforced using Intune policies aligned to DISA STIG baselines.</t>
  </si>
  <si>
    <t>How are changes reviewed?</t>
  </si>
  <si>
    <t>Significant system changes are reviewed and approved through documented governance and change control processes.</t>
  </si>
  <si>
    <t>How is CUI prevented from leaving APIS?</t>
  </si>
  <si>
    <t>CUI is processed and stored only within APIS. BYOD endpoints function solely as access terminals and do not store CUI.</t>
  </si>
  <si>
    <t>How is removable media controlled?</t>
  </si>
  <si>
    <t>How do you assess security risk?</t>
  </si>
  <si>
    <t>Risk is assessed through continuous monitoring, vulnerability identification, and review of security alerts and findings.</t>
  </si>
  <si>
    <t>How are risks addressed?</t>
  </si>
  <si>
    <t>Identified risks are documented, prioritized, and mitigated through configuration changes, remediation, or policy updates.</t>
  </si>
  <si>
    <t>How are personnel made aware of incident response responsibilities?</t>
  </si>
  <si>
    <t>Roles and responsibilities are documented in the Cyber Handbook and reinforced through training and exercises.</t>
  </si>
  <si>
    <t>How is security awareness maintained?</t>
  </si>
  <si>
    <t>Personnel receive periodic security awareness training aligned to organizational requirements.</t>
  </si>
  <si>
    <t>How are security events logged?</t>
  </si>
  <si>
    <t>Logs are collected from endpoints, network controls, and cloud services and centralized in Sentinel.</t>
  </si>
  <si>
    <t>How are logs protected?</t>
  </si>
  <si>
    <t>Logs are stored in Azure Storage accounts encrypted at rest with Microsoft-managed keys.</t>
  </si>
  <si>
    <t>Where is CUI stored and processed?</t>
  </si>
  <si>
    <t>CUI is stored and processed exclusively within APIS using AVD and M365 GCC High services.</t>
  </si>
  <si>
    <t>How do you prevent unauthorized disclosure of CUI?</t>
  </si>
  <si>
    <t>Access controls, encryption, session isolation, and monitoring collectively prevent unauthorized disclosure.</t>
  </si>
  <si>
    <t>How is security engineering applied?</t>
  </si>
  <si>
    <t>Security engineering principles are integrated into system design, emphasizing isolation, least privilege, and defense in depth.</t>
  </si>
  <si>
    <t>How do you validate control effectiveness?</t>
  </si>
  <si>
    <t>Control effectiveness is validated through continuous monitoring, testing, and assessment activities.</t>
  </si>
  <si>
    <t>How are lessons learned incorporated?</t>
  </si>
  <si>
    <t>Lessons learned from incidents and testing are used to update procedures, controls, and configurations.</t>
  </si>
  <si>
    <t>How do you ensure ongoing CMMC compliance?</t>
  </si>
  <si>
    <t>Compliance is maintained through documented policies, continuous monitoring, periodic testing, and regular self-assessment.</t>
  </si>
  <si>
    <t>Sunny Tuteja, Authorizing Official
David Wellington, System Owner
Thang Pham, System Administrator</t>
  </si>
  <si>
    <t xml:space="preserve">APIS is hosted within the Azure GCC High environment in which the use of removable media is restricted by design. </t>
  </si>
  <si>
    <t>Thang.Pham@assurit.onmicrosoft.us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</si>
</sst>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lt;=9999999]###\-####;\(###\)\ ###\-####"/>
    <numFmt numFmtId="165" formatCode="0.0%"/>
  </numFmts>
  <fonts count="59" x14ac:knownFonts="1">
    <font>
      <sz val="11"/>
      <color indexed="8"/>
      <name val="Calibri"/>
      <family val="2"/>
    </font>
    <font>
      <sz val="11"/>
      <color theme="1"/>
      <name val="Aptos"/>
      <family val="2"/>
      <scheme val="minor"/>
    </font>
    <font>
      <sz val="11"/>
      <color theme="1"/>
      <name val="Aptos"/>
      <family val="2"/>
      <scheme val="minor"/>
    </font>
    <font>
      <sz val="10"/>
      <color theme="1"/>
      <name val="Aptos"/>
      <family val="2"/>
      <scheme val="minor"/>
    </font>
    <font>
      <b/>
      <sz val="10"/>
      <color theme="1"/>
      <name val="Arial"/>
      <family val="2"/>
    </font>
    <font>
      <b/>
      <sz val="10"/>
      <color theme="1"/>
      <name val="Aptos"/>
      <family val="2"/>
      <scheme val="minor"/>
    </font>
    <font>
      <sz val="9"/>
      <color theme="1"/>
      <name val="Aptos"/>
      <family val="2"/>
      <scheme val="minor"/>
    </font>
    <font>
      <sz val="10"/>
      <name val="Aptos"/>
      <family val="2"/>
      <scheme val="minor"/>
    </font>
    <font>
      <sz val="11"/>
      <color indexed="8"/>
      <name val="Garamond"/>
      <family val="2"/>
    </font>
    <font>
      <b/>
      <sz val="10"/>
      <color theme="0"/>
      <name val="Calibri"/>
      <family val="2"/>
    </font>
    <font>
      <sz val="11"/>
      <color rgb="FF006100"/>
      <name val="Aptos"/>
      <family val="2"/>
      <scheme val="minor"/>
    </font>
    <font>
      <sz val="18"/>
      <color theme="3"/>
      <name val="Aptos ExtraBold"/>
      <family val="2"/>
      <scheme val="major"/>
    </font>
    <font>
      <b/>
      <sz val="15"/>
      <color theme="3"/>
      <name val="Aptos"/>
      <family val="2"/>
      <scheme val="minor"/>
    </font>
    <font>
      <b/>
      <sz val="13"/>
      <color theme="3"/>
      <name val="Aptos"/>
      <family val="2"/>
      <scheme val="minor"/>
    </font>
    <font>
      <b/>
      <sz val="11"/>
      <color theme="3"/>
      <name val="Aptos"/>
      <family val="2"/>
      <scheme val="minor"/>
    </font>
    <font>
      <sz val="12"/>
      <color theme="1"/>
      <name val="Aptos"/>
      <family val="2"/>
      <scheme val="minor"/>
    </font>
    <font>
      <sz val="12"/>
      <color rgb="FF006100"/>
      <name val="Aptos"/>
      <family val="2"/>
      <scheme val="minor"/>
    </font>
    <font>
      <sz val="12"/>
      <color rgb="FF9C0006"/>
      <name val="Aptos"/>
      <family val="2"/>
      <scheme val="minor"/>
    </font>
    <font>
      <sz val="12"/>
      <color rgb="FF9C5700"/>
      <name val="Aptos"/>
      <family val="2"/>
      <scheme val="minor"/>
    </font>
    <font>
      <sz val="12"/>
      <color rgb="FF3F3F76"/>
      <name val="Aptos"/>
      <family val="2"/>
      <scheme val="minor"/>
    </font>
    <font>
      <b/>
      <sz val="12"/>
      <color rgb="FF3F3F3F"/>
      <name val="Aptos"/>
      <family val="2"/>
      <scheme val="minor"/>
    </font>
    <font>
      <b/>
      <sz val="12"/>
      <color rgb="FFFA7D00"/>
      <name val="Aptos"/>
      <family val="2"/>
      <scheme val="minor"/>
    </font>
    <font>
      <sz val="12"/>
      <color rgb="FFFA7D00"/>
      <name val="Aptos"/>
      <family val="2"/>
      <scheme val="minor"/>
    </font>
    <font>
      <b/>
      <sz val="12"/>
      <color theme="0"/>
      <name val="Aptos"/>
      <family val="2"/>
      <scheme val="minor"/>
    </font>
    <font>
      <sz val="12"/>
      <color rgb="FFFF0000"/>
      <name val="Aptos"/>
      <family val="2"/>
      <scheme val="minor"/>
    </font>
    <font>
      <i/>
      <sz val="12"/>
      <color rgb="FF7F7F7F"/>
      <name val="Aptos"/>
      <family val="2"/>
      <scheme val="minor"/>
    </font>
    <font>
      <b/>
      <sz val="12"/>
      <color theme="1"/>
      <name val="Aptos"/>
      <family val="2"/>
      <scheme val="minor"/>
    </font>
    <font>
      <sz val="12"/>
      <color theme="0"/>
      <name val="Aptos"/>
      <family val="2"/>
      <scheme val="minor"/>
    </font>
    <font>
      <sz val="12"/>
      <color rgb="FF000000"/>
      <name val="Aptos"/>
      <scheme val="minor"/>
    </font>
    <font>
      <sz val="11"/>
      <color indexed="8"/>
      <name val="Calibri"/>
      <family val="2"/>
    </font>
    <font>
      <u/>
      <sz val="11"/>
      <color theme="10"/>
      <name val="Calibri"/>
      <family val="2"/>
    </font>
    <font>
      <b/>
      <sz val="11"/>
      <color theme="0"/>
      <name val="Aptos"/>
      <family val="2"/>
      <scheme val="minor"/>
    </font>
    <font>
      <sz val="10"/>
      <color theme="1"/>
      <name val="Aptos"/>
      <family val="2"/>
    </font>
    <font>
      <sz val="12"/>
      <color rgb="FF000000"/>
      <name val="Aptos"/>
      <family val="2"/>
    </font>
    <font>
      <b/>
      <sz val="10"/>
      <color theme="1"/>
      <name val="Aptos"/>
      <family val="2"/>
    </font>
    <font>
      <sz val="11"/>
      <color rgb="FF000000"/>
      <name val="Aptos"/>
      <family val="2"/>
    </font>
    <font>
      <b/>
      <sz val="20"/>
      <color theme="1"/>
      <name val="Aptos"/>
      <family val="2"/>
    </font>
    <font>
      <sz val="11"/>
      <color indexed="8"/>
      <name val="Aptos"/>
      <family val="2"/>
      <scheme val="minor"/>
    </font>
    <font>
      <b/>
      <sz val="11"/>
      <color indexed="8"/>
      <name val="Aptos"/>
      <family val="2"/>
      <scheme val="minor"/>
    </font>
    <font>
      <sz val="9"/>
      <color indexed="8"/>
      <name val="Aptos"/>
      <family val="2"/>
    </font>
    <font>
      <b/>
      <sz val="9"/>
      <color theme="1"/>
      <name val="Aptos"/>
      <family val="2"/>
    </font>
    <font>
      <sz val="9"/>
      <color indexed="8"/>
      <name val="Calibri"/>
      <family val="2"/>
    </font>
    <font>
      <b/>
      <sz val="9"/>
      <color theme="0"/>
      <name val="Aptos"/>
      <family val="2"/>
    </font>
    <font>
      <b/>
      <sz val="9"/>
      <color indexed="8"/>
      <name val="Aptos"/>
      <family val="2"/>
    </font>
    <font>
      <sz val="9"/>
      <color theme="1"/>
      <name val="Aptos"/>
      <family val="2"/>
    </font>
    <font>
      <sz val="9"/>
      <color theme="1" tint="4.9989318521683403E-2"/>
      <name val="Aptos"/>
      <family val="2"/>
    </font>
    <font>
      <sz val="9"/>
      <name val="Aptos"/>
      <family val="2"/>
    </font>
    <font>
      <sz val="9"/>
      <color theme="9" tint="-0.499984740745262"/>
      <name val="Aptos"/>
      <family val="2"/>
    </font>
    <font>
      <sz val="9"/>
      <color rgb="FF6F1906"/>
      <name val="Aptos"/>
      <family val="2"/>
    </font>
    <font>
      <b/>
      <sz val="9"/>
      <name val="Aptos"/>
      <family val="2"/>
    </font>
    <font>
      <sz val="12"/>
      <color theme="0"/>
      <name val="Aptos Black"/>
      <family val="2"/>
    </font>
    <font>
      <b/>
      <sz val="12"/>
      <color theme="0"/>
      <name val="Aptos Black"/>
      <family val="2"/>
    </font>
    <font>
      <b/>
      <sz val="12"/>
      <color rgb="FFFFFFFF"/>
      <name val="Aptos"/>
      <family val="2"/>
      <scheme val="minor"/>
    </font>
    <font>
      <sz val="10"/>
      <color indexed="8"/>
      <name val="Aptos"/>
      <family val="2"/>
      <scheme val="minor"/>
    </font>
    <font>
      <sz val="18"/>
      <color theme="0"/>
      <name val="Aptos ExtraBold"/>
      <family val="2"/>
      <scheme val="major"/>
    </font>
    <font>
      <b/>
      <sz val="11"/>
      <color rgb="FF000000"/>
      <name val="Aptos"/>
      <family val="2"/>
      <scheme val="minor"/>
    </font>
    <font>
      <sz val="11"/>
      <color rgb="FF000000"/>
      <name val="Aptos"/>
      <family val="2"/>
      <scheme val="minor"/>
    </font>
    <font>
      <sz val="8"/>
      <name val="Calibri"/>
      <family val="2"/>
    </font>
    <font>
      <b/>
      <sz val="9"/>
      <color theme="1"/>
      <name val="Aptos"/>
      <family val="2"/>
      <scheme val="minor"/>
    </font>
  </fonts>
  <fills count="6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6" tint="0.59999389629810485"/>
        <bgColor indexed="65"/>
      </patternFill>
    </fill>
    <fill>
      <patternFill patternType="solid">
        <fgColor rgb="FF0070C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0"/>
        <bgColor theme="4" tint="0.79998168889431442"/>
      </patternFill>
    </fill>
    <fill>
      <patternFill patternType="solid">
        <fgColor theme="5" tint="0.79998168889431442"/>
        <bgColor indexed="64"/>
      </patternFill>
    </fill>
    <fill>
      <patternFill patternType="solid">
        <fgColor theme="1"/>
        <bgColor indexed="64"/>
      </patternFill>
    </fill>
    <fill>
      <patternFill patternType="solid">
        <fgColor theme="4" tint="0.79998168889431442"/>
        <bgColor theme="4" tint="0.79998168889431442"/>
      </patternFill>
    </fill>
    <fill>
      <patternFill patternType="solid">
        <fgColor theme="5" tint="0.79998168889431442"/>
        <bgColor theme="4" tint="0.79998168889431442"/>
      </patternFill>
    </fill>
    <fill>
      <patternFill patternType="solid">
        <fgColor theme="0" tint="-0.14999847407452621"/>
        <bgColor theme="4" tint="0.79998168889431442"/>
      </patternFill>
    </fill>
    <fill>
      <patternFill patternType="solid">
        <fgColor theme="7" tint="0.79998168889431442"/>
        <bgColor indexed="64"/>
      </patternFill>
    </fill>
    <fill>
      <patternFill patternType="solid">
        <fgColor theme="7" tint="0.79998168889431442"/>
        <bgColor theme="4" tint="0.79998168889431442"/>
      </patternFill>
    </fill>
    <fill>
      <patternFill patternType="solid">
        <fgColor theme="0" tint="-0.249977111117893"/>
        <bgColor indexed="64"/>
      </patternFill>
    </fill>
    <fill>
      <patternFill patternType="solid">
        <fgColor theme="0"/>
        <bgColor theme="0"/>
      </patternFill>
    </fill>
    <fill>
      <patternFill patternType="solid">
        <fgColor theme="0"/>
        <bgColor rgb="FF0070C0"/>
      </patternFill>
    </fill>
    <fill>
      <patternFill patternType="solid">
        <fgColor theme="0" tint="-4.9989318521683403E-2"/>
        <bgColor rgb="FFBFBFBF"/>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DDDD"/>
        <bgColor indexed="64"/>
      </patternFill>
    </fill>
    <fill>
      <patternFill patternType="solid">
        <fgColor theme="9" tint="0.59999389629810485"/>
        <bgColor indexed="64"/>
      </patternFill>
    </fill>
    <fill>
      <patternFill patternType="solid">
        <fgColor rgb="FF552579"/>
        <bgColor indexed="64"/>
      </patternFill>
    </fill>
    <fill>
      <patternFill patternType="solid">
        <fgColor theme="1" tint="0.34998626667073579"/>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theme="4" tint="-0.499984740745262"/>
        <bgColor indexed="64"/>
      </patternFill>
    </fill>
    <fill>
      <patternFill patternType="solid">
        <fgColor rgb="FFFFFF00"/>
        <bgColor indexed="64"/>
      </patternFill>
    </fill>
    <fill>
      <patternFill patternType="solid">
        <fgColor rgb="FFFFFF00"/>
        <bgColor theme="4" tint="0.79998168889431442"/>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top/>
      <bottom style="medium">
        <color indexed="64"/>
      </bottom>
      <diagonal/>
    </border>
    <border>
      <left style="thick">
        <color indexed="64"/>
      </left>
      <right/>
      <top style="thick">
        <color indexed="64"/>
      </top>
      <bottom/>
      <diagonal/>
    </border>
    <border>
      <left/>
      <right/>
      <top style="thick">
        <color indexed="64"/>
      </top>
      <bottom style="hair">
        <color indexed="64"/>
      </bottom>
      <diagonal/>
    </border>
    <border>
      <left/>
      <right style="thick">
        <color indexed="64"/>
      </right>
      <top style="thick">
        <color indexed="64"/>
      </top>
      <bottom style="hair">
        <color indexed="64"/>
      </bottom>
      <diagonal/>
    </border>
    <border>
      <left style="thick">
        <color indexed="64"/>
      </left>
      <right/>
      <top style="hair">
        <color indexed="64"/>
      </top>
      <bottom style="hair">
        <color indexed="64"/>
      </bottom>
      <diagonal/>
    </border>
    <border>
      <left/>
      <right/>
      <top style="hair">
        <color indexed="64"/>
      </top>
      <bottom style="hair">
        <color indexed="64"/>
      </bottom>
      <diagonal/>
    </border>
    <border>
      <left/>
      <right style="thick">
        <color indexed="64"/>
      </right>
      <top style="hair">
        <color indexed="64"/>
      </top>
      <bottom style="hair">
        <color indexed="64"/>
      </bottom>
      <diagonal/>
    </border>
    <border>
      <left style="thick">
        <color indexed="64"/>
      </left>
      <right/>
      <top/>
      <bottom style="thick">
        <color indexed="64"/>
      </bottom>
      <diagonal/>
    </border>
    <border>
      <left/>
      <right/>
      <top style="hair">
        <color indexed="64"/>
      </top>
      <bottom style="thick">
        <color indexed="64"/>
      </bottom>
      <diagonal/>
    </border>
    <border>
      <left/>
      <right style="thick">
        <color indexed="64"/>
      </right>
      <top style="hair">
        <color indexed="64"/>
      </top>
      <bottom style="thick">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bottom style="medium">
        <color indexed="64"/>
      </bottom>
      <diagonal/>
    </border>
    <border>
      <left style="medium">
        <color indexed="64"/>
      </left>
      <right/>
      <top style="hair">
        <color indexed="64"/>
      </top>
      <bottom style="medium">
        <color indexed="64"/>
      </bottom>
      <diagonal/>
    </border>
    <border>
      <left style="thin">
        <color indexed="64"/>
      </left>
      <right style="thin">
        <color indexed="64"/>
      </right>
      <top style="hair">
        <color indexed="64"/>
      </top>
      <bottom style="hair">
        <color indexed="64"/>
      </bottom>
      <diagonal/>
    </border>
    <border>
      <left/>
      <right style="medium">
        <color indexed="64"/>
      </right>
      <top style="medium">
        <color indexed="64"/>
      </top>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medium">
        <color indexed="64"/>
      </right>
      <top/>
      <bottom/>
      <diagonal/>
    </border>
    <border>
      <left style="thin">
        <color indexed="64"/>
      </left>
      <right style="medium">
        <color indexed="64"/>
      </right>
      <top style="hair">
        <color indexed="64"/>
      </top>
      <bottom style="double">
        <color indexed="64"/>
      </bottom>
      <diagonal/>
    </border>
    <border>
      <left/>
      <right style="medium">
        <color indexed="64"/>
      </right>
      <top style="medium">
        <color indexed="64"/>
      </top>
      <bottom style="hair">
        <color indexed="64"/>
      </bottom>
      <diagonal/>
    </border>
    <border>
      <left style="dashed">
        <color theme="9"/>
      </left>
      <right style="dashed">
        <color theme="9"/>
      </right>
      <top style="dashed">
        <color theme="9"/>
      </top>
      <bottom style="dashed">
        <color theme="9"/>
      </bottom>
      <diagonal/>
    </border>
    <border>
      <left style="medium">
        <color indexed="64"/>
      </left>
      <right/>
      <top style="medium">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s>
  <cellStyleXfs count="53">
    <xf numFmtId="0" fontId="0" fillId="0" borderId="0"/>
    <xf numFmtId="0" fontId="2" fillId="0" borderId="0"/>
    <xf numFmtId="0" fontId="8" fillId="0" borderId="0"/>
    <xf numFmtId="0" fontId="8" fillId="0" borderId="0"/>
    <xf numFmtId="0" fontId="1" fillId="5" borderId="0" applyNumberFormat="0" applyBorder="0" applyAlignment="0" applyProtection="0"/>
    <xf numFmtId="0" fontId="1" fillId="0" borderId="0"/>
    <xf numFmtId="0" fontId="10" fillId="7" borderId="0" applyNumberFormat="0" applyBorder="0" applyAlignment="0" applyProtection="0"/>
    <xf numFmtId="0" fontId="11" fillId="0" borderId="0" applyNumberFormat="0" applyFill="0" applyBorder="0" applyAlignment="0" applyProtection="0"/>
    <xf numFmtId="0" fontId="12" fillId="0" borderId="10" applyNumberFormat="0" applyFill="0" applyAlignment="0" applyProtection="0"/>
    <xf numFmtId="0" fontId="13" fillId="0" borderId="11" applyNumberFormat="0" applyFill="0" applyAlignment="0" applyProtection="0"/>
    <xf numFmtId="0" fontId="14" fillId="0" borderId="12" applyNumberFormat="0" applyFill="0" applyAlignment="0" applyProtection="0"/>
    <xf numFmtId="0" fontId="14" fillId="0" borderId="0" applyNumberFormat="0" applyFill="0" applyBorder="0" applyAlignment="0" applyProtection="0"/>
    <xf numFmtId="0" fontId="15" fillId="0" borderId="0"/>
    <xf numFmtId="0" fontId="16" fillId="7" borderId="0" applyNumberFormat="0" applyBorder="0" applyAlignment="0" applyProtection="0"/>
    <xf numFmtId="0" fontId="17" fillId="8" borderId="0" applyNumberFormat="0" applyBorder="0" applyAlignment="0" applyProtection="0"/>
    <xf numFmtId="0" fontId="18" fillId="9" borderId="0" applyNumberFormat="0" applyBorder="0" applyAlignment="0" applyProtection="0"/>
    <xf numFmtId="0" fontId="19" fillId="10" borderId="13" applyNumberFormat="0" applyAlignment="0" applyProtection="0"/>
    <xf numFmtId="0" fontId="20" fillId="11" borderId="14" applyNumberFormat="0" applyAlignment="0" applyProtection="0"/>
    <xf numFmtId="0" fontId="21" fillId="11" borderId="13" applyNumberFormat="0" applyAlignment="0" applyProtection="0"/>
    <xf numFmtId="0" fontId="22" fillId="0" borderId="15" applyNumberFormat="0" applyFill="0" applyAlignment="0" applyProtection="0"/>
    <xf numFmtId="0" fontId="23" fillId="12" borderId="16" applyNumberFormat="0" applyAlignment="0" applyProtection="0"/>
    <xf numFmtId="0" fontId="24" fillId="0" borderId="0" applyNumberFormat="0" applyFill="0" applyBorder="0" applyAlignment="0" applyProtection="0"/>
    <xf numFmtId="0" fontId="15" fillId="13" borderId="17" applyNumberFormat="0" applyFont="0" applyAlignment="0" applyProtection="0"/>
    <xf numFmtId="0" fontId="25" fillId="0" borderId="0" applyNumberFormat="0" applyFill="0" applyBorder="0" applyAlignment="0" applyProtection="0"/>
    <xf numFmtId="0" fontId="26" fillId="0" borderId="18" applyNumberFormat="0" applyFill="0" applyAlignment="0" applyProtection="0"/>
    <xf numFmtId="0" fontId="27"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27"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27" fillId="22" borderId="0" applyNumberFormat="0" applyBorder="0" applyAlignment="0" applyProtection="0"/>
    <xf numFmtId="0" fontId="15" fillId="23" borderId="0" applyNumberFormat="0" applyBorder="0" applyAlignment="0" applyProtection="0"/>
    <xf numFmtId="0" fontId="15" fillId="5" borderId="0" applyNumberFormat="0" applyBorder="0" applyAlignment="0" applyProtection="0"/>
    <xf numFmtId="0" fontId="15" fillId="24" borderId="0" applyNumberFormat="0" applyBorder="0" applyAlignment="0" applyProtection="0"/>
    <xf numFmtId="0" fontId="27" fillId="25" borderId="0" applyNumberFormat="0" applyBorder="0" applyAlignment="0" applyProtection="0"/>
    <xf numFmtId="0" fontId="15" fillId="26" borderId="0" applyNumberFormat="0" applyBorder="0" applyAlignment="0" applyProtection="0"/>
    <xf numFmtId="0" fontId="15" fillId="27" borderId="0" applyNumberFormat="0" applyBorder="0" applyAlignment="0" applyProtection="0"/>
    <xf numFmtId="0" fontId="15" fillId="28" borderId="0" applyNumberFormat="0" applyBorder="0" applyAlignment="0" applyProtection="0"/>
    <xf numFmtId="0" fontId="27" fillId="29"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27" fillId="33"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28" fillId="0" borderId="0"/>
    <xf numFmtId="43" fontId="29" fillId="0" borderId="0" applyFont="0" applyFill="0" applyBorder="0" applyAlignment="0" applyProtection="0"/>
    <xf numFmtId="0" fontId="30" fillId="0" borderId="0" applyNumberFormat="0" applyFill="0" applyBorder="0" applyAlignment="0" applyProtection="0"/>
    <xf numFmtId="9" fontId="29" fillId="0" borderId="0" applyFont="0" applyFill="0" applyBorder="0" applyAlignment="0" applyProtection="0"/>
  </cellStyleXfs>
  <cellXfs count="332">
    <xf numFmtId="0" fontId="0" fillId="0" borderId="0" xfId="0"/>
    <xf numFmtId="0" fontId="3" fillId="0" borderId="0" xfId="0" applyFont="1" applyAlignment="1">
      <alignment vertical="top" wrapText="1"/>
    </xf>
    <xf numFmtId="0" fontId="3" fillId="0" borderId="0" xfId="0" applyFont="1" applyAlignment="1">
      <alignment horizontal="center" vertical="top" wrapText="1"/>
    </xf>
    <xf numFmtId="0" fontId="5" fillId="0" borderId="1" xfId="0" applyFont="1" applyBorder="1" applyAlignment="1">
      <alignment vertical="top" wrapText="1"/>
    </xf>
    <xf numFmtId="0" fontId="5" fillId="0" borderId="5" xfId="0" applyFont="1" applyBorder="1" applyAlignment="1">
      <alignment vertical="top" wrapText="1"/>
    </xf>
    <xf numFmtId="0" fontId="5" fillId="0" borderId="1" xfId="0" applyFont="1" applyBorder="1" applyAlignment="1">
      <alignment horizontal="center" vertical="top" wrapText="1"/>
    </xf>
    <xf numFmtId="0" fontId="6" fillId="0" borderId="1" xfId="0" applyFont="1" applyBorder="1" applyAlignment="1">
      <alignment horizontal="center" vertical="top" wrapText="1"/>
    </xf>
    <xf numFmtId="0" fontId="3" fillId="0" borderId="1" xfId="0" applyFont="1" applyBorder="1" applyAlignment="1">
      <alignment horizontal="center" vertical="center" wrapText="1"/>
    </xf>
    <xf numFmtId="0" fontId="7" fillId="0" borderId="1" xfId="0" applyFont="1" applyBorder="1" applyAlignment="1">
      <alignment horizontal="center" vertical="center" wrapText="1"/>
    </xf>
    <xf numFmtId="0" fontId="3" fillId="0" borderId="0" xfId="0" applyFont="1" applyAlignment="1">
      <alignment horizontal="center" vertical="center" wrapText="1"/>
    </xf>
    <xf numFmtId="0" fontId="9" fillId="6" borderId="1" xfId="0" applyFont="1" applyFill="1" applyBorder="1" applyAlignment="1">
      <alignment horizontal="center" vertical="center" wrapText="1"/>
    </xf>
    <xf numFmtId="0" fontId="23" fillId="37" borderId="0" xfId="12" applyFont="1" applyFill="1" applyAlignment="1">
      <alignment horizontal="center" vertical="center" wrapText="1"/>
    </xf>
    <xf numFmtId="0" fontId="26" fillId="0" borderId="0" xfId="12" applyFont="1" applyAlignment="1">
      <alignment vertical="top" wrapText="1"/>
    </xf>
    <xf numFmtId="0" fontId="26" fillId="0" borderId="0" xfId="12" applyFont="1" applyAlignment="1">
      <alignment horizontal="center" vertical="top" wrapText="1"/>
    </xf>
    <xf numFmtId="0" fontId="3" fillId="2" borderId="1" xfId="0" applyFont="1" applyFill="1" applyBorder="1" applyAlignment="1">
      <alignment horizontal="center" vertical="center" wrapText="1"/>
    </xf>
    <xf numFmtId="0" fontId="6" fillId="2" borderId="1" xfId="0" applyFont="1" applyFill="1" applyBorder="1" applyAlignment="1">
      <alignment horizontal="center" vertical="top" wrapText="1"/>
    </xf>
    <xf numFmtId="0" fontId="7" fillId="2" borderId="1" xfId="0" applyFont="1" applyFill="1" applyBorder="1" applyAlignment="1">
      <alignment horizontal="center" vertical="center" wrapText="1"/>
    </xf>
    <xf numFmtId="0" fontId="3" fillId="2" borderId="0" xfId="0" applyFont="1" applyFill="1" applyAlignment="1">
      <alignment vertical="top" wrapText="1"/>
    </xf>
    <xf numFmtId="0" fontId="5" fillId="2" borderId="1" xfId="0" applyFont="1" applyFill="1" applyBorder="1" applyAlignment="1">
      <alignment horizontal="center" vertical="top" wrapText="1"/>
    </xf>
    <xf numFmtId="0" fontId="5" fillId="2" borderId="1" xfId="0" applyFont="1" applyFill="1" applyBorder="1" applyAlignment="1">
      <alignment vertical="top" wrapText="1"/>
    </xf>
    <xf numFmtId="0" fontId="23" fillId="37" borderId="2" xfId="12" applyFont="1" applyFill="1" applyBorder="1" applyAlignment="1">
      <alignment horizontal="center" vertical="center" wrapText="1"/>
    </xf>
    <xf numFmtId="0" fontId="4" fillId="46" borderId="1" xfId="0" applyFont="1" applyFill="1" applyBorder="1" applyAlignment="1">
      <alignment horizontal="center" vertical="top" wrapText="1"/>
    </xf>
    <xf numFmtId="0" fontId="4" fillId="46" borderId="1" xfId="0" applyFont="1" applyFill="1" applyBorder="1" applyAlignment="1">
      <alignment vertical="top" wrapText="1"/>
    </xf>
    <xf numFmtId="0" fontId="4" fillId="46" borderId="1" xfId="0" applyFont="1" applyFill="1" applyBorder="1" applyAlignment="1">
      <alignment horizontal="centerContinuous" vertical="top" wrapText="1"/>
    </xf>
    <xf numFmtId="0" fontId="4" fillId="46" borderId="7" xfId="0" applyFont="1" applyFill="1" applyBorder="1" applyAlignment="1">
      <alignment horizontal="center" vertical="center" wrapText="1"/>
    </xf>
    <xf numFmtId="0" fontId="5" fillId="46" borderId="1" xfId="0" applyFont="1" applyFill="1" applyBorder="1" applyAlignment="1">
      <alignment horizontal="center" vertical="top" wrapText="1"/>
    </xf>
    <xf numFmtId="0" fontId="4" fillId="46" borderId="5" xfId="0" applyFont="1" applyFill="1" applyBorder="1" applyAlignment="1">
      <alignment horizontal="centerContinuous" vertical="top" wrapText="1"/>
    </xf>
    <xf numFmtId="0" fontId="32" fillId="0" borderId="0" xfId="49" applyFont="1"/>
    <xf numFmtId="0" fontId="33" fillId="0" borderId="0" xfId="49" applyFont="1"/>
    <xf numFmtId="0" fontId="35" fillId="47" borderId="0" xfId="49" applyFont="1" applyFill="1"/>
    <xf numFmtId="0" fontId="32" fillId="0" borderId="0" xfId="49" applyFont="1" applyAlignment="1">
      <alignment horizontal="left" vertical="top" wrapText="1"/>
    </xf>
    <xf numFmtId="14" fontId="34" fillId="47" borderId="0" xfId="49" applyNumberFormat="1" applyFont="1" applyFill="1" applyAlignment="1">
      <alignment horizontal="center" vertical="center"/>
    </xf>
    <xf numFmtId="0" fontId="34" fillId="47" borderId="0" xfId="49" applyFont="1" applyFill="1" applyAlignment="1">
      <alignment horizontal="center" vertical="center"/>
    </xf>
    <xf numFmtId="0" fontId="32" fillId="0" borderId="0" xfId="49" applyFont="1" applyAlignment="1">
      <alignment horizontal="center" vertical="top" wrapText="1"/>
    </xf>
    <xf numFmtId="0" fontId="34" fillId="0" borderId="0" xfId="49" applyFont="1" applyAlignment="1">
      <alignment vertical="center"/>
    </xf>
    <xf numFmtId="0" fontId="32" fillId="0" borderId="0" xfId="49" applyFont="1" applyAlignment="1">
      <alignment vertical="center" wrapText="1"/>
    </xf>
    <xf numFmtId="164" fontId="32" fillId="0" borderId="0" xfId="49" applyNumberFormat="1" applyFont="1" applyAlignment="1">
      <alignment vertical="center" wrapText="1"/>
    </xf>
    <xf numFmtId="14" fontId="32" fillId="47" borderId="0" xfId="49" applyNumberFormat="1" applyFont="1" applyFill="1" applyAlignment="1">
      <alignment horizontal="left" vertical="center"/>
    </xf>
    <xf numFmtId="0" fontId="32" fillId="47" borderId="0" xfId="49" applyFont="1" applyFill="1" applyAlignment="1">
      <alignment horizontal="left" vertical="center"/>
    </xf>
    <xf numFmtId="49" fontId="32" fillId="47" borderId="0" xfId="50" applyNumberFormat="1" applyFont="1" applyFill="1" applyBorder="1" applyAlignment="1">
      <alignment horizontal="center" vertical="center"/>
    </xf>
    <xf numFmtId="0" fontId="34" fillId="0" borderId="24" xfId="49" applyFont="1" applyBorder="1" applyAlignment="1">
      <alignment vertical="center"/>
    </xf>
    <xf numFmtId="164" fontId="32" fillId="0" borderId="0" xfId="49" applyNumberFormat="1" applyFont="1" applyAlignment="1">
      <alignment horizontal="left" vertical="top" wrapText="1"/>
    </xf>
    <xf numFmtId="0" fontId="34" fillId="49" borderId="0" xfId="49" applyFont="1" applyFill="1" applyAlignment="1">
      <alignment vertical="center"/>
    </xf>
    <xf numFmtId="0" fontId="34" fillId="49" borderId="0" xfId="49" applyFont="1" applyFill="1" applyAlignment="1">
      <alignment horizontal="center" vertical="center"/>
    </xf>
    <xf numFmtId="0" fontId="37" fillId="0" borderId="0" xfId="0" applyFont="1"/>
    <xf numFmtId="0" fontId="37" fillId="0" borderId="0" xfId="0" applyFont="1" applyAlignment="1">
      <alignment wrapText="1"/>
    </xf>
    <xf numFmtId="0" fontId="37" fillId="0" borderId="1" xfId="0" applyFont="1" applyBorder="1" applyAlignment="1">
      <alignment horizontal="center" vertical="center" wrapText="1"/>
    </xf>
    <xf numFmtId="0" fontId="37" fillId="0" borderId="1" xfId="0" applyFont="1" applyBorder="1" applyAlignment="1">
      <alignment vertical="center" wrapText="1"/>
    </xf>
    <xf numFmtId="0" fontId="37" fillId="0" borderId="1" xfId="0" applyFont="1" applyBorder="1" applyAlignment="1">
      <alignment horizontal="center" vertical="center"/>
    </xf>
    <xf numFmtId="0" fontId="15" fillId="0" borderId="23" xfId="12" applyBorder="1" applyAlignment="1">
      <alignment vertical="top" wrapText="1"/>
    </xf>
    <xf numFmtId="0" fontId="15" fillId="44" borderId="23" xfId="12" applyFill="1" applyBorder="1" applyAlignment="1">
      <alignment vertical="top" wrapText="1"/>
    </xf>
    <xf numFmtId="0" fontId="15" fillId="4" borderId="23" xfId="12" applyFill="1" applyBorder="1" applyAlignment="1">
      <alignment vertical="top" wrapText="1"/>
    </xf>
    <xf numFmtId="0" fontId="37" fillId="0" borderId="23" xfId="0" applyFont="1" applyBorder="1" applyAlignment="1">
      <alignment horizontal="center" vertical="center"/>
    </xf>
    <xf numFmtId="0" fontId="15" fillId="0" borderId="1" xfId="12" applyBorder="1" applyAlignment="1">
      <alignment vertical="top" wrapText="1"/>
    </xf>
    <xf numFmtId="0" fontId="15" fillId="3" borderId="1" xfId="12" applyFill="1" applyBorder="1" applyAlignment="1">
      <alignment vertical="top"/>
    </xf>
    <xf numFmtId="0" fontId="15" fillId="0" borderId="19" xfId="12" applyBorder="1" applyAlignment="1">
      <alignment vertical="top" wrapText="1"/>
    </xf>
    <xf numFmtId="0" fontId="15" fillId="3" borderId="19" xfId="12" applyFill="1" applyBorder="1" applyAlignment="1">
      <alignment vertical="top"/>
    </xf>
    <xf numFmtId="0" fontId="37" fillId="0" borderId="19" xfId="0" applyFont="1" applyBorder="1" applyAlignment="1">
      <alignment horizontal="center" vertical="center"/>
    </xf>
    <xf numFmtId="0" fontId="15" fillId="39" borderId="23" xfId="12" applyFill="1" applyBorder="1" applyAlignment="1">
      <alignment vertical="top" wrapText="1"/>
    </xf>
    <xf numFmtId="0" fontId="15" fillId="3" borderId="1" xfId="12" applyFill="1" applyBorder="1" applyAlignment="1">
      <alignment vertical="top" wrapText="1"/>
    </xf>
    <xf numFmtId="0" fontId="15" fillId="3" borderId="19" xfId="12" applyFill="1" applyBorder="1" applyAlignment="1">
      <alignment vertical="top" wrapText="1"/>
    </xf>
    <xf numFmtId="0" fontId="15" fillId="0" borderId="4" xfId="12" applyBorder="1" applyAlignment="1">
      <alignment vertical="top" wrapText="1"/>
    </xf>
    <xf numFmtId="0" fontId="15" fillId="44" borderId="4" xfId="12" applyFill="1" applyBorder="1" applyAlignment="1">
      <alignment vertical="top" wrapText="1"/>
    </xf>
    <xf numFmtId="0" fontId="15" fillId="4" borderId="4" xfId="12" applyFill="1" applyBorder="1" applyAlignment="1">
      <alignment vertical="top" wrapText="1"/>
    </xf>
    <xf numFmtId="0" fontId="15" fillId="39" borderId="4" xfId="12" applyFill="1" applyBorder="1" applyAlignment="1">
      <alignment vertical="top" wrapText="1"/>
    </xf>
    <xf numFmtId="0" fontId="37" fillId="0" borderId="4" xfId="0" applyFont="1" applyBorder="1" applyAlignment="1">
      <alignment horizontal="center" vertical="center"/>
    </xf>
    <xf numFmtId="0" fontId="15" fillId="0" borderId="2" xfId="12" applyBorder="1" applyAlignment="1">
      <alignment vertical="top" wrapText="1"/>
    </xf>
    <xf numFmtId="0" fontId="15" fillId="3" borderId="2" xfId="12" applyFill="1" applyBorder="1" applyAlignment="1">
      <alignment vertical="top" wrapText="1"/>
    </xf>
    <xf numFmtId="0" fontId="15" fillId="3" borderId="2" xfId="12" applyFill="1" applyBorder="1" applyAlignment="1">
      <alignment vertical="top"/>
    </xf>
    <xf numFmtId="0" fontId="37" fillId="0" borderId="2" xfId="0" applyFont="1" applyBorder="1" applyAlignment="1">
      <alignment horizontal="center" vertical="center"/>
    </xf>
    <xf numFmtId="0" fontId="15" fillId="0" borderId="3" xfId="12" applyBorder="1" applyAlignment="1">
      <alignment vertical="top" wrapText="1"/>
    </xf>
    <xf numFmtId="0" fontId="15" fillId="44" borderId="3" xfId="12" applyFill="1" applyBorder="1" applyAlignment="1">
      <alignment vertical="top" wrapText="1"/>
    </xf>
    <xf numFmtId="0" fontId="15" fillId="4" borderId="3" xfId="12" applyFill="1" applyBorder="1" applyAlignment="1">
      <alignment vertical="top" wrapText="1"/>
    </xf>
    <xf numFmtId="0" fontId="15" fillId="39" borderId="3" xfId="12" applyFill="1" applyBorder="1" applyAlignment="1">
      <alignment vertical="top" wrapText="1"/>
    </xf>
    <xf numFmtId="0" fontId="37" fillId="0" borderId="3" xfId="0" applyFont="1" applyBorder="1" applyAlignment="1">
      <alignment horizontal="center" vertical="center"/>
    </xf>
    <xf numFmtId="0" fontId="37" fillId="0" borderId="21" xfId="0" applyFont="1" applyBorder="1" applyAlignment="1">
      <alignment horizontal="center" vertical="center"/>
    </xf>
    <xf numFmtId="0" fontId="38" fillId="0" borderId="0" xfId="0" applyFont="1"/>
    <xf numFmtId="0" fontId="37" fillId="0" borderId="0" xfId="0" applyFont="1" applyAlignment="1">
      <alignment horizontal="center" vertical="center"/>
    </xf>
    <xf numFmtId="0" fontId="37" fillId="2" borderId="23" xfId="0" applyFont="1" applyFill="1" applyBorder="1" applyAlignment="1">
      <alignment vertical="top" wrapText="1"/>
    </xf>
    <xf numFmtId="0" fontId="37" fillId="45" borderId="23" xfId="0" applyFont="1" applyFill="1" applyBorder="1" applyAlignment="1">
      <alignment vertical="top" wrapText="1"/>
    </xf>
    <xf numFmtId="0" fontId="37" fillId="41" borderId="23" xfId="0" applyFont="1" applyFill="1" applyBorder="1" applyAlignment="1">
      <alignment vertical="top" wrapText="1"/>
    </xf>
    <xf numFmtId="0" fontId="37" fillId="2" borderId="1" xfId="0" applyFont="1" applyFill="1" applyBorder="1" applyAlignment="1">
      <alignment vertical="top" wrapText="1"/>
    </xf>
    <xf numFmtId="0" fontId="37" fillId="38" borderId="1" xfId="0" applyFont="1" applyFill="1" applyBorder="1" applyAlignment="1">
      <alignment vertical="top" wrapText="1"/>
    </xf>
    <xf numFmtId="0" fontId="37" fillId="43" borderId="1" xfId="0" applyFont="1" applyFill="1" applyBorder="1" applyAlignment="1">
      <alignment vertical="top" wrapText="1"/>
    </xf>
    <xf numFmtId="0" fontId="37" fillId="3" borderId="1" xfId="0" applyFont="1" applyFill="1" applyBorder="1" applyAlignment="1">
      <alignment vertical="top" wrapText="1"/>
    </xf>
    <xf numFmtId="0" fontId="37" fillId="2" borderId="19" xfId="0" applyFont="1" applyFill="1" applyBorder="1" applyAlignment="1">
      <alignment vertical="top" wrapText="1"/>
    </xf>
    <xf numFmtId="0" fontId="37" fillId="3" borderId="19" xfId="0" applyFont="1" applyFill="1" applyBorder="1" applyAlignment="1">
      <alignment vertical="top" wrapText="1"/>
    </xf>
    <xf numFmtId="0" fontId="37" fillId="2" borderId="4" xfId="0" applyFont="1" applyFill="1" applyBorder="1" applyAlignment="1">
      <alignment vertical="top" wrapText="1"/>
    </xf>
    <xf numFmtId="0" fontId="37" fillId="45" borderId="4" xfId="0" applyFont="1" applyFill="1" applyBorder="1" applyAlignment="1">
      <alignment vertical="top" wrapText="1"/>
    </xf>
    <xf numFmtId="0" fontId="37" fillId="41" borderId="4" xfId="0" applyFont="1" applyFill="1" applyBorder="1" applyAlignment="1">
      <alignment vertical="top" wrapText="1"/>
    </xf>
    <xf numFmtId="0" fontId="37" fillId="42" borderId="4" xfId="0" applyFont="1" applyFill="1" applyBorder="1" applyAlignment="1">
      <alignment vertical="top" wrapText="1"/>
    </xf>
    <xf numFmtId="0" fontId="37" fillId="2" borderId="2" xfId="0" applyFont="1" applyFill="1" applyBorder="1" applyAlignment="1">
      <alignment vertical="top" wrapText="1"/>
    </xf>
    <xf numFmtId="0" fontId="37" fillId="38" borderId="2" xfId="0" applyFont="1" applyFill="1" applyBorder="1" applyAlignment="1">
      <alignment vertical="top" wrapText="1"/>
    </xf>
    <xf numFmtId="0" fontId="37" fillId="43" borderId="2" xfId="0" applyFont="1" applyFill="1" applyBorder="1" applyAlignment="1">
      <alignment vertical="top" wrapText="1"/>
    </xf>
    <xf numFmtId="0" fontId="37" fillId="38" borderId="23" xfId="0" applyFont="1" applyFill="1" applyBorder="1" applyAlignment="1">
      <alignment vertical="top" wrapText="1"/>
    </xf>
    <xf numFmtId="0" fontId="37" fillId="44" borderId="23" xfId="0" applyFont="1" applyFill="1" applyBorder="1" applyAlignment="1">
      <alignment vertical="top" wrapText="1"/>
    </xf>
    <xf numFmtId="0" fontId="37" fillId="4" borderId="23" xfId="0" applyFont="1" applyFill="1" applyBorder="1" applyAlignment="1">
      <alignment vertical="top" wrapText="1"/>
    </xf>
    <xf numFmtId="0" fontId="37" fillId="38" borderId="19" xfId="0" applyFont="1" applyFill="1" applyBorder="1" applyAlignment="1">
      <alignment vertical="top" wrapText="1"/>
    </xf>
    <xf numFmtId="0" fontId="37" fillId="43" borderId="19" xfId="0" applyFont="1" applyFill="1" applyBorder="1" applyAlignment="1">
      <alignment vertical="top" wrapText="1"/>
    </xf>
    <xf numFmtId="0" fontId="37" fillId="38" borderId="4" xfId="0" applyFont="1" applyFill="1" applyBorder="1" applyAlignment="1">
      <alignment vertical="top" wrapText="1"/>
    </xf>
    <xf numFmtId="0" fontId="37" fillId="44" borderId="4" xfId="0" applyFont="1" applyFill="1" applyBorder="1" applyAlignment="1">
      <alignment vertical="top" wrapText="1"/>
    </xf>
    <xf numFmtId="0" fontId="37" fillId="4" borderId="4" xfId="0" applyFont="1" applyFill="1" applyBorder="1" applyAlignment="1">
      <alignment vertical="top" wrapText="1"/>
    </xf>
    <xf numFmtId="0" fontId="37" fillId="39" borderId="4" xfId="0" applyFont="1" applyFill="1" applyBorder="1" applyAlignment="1">
      <alignment vertical="top" wrapText="1"/>
    </xf>
    <xf numFmtId="0" fontId="37" fillId="42" borderId="23" xfId="0" applyFont="1" applyFill="1" applyBorder="1" applyAlignment="1">
      <alignment vertical="top" wrapText="1"/>
    </xf>
    <xf numFmtId="0" fontId="37" fillId="3" borderId="2" xfId="0" applyFont="1" applyFill="1" applyBorder="1" applyAlignment="1">
      <alignment vertical="top" wrapText="1"/>
    </xf>
    <xf numFmtId="0" fontId="37" fillId="39" borderId="23" xfId="0" applyFont="1" applyFill="1" applyBorder="1" applyAlignment="1">
      <alignment vertical="top" wrapText="1"/>
    </xf>
    <xf numFmtId="0" fontId="15" fillId="0" borderId="0" xfId="12" applyAlignment="1">
      <alignment vertical="top" wrapText="1"/>
    </xf>
    <xf numFmtId="0" fontId="15" fillId="0" borderId="0" xfId="12" applyAlignment="1">
      <alignment vertical="top"/>
    </xf>
    <xf numFmtId="0" fontId="37" fillId="2" borderId="3" xfId="0" applyFont="1" applyFill="1" applyBorder="1" applyAlignment="1">
      <alignment vertical="top" wrapText="1"/>
    </xf>
    <xf numFmtId="0" fontId="37" fillId="45" borderId="3" xfId="0" applyFont="1" applyFill="1" applyBorder="1" applyAlignment="1">
      <alignment vertical="top" wrapText="1"/>
    </xf>
    <xf numFmtId="0" fontId="37" fillId="41" borderId="3" xfId="0" applyFont="1" applyFill="1" applyBorder="1" applyAlignment="1">
      <alignment vertical="top" wrapText="1"/>
    </xf>
    <xf numFmtId="0" fontId="37" fillId="42" borderId="3" xfId="0" applyFont="1" applyFill="1" applyBorder="1" applyAlignment="1">
      <alignment vertical="top" wrapText="1"/>
    </xf>
    <xf numFmtId="0" fontId="37" fillId="38" borderId="3" xfId="0" applyFont="1" applyFill="1" applyBorder="1" applyAlignment="1">
      <alignment vertical="top" wrapText="1"/>
    </xf>
    <xf numFmtId="0" fontId="37" fillId="44" borderId="3" xfId="0" applyFont="1" applyFill="1" applyBorder="1" applyAlignment="1">
      <alignment vertical="top" wrapText="1"/>
    </xf>
    <xf numFmtId="0" fontId="37" fillId="4" borderId="3" xfId="0" applyFont="1" applyFill="1" applyBorder="1" applyAlignment="1">
      <alignment vertical="top" wrapText="1"/>
    </xf>
    <xf numFmtId="0" fontId="37" fillId="39" borderId="3" xfId="0" applyFont="1" applyFill="1" applyBorder="1" applyAlignment="1">
      <alignment vertical="top" wrapText="1"/>
    </xf>
    <xf numFmtId="0" fontId="37" fillId="2" borderId="21" xfId="0" applyFont="1" applyFill="1" applyBorder="1" applyAlignment="1">
      <alignment vertical="top" wrapText="1"/>
    </xf>
    <xf numFmtId="0" fontId="37" fillId="45" borderId="21" xfId="0" applyFont="1" applyFill="1" applyBorder="1" applyAlignment="1">
      <alignment vertical="top" wrapText="1"/>
    </xf>
    <xf numFmtId="0" fontId="37" fillId="41" borderId="21" xfId="0" applyFont="1" applyFill="1" applyBorder="1" applyAlignment="1">
      <alignment vertical="top" wrapText="1"/>
    </xf>
    <xf numFmtId="0" fontId="37" fillId="42" borderId="21" xfId="0" applyFont="1" applyFill="1" applyBorder="1" applyAlignment="1">
      <alignment vertical="top" wrapText="1"/>
    </xf>
    <xf numFmtId="0" fontId="37" fillId="0" borderId="3" xfId="0" applyFont="1" applyBorder="1" applyAlignment="1">
      <alignment horizontal="left" vertical="center" wrapText="1"/>
    </xf>
    <xf numFmtId="0" fontId="37" fillId="0" borderId="23" xfId="0" applyFont="1" applyBorder="1" applyAlignment="1">
      <alignment horizontal="left" vertical="center" wrapText="1"/>
    </xf>
    <xf numFmtId="0" fontId="37" fillId="0" borderId="1" xfId="0" applyFont="1" applyBorder="1" applyAlignment="1">
      <alignment horizontal="left" vertical="center" wrapText="1"/>
    </xf>
    <xf numFmtId="0" fontId="37" fillId="0" borderId="19" xfId="0" applyFont="1" applyBorder="1" applyAlignment="1">
      <alignment horizontal="left" vertical="center" wrapText="1"/>
    </xf>
    <xf numFmtId="0" fontId="37" fillId="0" borderId="21" xfId="0" applyFont="1" applyBorder="1" applyAlignment="1">
      <alignment horizontal="left" vertical="center" wrapText="1"/>
    </xf>
    <xf numFmtId="0" fontId="37" fillId="38" borderId="21" xfId="0" applyFont="1" applyFill="1" applyBorder="1" applyAlignment="1">
      <alignment vertical="top" wrapText="1"/>
    </xf>
    <xf numFmtId="0" fontId="37" fillId="44" borderId="21" xfId="0" applyFont="1" applyFill="1" applyBorder="1" applyAlignment="1">
      <alignment vertical="top" wrapText="1"/>
    </xf>
    <xf numFmtId="0" fontId="37" fillId="4" borderId="21" xfId="0" applyFont="1" applyFill="1" applyBorder="1" applyAlignment="1">
      <alignment vertical="top" wrapText="1"/>
    </xf>
    <xf numFmtId="0" fontId="37" fillId="39" borderId="21" xfId="0" applyFont="1" applyFill="1" applyBorder="1" applyAlignment="1">
      <alignment vertical="top" wrapText="1"/>
    </xf>
    <xf numFmtId="0" fontId="37" fillId="0" borderId="0" xfId="0" applyFont="1" applyAlignment="1">
      <alignment horizontal="center" vertical="center" wrapText="1"/>
    </xf>
    <xf numFmtId="0" fontId="37" fillId="0" borderId="0" xfId="0" applyFont="1" applyAlignment="1">
      <alignment vertical="top" wrapText="1"/>
    </xf>
    <xf numFmtId="0" fontId="39" fillId="0" borderId="0" xfId="0" applyFont="1" applyAlignment="1">
      <alignment wrapText="1"/>
    </xf>
    <xf numFmtId="0" fontId="41" fillId="0" borderId="0" xfId="0" applyFont="1"/>
    <xf numFmtId="0" fontId="39" fillId="0" borderId="0" xfId="0" applyFont="1" applyAlignment="1">
      <alignment vertical="center" wrapText="1"/>
    </xf>
    <xf numFmtId="0" fontId="41" fillId="50" borderId="39" xfId="0" applyFont="1" applyFill="1" applyBorder="1"/>
    <xf numFmtId="0" fontId="39" fillId="50" borderId="0" xfId="0" applyFont="1" applyFill="1" applyAlignment="1">
      <alignment vertical="center" wrapText="1"/>
    </xf>
    <xf numFmtId="0" fontId="41" fillId="50" borderId="40" xfId="0" applyFont="1" applyFill="1" applyBorder="1"/>
    <xf numFmtId="0" fontId="45" fillId="46" borderId="5" xfId="0" applyFont="1" applyFill="1" applyBorder="1" applyAlignment="1">
      <alignment horizontal="center" vertical="center" wrapText="1"/>
    </xf>
    <xf numFmtId="0" fontId="45" fillId="46" borderId="1" xfId="0" applyFont="1" applyFill="1" applyBorder="1" applyAlignment="1">
      <alignment horizontal="center" vertical="center" wrapText="1"/>
    </xf>
    <xf numFmtId="0" fontId="39" fillId="0" borderId="50" xfId="0" applyFont="1" applyBorder="1" applyAlignment="1">
      <alignment horizontal="left" vertical="center" wrapText="1" indent="1"/>
    </xf>
    <xf numFmtId="0" fontId="39" fillId="0" borderId="48" xfId="0" applyFont="1" applyBorder="1" applyAlignment="1">
      <alignment horizontal="center" vertical="center" wrapText="1"/>
    </xf>
    <xf numFmtId="0" fontId="39" fillId="0" borderId="43" xfId="0" applyFont="1" applyBorder="1" applyAlignment="1">
      <alignment horizontal="left" vertical="center" wrapText="1" indent="1"/>
    </xf>
    <xf numFmtId="0" fontId="39" fillId="0" borderId="51" xfId="0" applyFont="1" applyBorder="1" applyAlignment="1">
      <alignment horizontal="left" vertical="center" wrapText="1" indent="1"/>
    </xf>
    <xf numFmtId="0" fontId="39" fillId="0" borderId="52" xfId="0" applyFont="1" applyBorder="1" applyAlignment="1">
      <alignment horizontal="center" vertical="center" wrapText="1"/>
    </xf>
    <xf numFmtId="0" fontId="39" fillId="50" borderId="0" xfId="0" applyFont="1" applyFill="1" applyAlignment="1">
      <alignment wrapText="1"/>
    </xf>
    <xf numFmtId="0" fontId="46" fillId="0" borderId="43" xfId="0" applyFont="1" applyBorder="1" applyAlignment="1">
      <alignment horizontal="left" vertical="center" wrapText="1" indent="1"/>
    </xf>
    <xf numFmtId="0" fontId="46" fillId="0" borderId="47" xfId="0" applyFont="1" applyBorder="1" applyAlignment="1">
      <alignment horizontal="left" vertical="center" wrapText="1" indent="1"/>
    </xf>
    <xf numFmtId="0" fontId="39" fillId="50" borderId="41" xfId="0" applyFont="1" applyFill="1" applyBorder="1" applyAlignment="1">
      <alignment wrapText="1"/>
    </xf>
    <xf numFmtId="0" fontId="39" fillId="50" borderId="24" xfId="0" applyFont="1" applyFill="1" applyBorder="1" applyAlignment="1">
      <alignment wrapText="1"/>
    </xf>
    <xf numFmtId="0" fontId="39" fillId="50" borderId="42" xfId="0" applyFont="1" applyFill="1" applyBorder="1" applyAlignment="1">
      <alignment wrapText="1"/>
    </xf>
    <xf numFmtId="0" fontId="41" fillId="50" borderId="0" xfId="0" applyFont="1" applyFill="1"/>
    <xf numFmtId="0" fontId="39" fillId="50" borderId="39" xfId="0" applyFont="1" applyFill="1" applyBorder="1" applyAlignment="1">
      <alignment wrapText="1"/>
    </xf>
    <xf numFmtId="0" fontId="41" fillId="50" borderId="42" xfId="0" applyFont="1" applyFill="1" applyBorder="1"/>
    <xf numFmtId="0" fontId="41" fillId="50" borderId="38" xfId="0" applyFont="1" applyFill="1" applyBorder="1"/>
    <xf numFmtId="0" fontId="39" fillId="50" borderId="34" xfId="0" applyFont="1" applyFill="1" applyBorder="1" applyAlignment="1">
      <alignment vertical="center" wrapText="1"/>
    </xf>
    <xf numFmtId="0" fontId="41" fillId="50" borderId="49" xfId="0" applyFont="1" applyFill="1" applyBorder="1"/>
    <xf numFmtId="0" fontId="39" fillId="50" borderId="40" xfId="0" applyFont="1" applyFill="1" applyBorder="1" applyAlignment="1">
      <alignment wrapText="1"/>
    </xf>
    <xf numFmtId="0" fontId="45" fillId="46" borderId="9" xfId="0" applyFont="1" applyFill="1" applyBorder="1" applyAlignment="1">
      <alignment horizontal="center" vertical="center" wrapText="1"/>
    </xf>
    <xf numFmtId="0" fontId="45" fillId="46" borderId="4" xfId="0" applyFont="1" applyFill="1" applyBorder="1" applyAlignment="1">
      <alignment horizontal="center" vertical="center" wrapText="1"/>
    </xf>
    <xf numFmtId="0" fontId="43" fillId="3" borderId="39" xfId="0" applyFont="1" applyFill="1" applyBorder="1" applyAlignment="1">
      <alignment horizontal="left" vertical="center" wrapText="1" indent="1"/>
    </xf>
    <xf numFmtId="0" fontId="43" fillId="3" borderId="3" xfId="0" applyFont="1" applyFill="1" applyBorder="1" applyAlignment="1">
      <alignment horizontal="center" vertical="center" wrapText="1"/>
    </xf>
    <xf numFmtId="0" fontId="42" fillId="55" borderId="35" xfId="0" applyFont="1" applyFill="1" applyBorder="1" applyAlignment="1">
      <alignment horizontal="left" vertical="center" wrapText="1" indent="1"/>
    </xf>
    <xf numFmtId="0" fontId="42" fillId="40" borderId="25" xfId="49" applyFont="1" applyFill="1" applyBorder="1" applyAlignment="1">
      <alignment horizontal="left" vertical="center" indent="1"/>
    </xf>
    <xf numFmtId="0" fontId="42" fillId="40" borderId="28" xfId="49" applyFont="1" applyFill="1" applyBorder="1" applyAlignment="1">
      <alignment horizontal="left" vertical="center" indent="1"/>
    </xf>
    <xf numFmtId="0" fontId="42" fillId="40" borderId="31" xfId="49" applyFont="1" applyFill="1" applyBorder="1" applyAlignment="1">
      <alignment horizontal="left" vertical="center" indent="1"/>
    </xf>
    <xf numFmtId="0" fontId="39" fillId="0" borderId="56" xfId="0" applyFont="1" applyBorder="1" applyAlignment="1">
      <alignment horizontal="left" vertical="center" wrapText="1" indent="1"/>
    </xf>
    <xf numFmtId="0" fontId="39" fillId="0" borderId="57" xfId="0" applyFont="1" applyBorder="1" applyAlignment="1">
      <alignment horizontal="center" vertical="center" wrapText="1"/>
    </xf>
    <xf numFmtId="9" fontId="43" fillId="3" borderId="58" xfId="52" applyFont="1" applyFill="1" applyBorder="1" applyAlignment="1">
      <alignment horizontal="center" vertical="center" wrapText="1"/>
    </xf>
    <xf numFmtId="165" fontId="39" fillId="0" borderId="45" xfId="52" applyNumberFormat="1" applyFont="1" applyBorder="1" applyAlignment="1">
      <alignment horizontal="center" vertical="center" wrapText="1"/>
    </xf>
    <xf numFmtId="165" fontId="39" fillId="0" borderId="59" xfId="52" applyNumberFormat="1" applyFont="1" applyBorder="1" applyAlignment="1">
      <alignment horizontal="center" vertical="center" wrapText="1"/>
    </xf>
    <xf numFmtId="165" fontId="39" fillId="0" borderId="46" xfId="52" applyNumberFormat="1" applyFont="1" applyBorder="1" applyAlignment="1">
      <alignment horizontal="center" vertical="center" wrapText="1"/>
    </xf>
    <xf numFmtId="0" fontId="46" fillId="0" borderId="38" xfId="0" applyFont="1" applyBorder="1" applyAlignment="1">
      <alignment horizontal="left" vertical="center" wrapText="1" indent="1"/>
    </xf>
    <xf numFmtId="165" fontId="39" fillId="0" borderId="60" xfId="52" applyNumberFormat="1" applyFont="1" applyBorder="1" applyAlignment="1">
      <alignment horizontal="center" vertical="center" wrapText="1"/>
    </xf>
    <xf numFmtId="165" fontId="39" fillId="0" borderId="44" xfId="52" applyNumberFormat="1" applyFont="1" applyBorder="1" applyAlignment="1">
      <alignment horizontal="center" vertical="center" wrapText="1"/>
    </xf>
    <xf numFmtId="0" fontId="47" fillId="53" borderId="22" xfId="0" applyFont="1" applyFill="1" applyBorder="1" applyAlignment="1">
      <alignment horizontal="center" vertical="center" wrapText="1"/>
    </xf>
    <xf numFmtId="0" fontId="48" fillId="52" borderId="48" xfId="0" applyFont="1" applyFill="1" applyBorder="1" applyAlignment="1">
      <alignment horizontal="center" vertical="center" wrapText="1"/>
    </xf>
    <xf numFmtId="0" fontId="43" fillId="46" borderId="41" xfId="0" applyFont="1" applyFill="1" applyBorder="1" applyAlignment="1">
      <alignment horizontal="left" vertical="center" wrapText="1" indent="1"/>
    </xf>
    <xf numFmtId="3" fontId="43" fillId="46" borderId="20" xfId="0" applyNumberFormat="1" applyFont="1" applyFill="1" applyBorder="1" applyAlignment="1">
      <alignment horizontal="center" vertical="center" wrapText="1"/>
    </xf>
    <xf numFmtId="165" fontId="43" fillId="0" borderId="46" xfId="52" applyNumberFormat="1" applyFont="1" applyBorder="1" applyAlignment="1">
      <alignment horizontal="center" vertical="center" wrapText="1"/>
    </xf>
    <xf numFmtId="0" fontId="52" fillId="6" borderId="1" xfId="0" applyFont="1" applyFill="1" applyBorder="1" applyAlignment="1">
      <alignment horizontal="center" vertical="center" wrapText="1"/>
    </xf>
    <xf numFmtId="0" fontId="52" fillId="6" borderId="1" xfId="0" applyFont="1" applyFill="1" applyBorder="1" applyAlignment="1">
      <alignment vertical="center" wrapText="1"/>
    </xf>
    <xf numFmtId="0" fontId="53" fillId="2" borderId="1" xfId="0" applyFont="1" applyFill="1" applyBorder="1" applyAlignment="1">
      <alignment horizontal="center" vertical="center" wrapText="1"/>
    </xf>
    <xf numFmtId="0" fontId="37" fillId="2" borderId="1" xfId="0" applyFont="1" applyFill="1" applyBorder="1" applyAlignment="1">
      <alignment vertical="center" wrapText="1"/>
    </xf>
    <xf numFmtId="0" fontId="10" fillId="2" borderId="1" xfId="6" applyFill="1" applyBorder="1" applyAlignment="1">
      <alignment vertical="center" wrapText="1"/>
    </xf>
    <xf numFmtId="0" fontId="37" fillId="0" borderId="0" xfId="0" applyFont="1" applyAlignment="1">
      <alignment vertical="center"/>
    </xf>
    <xf numFmtId="0" fontId="31" fillId="56" borderId="1" xfId="0" applyFont="1" applyFill="1" applyBorder="1" applyAlignment="1">
      <alignment vertical="center"/>
    </xf>
    <xf numFmtId="0" fontId="31" fillId="57" borderId="61" xfId="0" applyFont="1" applyFill="1" applyBorder="1" applyAlignment="1">
      <alignment vertical="center"/>
    </xf>
    <xf numFmtId="0" fontId="37" fillId="51" borderId="61" xfId="0" applyFont="1" applyFill="1" applyBorder="1" applyAlignment="1">
      <alignment horizontal="center" vertical="center" wrapText="1"/>
    </xf>
    <xf numFmtId="0" fontId="38" fillId="51" borderId="61" xfId="0" applyFont="1" applyFill="1" applyBorder="1" applyAlignment="1">
      <alignment vertical="center" wrapText="1"/>
    </xf>
    <xf numFmtId="0" fontId="37" fillId="51" borderId="61" xfId="0" applyFont="1" applyFill="1" applyBorder="1" applyAlignment="1">
      <alignment vertical="center" wrapText="1"/>
    </xf>
    <xf numFmtId="0" fontId="37" fillId="0" borderId="4" xfId="0" applyFont="1" applyBorder="1" applyAlignment="1">
      <alignment horizontal="left" vertical="center" wrapText="1"/>
    </xf>
    <xf numFmtId="0" fontId="37" fillId="0" borderId="2" xfId="0" applyFont="1" applyBorder="1" applyAlignment="1">
      <alignment horizontal="left" vertical="center" wrapText="1"/>
    </xf>
    <xf numFmtId="0" fontId="37" fillId="0" borderId="22" xfId="0" applyFont="1" applyBorder="1" applyAlignment="1">
      <alignment horizontal="left" vertical="center" wrapText="1"/>
    </xf>
    <xf numFmtId="49" fontId="7" fillId="2" borderId="1" xfId="6" applyNumberFormat="1" applyFont="1" applyFill="1" applyBorder="1" applyAlignment="1">
      <alignment vertical="center" wrapText="1"/>
    </xf>
    <xf numFmtId="49" fontId="7" fillId="2" borderId="1" xfId="0" applyNumberFormat="1" applyFont="1" applyFill="1" applyBorder="1" applyAlignment="1">
      <alignment horizontal="left" vertical="center" wrapText="1"/>
    </xf>
    <xf numFmtId="49" fontId="7" fillId="2" borderId="1" xfId="0" applyNumberFormat="1" applyFont="1" applyFill="1" applyBorder="1" applyAlignment="1">
      <alignment vertical="center" wrapText="1"/>
    </xf>
    <xf numFmtId="0" fontId="37" fillId="0" borderId="20" xfId="0" applyFont="1" applyBorder="1" applyAlignment="1">
      <alignment horizontal="left" vertical="center" wrapText="1"/>
    </xf>
    <xf numFmtId="0" fontId="37" fillId="0" borderId="1" xfId="0" applyFont="1" applyBorder="1"/>
    <xf numFmtId="0" fontId="37" fillId="3" borderId="1" xfId="0" applyFont="1" applyFill="1" applyBorder="1" applyAlignment="1">
      <alignment vertical="center" wrapText="1"/>
    </xf>
    <xf numFmtId="0" fontId="37" fillId="3" borderId="1" xfId="0" applyFont="1" applyFill="1" applyBorder="1"/>
    <xf numFmtId="0" fontId="49" fillId="2" borderId="45" xfId="0" applyFont="1" applyFill="1" applyBorder="1" applyAlignment="1">
      <alignment horizontal="center" vertical="center" wrapText="1"/>
    </xf>
    <xf numFmtId="9" fontId="49" fillId="2" borderId="46" xfId="52" applyFont="1" applyFill="1" applyBorder="1" applyAlignment="1">
      <alignment horizontal="center" vertical="center" wrapText="1"/>
    </xf>
    <xf numFmtId="0" fontId="37" fillId="0" borderId="22" xfId="0" applyFont="1" applyBorder="1" applyAlignment="1">
      <alignment vertical="center" wrapText="1"/>
    </xf>
    <xf numFmtId="0" fontId="37" fillId="0" borderId="3" xfId="0" applyFont="1" applyBorder="1" applyAlignment="1">
      <alignment vertical="center" wrapText="1"/>
    </xf>
    <xf numFmtId="0" fontId="37" fillId="0" borderId="20" xfId="0" applyFont="1" applyBorder="1" applyAlignment="1">
      <alignment vertical="center" wrapText="1"/>
    </xf>
    <xf numFmtId="0" fontId="15" fillId="3" borderId="3" xfId="12" applyFill="1" applyBorder="1" applyAlignment="1">
      <alignment vertical="top" wrapText="1"/>
    </xf>
    <xf numFmtId="0" fontId="15" fillId="3" borderId="3" xfId="12" applyFill="1" applyBorder="1" applyAlignment="1">
      <alignment vertical="top"/>
    </xf>
    <xf numFmtId="0" fontId="15" fillId="0" borderId="20" xfId="12" applyBorder="1" applyAlignment="1">
      <alignment vertical="top" wrapText="1"/>
    </xf>
    <xf numFmtId="0" fontId="37" fillId="0" borderId="20" xfId="0" applyFont="1" applyBorder="1" applyAlignment="1">
      <alignment horizontal="center" vertical="center"/>
    </xf>
    <xf numFmtId="0" fontId="37" fillId="0" borderId="23" xfId="0" applyFont="1" applyBorder="1" applyAlignment="1">
      <alignment vertical="center" wrapText="1"/>
    </xf>
    <xf numFmtId="0" fontId="37" fillId="0" borderId="19" xfId="0" applyFont="1" applyBorder="1" applyAlignment="1">
      <alignment vertical="center" wrapText="1"/>
    </xf>
    <xf numFmtId="0" fontId="15" fillId="0" borderId="22" xfId="12" applyBorder="1" applyAlignment="1">
      <alignment vertical="top" wrapText="1"/>
    </xf>
    <xf numFmtId="0" fontId="15" fillId="44" borderId="22" xfId="12" applyFill="1" applyBorder="1" applyAlignment="1">
      <alignment vertical="top" wrapText="1"/>
    </xf>
    <xf numFmtId="0" fontId="15" fillId="4" borderId="22" xfId="12" applyFill="1" applyBorder="1" applyAlignment="1">
      <alignment vertical="top" wrapText="1"/>
    </xf>
    <xf numFmtId="0" fontId="15" fillId="39" borderId="22" xfId="12" applyFill="1" applyBorder="1" applyAlignment="1">
      <alignment vertical="top" wrapText="1"/>
    </xf>
    <xf numFmtId="0" fontId="37" fillId="0" borderId="22" xfId="0" applyFont="1" applyBorder="1" applyAlignment="1">
      <alignment horizontal="center" vertical="center"/>
    </xf>
    <xf numFmtId="0" fontId="15" fillId="3" borderId="20" xfId="12" applyFill="1" applyBorder="1" applyAlignment="1">
      <alignment vertical="top" wrapText="1"/>
    </xf>
    <xf numFmtId="0" fontId="15" fillId="3" borderId="20" xfId="12" applyFill="1" applyBorder="1" applyAlignment="1">
      <alignment vertical="top"/>
    </xf>
    <xf numFmtId="0" fontId="23" fillId="3" borderId="1" xfId="12" applyFont="1" applyFill="1" applyBorder="1" applyAlignment="1">
      <alignment horizontal="center" vertical="center"/>
    </xf>
    <xf numFmtId="0" fontId="15" fillId="44" borderId="2" xfId="12" applyFill="1" applyBorder="1" applyAlignment="1">
      <alignment vertical="top" wrapText="1"/>
    </xf>
    <xf numFmtId="0" fontId="15" fillId="3" borderId="4" xfId="12" applyFill="1" applyBorder="1" applyAlignment="1">
      <alignment vertical="top" wrapText="1"/>
    </xf>
    <xf numFmtId="0" fontId="15" fillId="3" borderId="4" xfId="12" applyFill="1" applyBorder="1" applyAlignment="1">
      <alignment vertical="top"/>
    </xf>
    <xf numFmtId="0" fontId="4" fillId="46" borderId="5" xfId="0" applyFont="1" applyFill="1" applyBorder="1" applyAlignment="1">
      <alignment horizontal="center" vertical="top" wrapText="1"/>
    </xf>
    <xf numFmtId="0" fontId="58" fillId="0" borderId="1" xfId="0" applyFont="1" applyBorder="1" applyAlignment="1">
      <alignment horizontal="center" vertical="top" wrapText="1"/>
    </xf>
    <xf numFmtId="0" fontId="58" fillId="2" borderId="1" xfId="0" applyFont="1" applyFill="1" applyBorder="1" applyAlignment="1">
      <alignment horizontal="center" vertical="top" wrapText="1"/>
    </xf>
    <xf numFmtId="0" fontId="37" fillId="0" borderId="4" xfId="0" applyFont="1" applyBorder="1" applyAlignment="1">
      <alignment vertical="center" wrapText="1"/>
    </xf>
    <xf numFmtId="0" fontId="37" fillId="2" borderId="20" xfId="0" applyFont="1" applyFill="1" applyBorder="1" applyAlignment="1">
      <alignment vertical="top" wrapText="1"/>
    </xf>
    <xf numFmtId="0" fontId="37" fillId="0" borderId="2" xfId="0" applyFont="1" applyBorder="1" applyAlignment="1">
      <alignment vertical="center" wrapText="1"/>
    </xf>
    <xf numFmtId="0" fontId="56" fillId="38" borderId="1" xfId="0" applyFont="1" applyFill="1" applyBorder="1" applyAlignment="1">
      <alignment vertical="top" wrapText="1"/>
    </xf>
    <xf numFmtId="0" fontId="37" fillId="3" borderId="20" xfId="0" applyFont="1" applyFill="1" applyBorder="1" applyAlignment="1">
      <alignment vertical="top" wrapText="1"/>
    </xf>
    <xf numFmtId="0" fontId="37" fillId="43" borderId="3" xfId="0" applyFont="1" applyFill="1" applyBorder="1" applyAlignment="1">
      <alignment vertical="top" wrapText="1"/>
    </xf>
    <xf numFmtId="0" fontId="37" fillId="0" borderId="21" xfId="0" applyFont="1" applyBorder="1" applyAlignment="1">
      <alignment vertical="center" wrapText="1"/>
    </xf>
    <xf numFmtId="0" fontId="38" fillId="38" borderId="3" xfId="0" applyFont="1" applyFill="1" applyBorder="1" applyAlignment="1">
      <alignment horizontal="center" vertical="center" wrapText="1"/>
    </xf>
    <xf numFmtId="0" fontId="38" fillId="2" borderId="3" xfId="0" applyFont="1" applyFill="1" applyBorder="1" applyAlignment="1">
      <alignment horizontal="center" vertical="center" wrapText="1"/>
    </xf>
    <xf numFmtId="0" fontId="38" fillId="2" borderId="21" xfId="0" applyFont="1" applyFill="1" applyBorder="1" applyAlignment="1">
      <alignment horizontal="center" vertical="center" wrapText="1"/>
    </xf>
    <xf numFmtId="0" fontId="38" fillId="38" borderId="21" xfId="0" applyFont="1" applyFill="1" applyBorder="1" applyAlignment="1">
      <alignment horizontal="center" vertical="center" wrapText="1"/>
    </xf>
    <xf numFmtId="0" fontId="5" fillId="0" borderId="5" xfId="0" applyFont="1" applyBorder="1" applyAlignment="1">
      <alignment horizontal="center" vertical="top" wrapText="1"/>
    </xf>
    <xf numFmtId="0" fontId="6" fillId="0" borderId="5" xfId="0" applyFont="1" applyBorder="1" applyAlignment="1">
      <alignment horizontal="center" vertical="top" wrapText="1"/>
    </xf>
    <xf numFmtId="0" fontId="15" fillId="0" borderId="21" xfId="12" applyBorder="1" applyAlignment="1">
      <alignment vertical="top" wrapText="1"/>
    </xf>
    <xf numFmtId="0" fontId="37" fillId="2" borderId="22" xfId="0" applyFont="1" applyFill="1" applyBorder="1" applyAlignment="1">
      <alignment vertical="top" wrapText="1"/>
    </xf>
    <xf numFmtId="0" fontId="37" fillId="45" borderId="22" xfId="0" applyFont="1" applyFill="1" applyBorder="1" applyAlignment="1">
      <alignment vertical="top" wrapText="1"/>
    </xf>
    <xf numFmtId="0" fontId="37" fillId="41" borderId="22" xfId="0" applyFont="1" applyFill="1" applyBorder="1" applyAlignment="1">
      <alignment vertical="top" wrapText="1"/>
    </xf>
    <xf numFmtId="0" fontId="37" fillId="42" borderId="22" xfId="0" applyFont="1" applyFill="1" applyBorder="1" applyAlignment="1">
      <alignment vertical="top" wrapText="1"/>
    </xf>
    <xf numFmtId="0" fontId="37" fillId="42" borderId="21" xfId="0" applyFont="1" applyFill="1" applyBorder="1" applyAlignment="1">
      <alignment horizontal="left" vertical="top" wrapText="1"/>
    </xf>
    <xf numFmtId="0" fontId="3" fillId="0" borderId="7" xfId="0" applyFont="1" applyBorder="1" applyAlignment="1">
      <alignment horizontal="center" vertical="center" wrapText="1"/>
    </xf>
    <xf numFmtId="16" fontId="3" fillId="0" borderId="1" xfId="0" applyNumberFormat="1" applyFont="1" applyBorder="1" applyAlignment="1">
      <alignment horizontal="center" vertical="center" wrapText="1"/>
    </xf>
    <xf numFmtId="14" fontId="37" fillId="0" borderId="22" xfId="0" applyNumberFormat="1" applyFont="1" applyBorder="1" applyAlignment="1">
      <alignment vertical="center" wrapText="1"/>
    </xf>
    <xf numFmtId="14" fontId="37" fillId="0" borderId="1" xfId="0" applyNumberFormat="1" applyFont="1" applyBorder="1" applyAlignment="1">
      <alignment vertical="center" wrapText="1"/>
    </xf>
    <xf numFmtId="0" fontId="39" fillId="0" borderId="63" xfId="0" applyFont="1" applyBorder="1" applyAlignment="1">
      <alignment horizontal="left" vertical="center" wrapText="1" indent="1"/>
    </xf>
    <xf numFmtId="0" fontId="39" fillId="0" borderId="64" xfId="0" applyFont="1" applyBorder="1" applyAlignment="1">
      <alignment horizontal="center" vertical="center" wrapText="1"/>
    </xf>
    <xf numFmtId="0" fontId="37" fillId="0" borderId="23" xfId="0" applyFont="1" applyBorder="1" applyAlignment="1">
      <alignment vertical="top" wrapText="1"/>
    </xf>
    <xf numFmtId="0" fontId="37" fillId="0" borderId="19" xfId="0" applyFont="1" applyBorder="1" applyAlignment="1">
      <alignment vertical="top" wrapText="1"/>
    </xf>
    <xf numFmtId="0" fontId="37" fillId="0" borderId="21" xfId="0" applyFont="1" applyBorder="1" applyAlignment="1">
      <alignment vertical="top" wrapText="1"/>
    </xf>
    <xf numFmtId="0" fontId="37" fillId="0" borderId="4" xfId="0" applyFont="1" applyBorder="1" applyAlignment="1">
      <alignment vertical="top" wrapText="1"/>
    </xf>
    <xf numFmtId="0" fontId="37" fillId="0" borderId="1" xfId="0" applyFont="1" applyBorder="1" applyAlignment="1">
      <alignment vertical="top" wrapText="1"/>
    </xf>
    <xf numFmtId="0" fontId="37" fillId="0" borderId="2" xfId="0" applyFont="1" applyBorder="1" applyAlignment="1">
      <alignment vertical="top" wrapText="1"/>
    </xf>
    <xf numFmtId="14" fontId="37" fillId="0" borderId="23" xfId="0" applyNumberFormat="1" applyFont="1" applyBorder="1" applyAlignment="1">
      <alignment horizontal="left" vertical="center" wrapText="1"/>
    </xf>
    <xf numFmtId="0" fontId="38" fillId="59" borderId="3" xfId="0" applyFont="1" applyFill="1" applyBorder="1" applyAlignment="1">
      <alignment horizontal="center" vertical="center" wrapText="1"/>
    </xf>
    <xf numFmtId="0" fontId="38" fillId="59" borderId="21" xfId="0" applyFont="1" applyFill="1" applyBorder="1" applyAlignment="1">
      <alignment horizontal="center" vertical="center" wrapText="1"/>
    </xf>
    <xf numFmtId="0" fontId="38" fillId="60" borderId="21" xfId="0" applyFont="1" applyFill="1" applyBorder="1" applyAlignment="1">
      <alignment horizontal="center" vertical="center" wrapText="1"/>
    </xf>
    <xf numFmtId="0" fontId="32" fillId="0" borderId="0" xfId="49" applyFont="1" applyAlignment="1">
      <alignment horizontal="left" vertical="top"/>
    </xf>
    <xf numFmtId="0" fontId="36" fillId="48" borderId="0" xfId="49" applyFont="1" applyFill="1" applyAlignment="1">
      <alignment horizontal="center" vertical="center"/>
    </xf>
    <xf numFmtId="0" fontId="42" fillId="54" borderId="35" xfId="0" applyFont="1" applyFill="1" applyBorder="1" applyAlignment="1">
      <alignment horizontal="center" vertical="center" wrapText="1"/>
    </xf>
    <xf numFmtId="0" fontId="42" fillId="54" borderId="36" xfId="0" applyFont="1" applyFill="1" applyBorder="1" applyAlignment="1">
      <alignment horizontal="center" vertical="center" wrapText="1"/>
    </xf>
    <xf numFmtId="0" fontId="42" fillId="54" borderId="37" xfId="0" applyFont="1" applyFill="1" applyBorder="1" applyAlignment="1">
      <alignment horizontal="center" vertical="center" wrapText="1"/>
    </xf>
    <xf numFmtId="0" fontId="50" fillId="40" borderId="35" xfId="0" applyFont="1" applyFill="1" applyBorder="1" applyAlignment="1">
      <alignment horizontal="center" vertical="center" wrapText="1"/>
    </xf>
    <xf numFmtId="0" fontId="50" fillId="40" borderId="36" xfId="0" applyFont="1" applyFill="1" applyBorder="1" applyAlignment="1">
      <alignment horizontal="center" vertical="center" wrapText="1"/>
    </xf>
    <xf numFmtId="0" fontId="50" fillId="40" borderId="37" xfId="0" applyFont="1" applyFill="1" applyBorder="1" applyAlignment="1">
      <alignment horizontal="center" vertical="center" wrapText="1"/>
    </xf>
    <xf numFmtId="0" fontId="42" fillId="55" borderId="55" xfId="0" applyFont="1" applyFill="1" applyBorder="1" applyAlignment="1">
      <alignment horizontal="center" vertical="center" wrapText="1"/>
    </xf>
    <xf numFmtId="0" fontId="42" fillId="55" borderId="37" xfId="0" applyFont="1" applyFill="1" applyBorder="1" applyAlignment="1">
      <alignment horizontal="center" vertical="center" wrapText="1"/>
    </xf>
    <xf numFmtId="0" fontId="42" fillId="37" borderId="5" xfId="0" applyFont="1" applyFill="1" applyBorder="1" applyAlignment="1">
      <alignment horizontal="center" vertical="center" wrapText="1"/>
    </xf>
    <xf numFmtId="0" fontId="42" fillId="37" borderId="6" xfId="0" applyFont="1" applyFill="1" applyBorder="1" applyAlignment="1">
      <alignment horizontal="center" vertical="center" wrapText="1"/>
    </xf>
    <xf numFmtId="0" fontId="42" fillId="54" borderId="5" xfId="0" applyFont="1" applyFill="1" applyBorder="1" applyAlignment="1">
      <alignment horizontal="center" vertical="center" wrapText="1"/>
    </xf>
    <xf numFmtId="0" fontId="42" fillId="54" borderId="6" xfId="0" applyFont="1" applyFill="1" applyBorder="1" applyAlignment="1">
      <alignment horizontal="center" vertical="center" wrapText="1"/>
    </xf>
    <xf numFmtId="0" fontId="40" fillId="0" borderId="26" xfId="49" applyFont="1" applyBorder="1" applyAlignment="1">
      <alignment horizontal="center" vertical="center"/>
    </xf>
    <xf numFmtId="0" fontId="40" fillId="0" borderId="27" xfId="49" applyFont="1" applyBorder="1" applyAlignment="1">
      <alignment horizontal="center" vertical="center"/>
    </xf>
    <xf numFmtId="0" fontId="44" fillId="0" borderId="29" xfId="49" applyFont="1" applyBorder="1" applyAlignment="1">
      <alignment horizontal="center" vertical="center"/>
    </xf>
    <xf numFmtId="0" fontId="44" fillId="0" borderId="30" xfId="49" applyFont="1" applyBorder="1" applyAlignment="1">
      <alignment horizontal="center" vertical="center"/>
    </xf>
    <xf numFmtId="0" fontId="42" fillId="6" borderId="35" xfId="0" applyFont="1" applyFill="1" applyBorder="1" applyAlignment="1">
      <alignment horizontal="center" vertical="center" wrapText="1"/>
    </xf>
    <xf numFmtId="0" fontId="42" fillId="6" borderId="36" xfId="0" applyFont="1" applyFill="1" applyBorder="1" applyAlignment="1">
      <alignment horizontal="center" vertical="center" wrapText="1"/>
    </xf>
    <xf numFmtId="0" fontId="42" fillId="6" borderId="37" xfId="0" applyFont="1" applyFill="1" applyBorder="1" applyAlignment="1">
      <alignment horizontal="center" vertical="center" wrapText="1"/>
    </xf>
    <xf numFmtId="0" fontId="42" fillId="6" borderId="5" xfId="0" applyFont="1" applyFill="1" applyBorder="1" applyAlignment="1">
      <alignment horizontal="center" vertical="center" wrapText="1"/>
    </xf>
    <xf numFmtId="0" fontId="42" fillId="6" borderId="6" xfId="0" applyFont="1" applyFill="1" applyBorder="1" applyAlignment="1">
      <alignment horizontal="center" vertical="center" wrapText="1"/>
    </xf>
    <xf numFmtId="0" fontId="42" fillId="58" borderId="5" xfId="0" applyFont="1" applyFill="1" applyBorder="1" applyAlignment="1">
      <alignment horizontal="center" vertical="center" wrapText="1"/>
    </xf>
    <xf numFmtId="0" fontId="42" fillId="58" borderId="6" xfId="0" applyFont="1" applyFill="1" applyBorder="1" applyAlignment="1">
      <alignment horizontal="center" vertical="center" wrapText="1"/>
    </xf>
    <xf numFmtId="0" fontId="44" fillId="0" borderId="32" xfId="49" applyFont="1" applyBorder="1" applyAlignment="1">
      <alignment horizontal="center" vertical="center"/>
    </xf>
    <xf numFmtId="0" fontId="44" fillId="0" borderId="33" xfId="49" applyFont="1" applyBorder="1" applyAlignment="1">
      <alignment horizontal="center" vertical="center"/>
    </xf>
    <xf numFmtId="0" fontId="51" fillId="40" borderId="35" xfId="49" applyFont="1" applyFill="1" applyBorder="1" applyAlignment="1">
      <alignment horizontal="center" vertical="center"/>
    </xf>
    <xf numFmtId="0" fontId="51" fillId="40" borderId="36" xfId="49" applyFont="1" applyFill="1" applyBorder="1" applyAlignment="1">
      <alignment horizontal="center" vertical="center"/>
    </xf>
    <xf numFmtId="0" fontId="51" fillId="40" borderId="37" xfId="49" applyFont="1" applyFill="1" applyBorder="1" applyAlignment="1">
      <alignment horizontal="center" vertical="center"/>
    </xf>
    <xf numFmtId="0" fontId="42" fillId="58" borderId="35" xfId="0" applyFont="1" applyFill="1" applyBorder="1" applyAlignment="1">
      <alignment horizontal="center" vertical="center" wrapText="1"/>
    </xf>
    <xf numFmtId="0" fontId="42" fillId="58" borderId="36" xfId="0" applyFont="1" applyFill="1" applyBorder="1" applyAlignment="1">
      <alignment horizontal="center" vertical="center" wrapText="1"/>
    </xf>
    <xf numFmtId="0" fontId="42" fillId="58" borderId="37" xfId="0" applyFont="1" applyFill="1" applyBorder="1" applyAlignment="1">
      <alignment horizontal="center" vertical="center" wrapText="1"/>
    </xf>
    <xf numFmtId="0" fontId="42" fillId="37" borderId="35" xfId="0" applyFont="1" applyFill="1" applyBorder="1" applyAlignment="1">
      <alignment horizontal="center" vertical="center" wrapText="1"/>
    </xf>
    <xf numFmtId="0" fontId="42" fillId="37" borderId="36" xfId="0" applyFont="1" applyFill="1" applyBorder="1" applyAlignment="1">
      <alignment horizontal="center" vertical="center" wrapText="1"/>
    </xf>
    <xf numFmtId="0" fontId="42" fillId="37" borderId="37" xfId="0" applyFont="1" applyFill="1" applyBorder="1" applyAlignment="1">
      <alignment horizontal="center" vertical="center" wrapText="1"/>
    </xf>
    <xf numFmtId="0" fontId="51" fillId="40" borderId="62" xfId="49" applyFont="1" applyFill="1" applyBorder="1" applyAlignment="1">
      <alignment horizontal="center" vertical="center"/>
    </xf>
    <xf numFmtId="0" fontId="51" fillId="40" borderId="60" xfId="49" applyFont="1" applyFill="1" applyBorder="1" applyAlignment="1">
      <alignment horizontal="center" vertical="center"/>
    </xf>
    <xf numFmtId="0" fontId="42" fillId="54" borderId="53" xfId="0" applyFont="1" applyFill="1" applyBorder="1" applyAlignment="1">
      <alignment horizontal="center" vertical="center" wrapText="1"/>
    </xf>
    <xf numFmtId="0" fontId="42" fillId="54" borderId="54" xfId="0" applyFont="1" applyFill="1" applyBorder="1" applyAlignment="1">
      <alignment horizontal="center" vertical="center" wrapText="1"/>
    </xf>
    <xf numFmtId="0" fontId="26" fillId="59" borderId="23" xfId="12" applyFont="1" applyFill="1" applyBorder="1" applyAlignment="1">
      <alignment horizontal="center" vertical="center" wrapText="1"/>
    </xf>
    <xf numFmtId="0" fontId="26" fillId="59" borderId="1" xfId="12" applyFont="1" applyFill="1" applyBorder="1" applyAlignment="1">
      <alignment horizontal="center" vertical="center" wrapText="1"/>
    </xf>
    <xf numFmtId="0" fontId="26" fillId="59" borderId="19" xfId="12" applyFont="1" applyFill="1" applyBorder="1" applyAlignment="1">
      <alignment horizontal="center" vertical="center" wrapText="1"/>
    </xf>
    <xf numFmtId="0" fontId="26" fillId="0" borderId="22" xfId="12" applyFont="1" applyBorder="1" applyAlignment="1">
      <alignment horizontal="center" vertical="center" wrapText="1"/>
    </xf>
    <xf numFmtId="0" fontId="26" fillId="0" borderId="3" xfId="12" applyFont="1" applyBorder="1" applyAlignment="1">
      <alignment horizontal="center" vertical="center" wrapText="1"/>
    </xf>
    <xf numFmtId="0" fontId="26" fillId="0" borderId="20" xfId="12" applyFont="1" applyBorder="1" applyAlignment="1">
      <alignment horizontal="center" vertical="center" wrapText="1"/>
    </xf>
    <xf numFmtId="0" fontId="37" fillId="0" borderId="22" xfId="0" applyFont="1" applyBorder="1" applyAlignment="1">
      <alignment horizontal="left" vertical="center" wrapText="1"/>
    </xf>
    <xf numFmtId="0" fontId="37" fillId="0" borderId="20" xfId="0" applyFont="1" applyBorder="1" applyAlignment="1">
      <alignment horizontal="left" vertical="center" wrapText="1"/>
    </xf>
    <xf numFmtId="0" fontId="37" fillId="0" borderId="3" xfId="0" applyFont="1" applyBorder="1" applyAlignment="1">
      <alignment horizontal="left" vertical="center" wrapText="1"/>
    </xf>
    <xf numFmtId="0" fontId="38" fillId="38" borderId="22" xfId="0" applyFont="1" applyFill="1" applyBorder="1" applyAlignment="1">
      <alignment horizontal="center" vertical="center" wrapText="1"/>
    </xf>
    <xf numFmtId="0" fontId="38" fillId="38" borderId="3" xfId="0" applyFont="1" applyFill="1" applyBorder="1" applyAlignment="1">
      <alignment horizontal="center" vertical="center" wrapText="1"/>
    </xf>
    <xf numFmtId="0" fontId="38" fillId="38" borderId="20" xfId="0" applyFont="1" applyFill="1" applyBorder="1" applyAlignment="1">
      <alignment horizontal="center" vertical="center" wrapText="1"/>
    </xf>
    <xf numFmtId="0" fontId="38" fillId="60" borderId="22" xfId="0" applyFont="1" applyFill="1" applyBorder="1" applyAlignment="1">
      <alignment horizontal="center" vertical="center" wrapText="1"/>
    </xf>
    <xf numFmtId="0" fontId="38" fillId="60" borderId="3" xfId="0" applyFont="1" applyFill="1" applyBorder="1" applyAlignment="1">
      <alignment horizontal="center" vertical="center" wrapText="1"/>
    </xf>
    <xf numFmtId="0" fontId="38" fillId="60" borderId="20" xfId="0" applyFont="1" applyFill="1" applyBorder="1" applyAlignment="1">
      <alignment horizontal="center" vertical="center" wrapText="1"/>
    </xf>
    <xf numFmtId="0" fontId="38" fillId="2" borderId="3" xfId="0" applyFont="1" applyFill="1" applyBorder="1" applyAlignment="1">
      <alignment horizontal="center" vertical="center" wrapText="1"/>
    </xf>
    <xf numFmtId="0" fontId="38" fillId="2" borderId="22" xfId="0" applyFont="1" applyFill="1" applyBorder="1" applyAlignment="1">
      <alignment horizontal="center" vertical="center" wrapText="1"/>
    </xf>
    <xf numFmtId="0" fontId="38" fillId="2" borderId="20" xfId="0" applyFont="1" applyFill="1" applyBorder="1" applyAlignment="1">
      <alignment horizontal="center" vertical="center" wrapText="1"/>
    </xf>
    <xf numFmtId="0" fontId="38" fillId="59" borderId="3" xfId="0" applyFont="1" applyFill="1" applyBorder="1" applyAlignment="1">
      <alignment horizontal="center" vertical="center" wrapText="1"/>
    </xf>
    <xf numFmtId="0" fontId="37" fillId="0" borderId="2" xfId="0" applyFont="1" applyBorder="1" applyAlignment="1">
      <alignment horizontal="left" vertical="center" wrapText="1"/>
    </xf>
    <xf numFmtId="0" fontId="37" fillId="0" borderId="4" xfId="0" applyFont="1" applyBorder="1" applyAlignment="1">
      <alignment horizontal="left" vertical="center" wrapText="1"/>
    </xf>
    <xf numFmtId="16" fontId="37" fillId="0" borderId="2" xfId="0" applyNumberFormat="1" applyFont="1" applyBorder="1" applyAlignment="1">
      <alignment horizontal="left" vertical="center" wrapText="1"/>
    </xf>
    <xf numFmtId="16" fontId="37" fillId="0" borderId="4" xfId="0" applyNumberFormat="1" applyFont="1" applyBorder="1" applyAlignment="1">
      <alignment horizontal="left" vertical="center" wrapText="1"/>
    </xf>
    <xf numFmtId="0" fontId="38" fillId="59" borderId="22" xfId="0" applyFont="1" applyFill="1" applyBorder="1" applyAlignment="1">
      <alignment horizontal="center" vertical="center" wrapText="1"/>
    </xf>
    <xf numFmtId="0" fontId="38" fillId="59" borderId="20" xfId="0" applyFont="1" applyFill="1" applyBorder="1" applyAlignment="1">
      <alignment horizontal="center" vertical="center" wrapText="1"/>
    </xf>
    <xf numFmtId="0" fontId="54" fillId="40" borderId="8" xfId="0" applyFont="1" applyFill="1" applyBorder="1" applyAlignment="1">
      <alignment horizontal="center" vertical="center"/>
    </xf>
    <xf numFmtId="0" fontId="54" fillId="40" borderId="0" xfId="0" applyFont="1" applyFill="1" applyAlignment="1">
      <alignment horizontal="center" vertical="center"/>
    </xf>
    <xf numFmtId="0" fontId="31" fillId="40" borderId="8" xfId="0" applyFont="1" applyFill="1" applyBorder="1" applyAlignment="1">
      <alignment horizontal="center" vertical="center"/>
    </xf>
    <xf numFmtId="0" fontId="31" fillId="40" borderId="0" xfId="0" applyFont="1" applyFill="1" applyAlignment="1">
      <alignment horizontal="center" vertical="center"/>
    </xf>
    <xf numFmtId="0" fontId="37" fillId="0" borderId="3" xfId="0" applyFont="1" applyFill="1" applyBorder="1" applyAlignment="1">
      <alignment vertical="center" wrapText="1"/>
    </xf>
    <xf numFmtId="0" fontId="37" fillId="0" borderId="1" xfId="0" applyFont="1" applyBorder="1" applyAlignment="1">
      <alignment vertical="center"/>
    </xf>
    <xf numFmtId="0" fontId="30" fillId="0" borderId="0" xfId="51" applyBorder="1"/>
  </cellXfs>
  <cellStyles count="53">
    <cellStyle name="20% - Accent1 2" xfId="26" xr:uid="{568994E3-8E08-41A8-BB60-4BBDAD5263DF}"/>
    <cellStyle name="20% - Accent2 2" xfId="30" xr:uid="{6406CE89-2A0D-4961-9911-72DFE1B484A2}"/>
    <cellStyle name="20% - Accent3 2" xfId="34" xr:uid="{674CA897-3BF2-48E8-B914-CF4CF1D0091E}"/>
    <cellStyle name="20% - Accent4 2" xfId="38" xr:uid="{DF454BA3-C751-492D-A305-AC61272EAFE0}"/>
    <cellStyle name="20% - Accent5 2" xfId="42" xr:uid="{A95EC748-AA1E-43EE-BF8E-B565D84FFD2F}"/>
    <cellStyle name="20% - Accent6 2" xfId="46" xr:uid="{DE9C956C-8832-4F02-87C8-BA59F81645B5}"/>
    <cellStyle name="40% - Accent1 2" xfId="27" xr:uid="{B230AF20-6C85-4A45-AA09-2B94D0561EEE}"/>
    <cellStyle name="40% - Accent2 2" xfId="31" xr:uid="{F5CF6E28-5C98-449E-B794-480B60AB1579}"/>
    <cellStyle name="40% - Accent3 2" xfId="4" xr:uid="{00000000-0005-0000-0000-000000000000}"/>
    <cellStyle name="40% - Accent3 3" xfId="35" xr:uid="{E8081133-8A2E-4061-BB90-48D18D807DF6}"/>
    <cellStyle name="40% - Accent4 2" xfId="39" xr:uid="{7382E434-1509-4B06-9622-392D4423EEF4}"/>
    <cellStyle name="40% - Accent5 2" xfId="43" xr:uid="{62E77883-A68D-4452-A3A8-1285AC7A368C}"/>
    <cellStyle name="40% - Accent6 2" xfId="47" xr:uid="{295B3F45-9258-4A99-BCEA-354E55898C2A}"/>
    <cellStyle name="60% - Accent1 2" xfId="28" xr:uid="{277565D1-C6DA-4376-9F34-9055C70B14DD}"/>
    <cellStyle name="60% - Accent2 2" xfId="32" xr:uid="{AAE500CC-69D8-43B9-B0D1-F973132428C0}"/>
    <cellStyle name="60% - Accent3 2" xfId="36" xr:uid="{33E66350-0E9E-4A2F-AA6A-09812F282316}"/>
    <cellStyle name="60% - Accent4 2" xfId="40" xr:uid="{C962963A-58B6-4A3A-81C9-8B8C864483FE}"/>
    <cellStyle name="60% - Accent5 2" xfId="44" xr:uid="{5BC2E36C-F422-449D-B996-133A41864E10}"/>
    <cellStyle name="60% - Accent6 2" xfId="48" xr:uid="{4775190A-DEAA-4FA7-9D3F-662B3A4C9FCC}"/>
    <cellStyle name="Accent1 2" xfId="25" xr:uid="{A995119B-E0EC-42E3-A6BD-FCF0803442BB}"/>
    <cellStyle name="Accent2 2" xfId="29" xr:uid="{48E1C92C-922A-4497-B682-A5CA3B6DFA6A}"/>
    <cellStyle name="Accent3 2" xfId="33" xr:uid="{8B081F55-9082-4262-B13A-3CC598164076}"/>
    <cellStyle name="Accent4 2" xfId="37" xr:uid="{6A560083-B497-45AD-91ED-A85D2F20C4AC}"/>
    <cellStyle name="Accent5 2" xfId="41" xr:uid="{F3F1CC89-C225-4A64-BF71-D577D293E683}"/>
    <cellStyle name="Accent6 2" xfId="45" xr:uid="{D4AC26F1-7CB6-4EEC-B188-0612B2D8191E}"/>
    <cellStyle name="Bad 2" xfId="14" xr:uid="{AB677A77-EE49-44A6-8F2E-41F093601B06}"/>
    <cellStyle name="Calculation 2" xfId="18" xr:uid="{3062A665-1B8B-4471-8EB8-0CAB02879DD4}"/>
    <cellStyle name="Check Cell 2" xfId="20" xr:uid="{4B639A72-3809-4A52-B84C-BCABC35BF501}"/>
    <cellStyle name="Comma" xfId="50" builtinId="3"/>
    <cellStyle name="Explanatory Text 2" xfId="23" xr:uid="{51AFDC12-AFFD-4861-AF68-6AD8B7850FD4}"/>
    <cellStyle name="Good" xfId="6" builtinId="26"/>
    <cellStyle name="Good 2" xfId="13" xr:uid="{93C730B0-BB45-4CB9-A4F5-5A7B1C6D3EBB}"/>
    <cellStyle name="Heading 1" xfId="8" builtinId="16" customBuiltin="1"/>
    <cellStyle name="Heading 2" xfId="9" builtinId="17" customBuiltin="1"/>
    <cellStyle name="Heading 3" xfId="10" builtinId="18" customBuiltin="1"/>
    <cellStyle name="Heading 4" xfId="11" builtinId="19" customBuiltin="1"/>
    <cellStyle name="Hyperlink" xfId="51" builtinId="8"/>
    <cellStyle name="Input 2" xfId="16" xr:uid="{3307B034-B1F0-42AF-AD74-409D4690FA1C}"/>
    <cellStyle name="Linked Cell 2" xfId="19" xr:uid="{5B052A65-CCA2-4C2C-92E3-1B581383A463}"/>
    <cellStyle name="Neutral 2" xfId="15" xr:uid="{B0403A48-56FE-4E4C-A520-62E7970AB519}"/>
    <cellStyle name="Normal" xfId="0" builtinId="0" customBuiltin="1"/>
    <cellStyle name="Normal 2" xfId="3" xr:uid="{00000000-0005-0000-0000-000002000000}"/>
    <cellStyle name="Normal 3" xfId="1" xr:uid="{00000000-0005-0000-0000-000003000000}"/>
    <cellStyle name="Normal 4" xfId="2" xr:uid="{00000000-0005-0000-0000-000004000000}"/>
    <cellStyle name="Normal 5" xfId="5" xr:uid="{00000000-0005-0000-0000-000005000000}"/>
    <cellStyle name="Normal 6" xfId="12" xr:uid="{26123846-3187-4CF5-A308-1942C8128826}"/>
    <cellStyle name="Normal 7" xfId="49" xr:uid="{5F25C6E5-1DEC-42CD-B68F-BCCF446EE7A5}"/>
    <cellStyle name="Note 2" xfId="22" xr:uid="{389EEB1D-EBD6-4201-817F-D851D5381635}"/>
    <cellStyle name="Output 2" xfId="17" xr:uid="{8FDF26BB-AF7E-45E3-B68B-3A68F69693C0}"/>
    <cellStyle name="Percent" xfId="52" builtinId="5"/>
    <cellStyle name="Title" xfId="7" builtinId="15" customBuiltin="1"/>
    <cellStyle name="Total 2" xfId="24" xr:uid="{02471886-E5BF-4D11-8078-0069928AE658}"/>
    <cellStyle name="Warning Text 2" xfId="21" xr:uid="{817ED952-F0C1-43BC-A6FA-A03A54EE1912}"/>
  </cellStyles>
  <dxfs count="222">
    <dxf>
      <fill>
        <patternFill>
          <bgColor theme="0" tint="-4.9989318521683403E-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ont>
        <color rgb="FF9C0006"/>
      </font>
      <fill>
        <patternFill>
          <bgColor rgb="FFFFC7CE"/>
        </patternFill>
      </fill>
    </dxf>
    <dxf>
      <font>
        <b val="0"/>
        <i val="0"/>
      </font>
      <fill>
        <patternFill>
          <bgColor theme="0" tint="-4.9989318521683403E-2"/>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4.9989318521683403E-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4.9989318521683403E-2"/>
        </patternFill>
      </fill>
    </dxf>
    <dxf>
      <font>
        <color rgb="FF9C0006"/>
      </font>
      <fill>
        <patternFill>
          <bgColor rgb="FFFFC7CE"/>
        </patternFill>
      </fill>
    </dxf>
    <dxf>
      <font>
        <b val="0"/>
        <i val="0"/>
      </font>
      <fill>
        <patternFill>
          <bgColor theme="0" tint="-4.9989318521683403E-2"/>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ont>
        <color rgb="FF9C0006"/>
      </font>
      <fill>
        <patternFill>
          <bgColor rgb="FFFFC7CE"/>
        </patternFill>
      </fill>
    </dxf>
    <dxf>
      <fill>
        <patternFill>
          <bgColor theme="0" tint="-4.9989318521683403E-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ont>
        <color rgb="FF9C0006"/>
      </font>
      <fill>
        <patternFill>
          <bgColor rgb="FFFFC7CE"/>
        </patternFill>
      </fill>
    </dxf>
    <dxf>
      <font>
        <b val="0"/>
        <i val="0"/>
      </font>
      <fill>
        <patternFill>
          <bgColor theme="0" tint="-4.9989318521683403E-2"/>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ont>
        <color rgb="FF9C0006"/>
      </font>
      <fill>
        <patternFill>
          <bgColor rgb="FFFFC7CE"/>
        </patternFill>
      </fill>
    </dxf>
    <dxf>
      <fill>
        <patternFill>
          <bgColor theme="0" tint="-4.9989318521683403E-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ont>
        <color rgb="FF9C0006"/>
      </font>
      <fill>
        <patternFill>
          <bgColor rgb="FFFFC7CE"/>
        </patternFill>
      </fill>
    </dxf>
    <dxf>
      <font>
        <b val="0"/>
        <i val="0"/>
      </font>
      <fill>
        <patternFill>
          <bgColor theme="0" tint="-4.9989318521683403E-2"/>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ont>
        <color rgb="FF9C0006"/>
      </font>
      <fill>
        <patternFill>
          <bgColor rgb="FFFFC7CE"/>
        </patternFill>
      </fill>
    </dxf>
    <dxf>
      <fill>
        <patternFill>
          <bgColor theme="0" tint="-4.9989318521683403E-2"/>
        </patternFill>
      </fill>
    </dxf>
    <dxf>
      <font>
        <color rgb="FF9C0006"/>
      </font>
      <fill>
        <patternFill>
          <bgColor rgb="FFFFC7CE"/>
        </patternFill>
      </fill>
    </dxf>
    <dxf>
      <fill>
        <patternFill>
          <bgColor theme="7" tint="0.79998168889431442"/>
        </patternFill>
      </fill>
    </dxf>
    <dxf>
      <fill>
        <patternFill>
          <bgColor theme="7"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ont>
        <color rgb="FF9C0006"/>
      </font>
      <fill>
        <patternFill>
          <bgColor rgb="FFFFC7CE"/>
        </patternFill>
      </fill>
    </dxf>
    <dxf>
      <font>
        <b val="0"/>
        <i val="0"/>
      </font>
      <fill>
        <patternFill>
          <bgColor theme="0" tint="-4.9989318521683403E-2"/>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ill>
        <patternFill>
          <bgColor theme="7" tint="0.79998168889431442"/>
        </patternFill>
      </fill>
    </dxf>
    <dxf>
      <font>
        <color rgb="FF9C0006"/>
      </font>
      <fill>
        <patternFill>
          <bgColor rgb="FFFFC7CE"/>
        </patternFill>
      </fill>
    </dxf>
    <dxf>
      <fill>
        <patternFill>
          <bgColor theme="0" tint="-4.9989318521683403E-2"/>
        </patternFill>
      </fill>
    </dxf>
    <dxf>
      <font>
        <color rgb="FF9C0006"/>
      </font>
      <fill>
        <patternFill>
          <bgColor rgb="FFFFC7CE"/>
        </patternFill>
      </fill>
    </dxf>
    <dxf>
      <fill>
        <patternFill>
          <bgColor theme="7"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ont>
        <color rgb="FF9C0006"/>
      </font>
      <fill>
        <patternFill>
          <bgColor rgb="FFFFC7CE"/>
        </patternFill>
      </fill>
    </dxf>
    <dxf>
      <font>
        <b val="0"/>
        <i val="0"/>
      </font>
      <fill>
        <patternFill>
          <bgColor theme="0" tint="-4.9989318521683403E-2"/>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ill>
        <patternFill>
          <bgColor theme="7" tint="0.79998168889431442"/>
        </patternFill>
      </fill>
    </dxf>
    <dxf>
      <font>
        <color rgb="FF9C0006"/>
      </font>
      <fill>
        <patternFill>
          <bgColor rgb="FFFFC7CE"/>
        </patternFill>
      </fill>
    </dxf>
    <dxf>
      <fill>
        <patternFill>
          <bgColor theme="0" tint="-4.9989318521683403E-2"/>
        </patternFill>
      </fill>
    </dxf>
    <dxf>
      <font>
        <color rgb="FF9C0006"/>
      </font>
      <fill>
        <patternFill>
          <bgColor rgb="FFFFC7CE"/>
        </patternFill>
      </fill>
    </dxf>
    <dxf>
      <font>
        <color auto="1"/>
      </font>
      <fill>
        <patternFill>
          <bgColor theme="7"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ont>
        <color rgb="FF9C0006"/>
      </font>
      <fill>
        <patternFill>
          <bgColor rgb="FFFFC7CE"/>
        </patternFill>
      </fill>
    </dxf>
    <dxf>
      <font>
        <color rgb="FF9C0006"/>
      </font>
      <fill>
        <patternFill>
          <bgColor rgb="FFFFC7CE"/>
        </patternFill>
      </fill>
    </dxf>
    <dxf>
      <font>
        <b val="0"/>
        <i val="0"/>
      </font>
      <fill>
        <patternFill>
          <bgColor theme="0" tint="-4.9989318521683403E-2"/>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ill>
        <patternFill>
          <bgColor theme="7"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0" tint="-4.9989318521683403E-2"/>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ont>
        <color rgb="FF9C0006"/>
      </font>
      <fill>
        <patternFill>
          <bgColor rgb="FFFFC7CE"/>
        </patternFill>
      </fill>
    </dxf>
    <dxf>
      <font>
        <b val="0"/>
        <i val="0"/>
      </font>
      <fill>
        <patternFill>
          <bgColor theme="0" tint="-4.9989318521683403E-2"/>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ill>
        <patternFill>
          <bgColor theme="7"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4.9989318521683403E-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4.9989318521683403E-2"/>
        </patternFill>
      </fill>
    </dxf>
    <dxf>
      <font>
        <color rgb="FF9C0006"/>
      </font>
      <fill>
        <patternFill>
          <bgColor rgb="FFFFC7CE"/>
        </patternFill>
      </fill>
    </dxf>
    <dxf>
      <font>
        <b val="0"/>
        <i val="0"/>
      </font>
      <fill>
        <patternFill>
          <bgColor theme="0" tint="-4.9989318521683403E-2"/>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ont>
        <color rgb="FF9C0006"/>
      </font>
      <fill>
        <patternFill>
          <bgColor rgb="FFFFC7CE"/>
        </patternFill>
      </fill>
    </dxf>
    <dxf>
      <fill>
        <patternFill>
          <bgColor theme="0" tint="-4.9989318521683403E-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ont>
        <color rgb="FF9C0006"/>
      </font>
      <fill>
        <patternFill>
          <bgColor rgb="FFFFC7CE"/>
        </patternFill>
      </fill>
    </dxf>
    <dxf>
      <font>
        <b val="0"/>
        <i val="0"/>
      </font>
      <fill>
        <patternFill>
          <bgColor theme="0" tint="-4.9989318521683403E-2"/>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ont>
        <color rgb="FF9C0006"/>
      </font>
      <fill>
        <patternFill>
          <bgColor rgb="FFFFC7CE"/>
        </patternFill>
      </fill>
    </dxf>
    <dxf>
      <fill>
        <patternFill>
          <bgColor theme="0" tint="-4.9989318521683403E-2"/>
        </patternFill>
      </fill>
    </dxf>
    <dxf>
      <font>
        <color rgb="FF9C0006"/>
      </font>
      <fill>
        <patternFill>
          <bgColor rgb="FFFFC7CE"/>
        </patternFill>
      </fill>
    </dxf>
    <dxf>
      <font>
        <color rgb="FF006100"/>
      </font>
      <fill>
        <patternFill>
          <bgColor rgb="FFC6EFCE"/>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val="0"/>
        <i val="0"/>
      </font>
      <fill>
        <patternFill>
          <bgColor theme="0" tint="-4.9989318521683403E-2"/>
        </patternFill>
      </fill>
    </dxf>
    <dxf>
      <fill>
        <patternFill>
          <bgColor theme="0" tint="-4.9989318521683403E-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val="0"/>
        <i val="0"/>
      </font>
      <fill>
        <patternFill>
          <bgColor theme="0" tint="-4.9989318521683403E-2"/>
        </patternFill>
      </fill>
    </dxf>
    <dxf>
      <fill>
        <patternFill>
          <bgColor theme="0" tint="-4.9989318521683403E-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4.9989318521683403E-2"/>
        </patternFill>
      </fill>
    </dxf>
    <dxf>
      <font>
        <color rgb="FF006100"/>
      </font>
      <fill>
        <patternFill>
          <bgColor rgb="FFC6EFCE"/>
        </patternFill>
      </fill>
    </dxf>
    <dxf>
      <fill>
        <patternFill>
          <bgColor theme="5" tint="0.59996337778862885"/>
        </patternFill>
      </fill>
    </dxf>
    <dxf>
      <font>
        <color rgb="FF9C5700"/>
      </font>
      <fill>
        <patternFill>
          <bgColor rgb="FFFFEB9C"/>
        </patternFill>
      </fill>
    </dxf>
    <dxf>
      <font>
        <color rgb="FF9C0006"/>
      </font>
      <fill>
        <patternFill>
          <bgColor rgb="FFFFC7CE"/>
        </patternFill>
      </fill>
    </dxf>
    <dxf>
      <font>
        <b val="0"/>
        <i val="0"/>
      </font>
      <fill>
        <patternFill>
          <bgColor theme="0" tint="-4.9989318521683403E-2"/>
        </patternFill>
      </fill>
    </dxf>
    <dxf>
      <font>
        <b/>
        <i val="0"/>
      </font>
      <fill>
        <patternFill>
          <bgColor rgb="FF0070C0"/>
        </patternFill>
      </fill>
    </dxf>
    <dxf>
      <font>
        <b/>
        <i val="0"/>
      </font>
      <fill>
        <patternFill>
          <bgColor rgb="FFFFC000"/>
        </patternFill>
      </fill>
    </dxf>
    <dxf>
      <font>
        <b/>
        <i val="0"/>
      </font>
      <fill>
        <patternFill>
          <bgColor rgb="FFFF0000"/>
        </patternFill>
      </fill>
    </dxf>
    <dxf>
      <fill>
        <patternFill>
          <bgColor theme="0" tint="-4.9989318521683403E-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7" tint="0.79998168889431442"/>
        </patternFill>
      </fill>
    </dxf>
    <dxf>
      <font>
        <color rgb="FF006100"/>
      </font>
      <fill>
        <patternFill>
          <bgColor rgb="FFC6EFCE"/>
        </patternFill>
      </fill>
    </dxf>
    <dxf>
      <font>
        <color rgb="FF9C0006"/>
      </font>
      <fill>
        <patternFill>
          <bgColor rgb="FFFFC7CE"/>
        </patternFill>
      </fill>
    </dxf>
    <dxf>
      <fill>
        <patternFill>
          <bgColor theme="0" tint="-4.9989318521683403E-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4.9989318521683403E-2"/>
        </patternFill>
      </fill>
    </dxf>
    <dxf>
      <fill>
        <patternFill>
          <bgColor theme="7" tint="0.79998168889431442"/>
        </patternFill>
      </fill>
    </dxf>
    <dxf>
      <font>
        <b/>
        <i val="0"/>
        <color auto="1"/>
      </font>
    </dxf>
    <dxf>
      <font>
        <b/>
        <i val="0"/>
        <color rgb="FFC00000"/>
      </font>
    </dxf>
  </dxfs>
  <tableStyles count="0" defaultTableStyle="TableStyleMedium2" defaultPivotStyle="PivotStyleLight16"/>
  <colors>
    <mruColors>
      <color rgb="FF552579"/>
      <color rgb="FFFFDDDD"/>
      <color rgb="FF9FD6FF"/>
      <color rgb="FF6F19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47625</xdr:colOff>
      <xdr:row>2</xdr:row>
      <xdr:rowOff>133350</xdr:rowOff>
    </xdr:from>
    <xdr:ext cx="0" cy="1143000"/>
    <xdr:pic>
      <xdr:nvPicPr>
        <xdr:cNvPr id="2" name="image2.png" descr="The official logo of the IRS" title="IRS Logo">
          <a:extLst>
            <a:ext uri="{FF2B5EF4-FFF2-40B4-BE49-F238E27FC236}">
              <a16:creationId xmlns:a16="http://schemas.microsoft.com/office/drawing/2014/main" id="{9A17E25D-601D-4DEA-9525-433339CD05E0}"/>
            </a:ext>
          </a:extLst>
        </xdr:cNvPr>
        <xdr:cNvPicPr preferRelativeResize="0"/>
      </xdr:nvPicPr>
      <xdr:blipFill>
        <a:blip xmlns:r="http://schemas.openxmlformats.org/officeDocument/2006/relationships" r:embed="rId1" cstate="print"/>
        <a:stretch>
          <a:fillRect/>
        </a:stretch>
      </xdr:blipFill>
      <xdr:spPr>
        <a:xfrm>
          <a:off x="9886950" y="133350"/>
          <a:ext cx="0" cy="1143000"/>
        </a:xfrm>
        <a:prstGeom prst="rect">
          <a:avLst/>
        </a:prstGeom>
        <a:noFill/>
      </xdr:spPr>
    </xdr:pic>
    <xdr:clientData fLocksWithSheet="0"/>
  </xdr:oneCellAnchor>
  <xdr:oneCellAnchor>
    <xdr:from>
      <xdr:col>4</xdr:col>
      <xdr:colOff>4781550</xdr:colOff>
      <xdr:row>2</xdr:row>
      <xdr:rowOff>0</xdr:rowOff>
    </xdr:from>
    <xdr:ext cx="0" cy="1152525"/>
    <xdr:pic>
      <xdr:nvPicPr>
        <xdr:cNvPr id="3" name="image2.png" descr="The official logo of the IRS" title="IRS Logo">
          <a:extLst>
            <a:ext uri="{FF2B5EF4-FFF2-40B4-BE49-F238E27FC236}">
              <a16:creationId xmlns:a16="http://schemas.microsoft.com/office/drawing/2014/main" id="{CF868905-C5C6-469B-807F-98EE225EBED4}"/>
            </a:ext>
          </a:extLst>
        </xdr:cNvPr>
        <xdr:cNvPicPr preferRelativeResize="0"/>
      </xdr:nvPicPr>
      <xdr:blipFill>
        <a:blip xmlns:r="http://schemas.openxmlformats.org/officeDocument/2006/relationships" r:embed="rId1" cstate="print"/>
        <a:stretch>
          <a:fillRect/>
        </a:stretch>
      </xdr:blipFill>
      <xdr:spPr>
        <a:xfrm>
          <a:off x="9839325" y="0"/>
          <a:ext cx="0" cy="1152525"/>
        </a:xfrm>
        <a:prstGeom prst="rect">
          <a:avLst/>
        </a:prstGeom>
        <a:noFill/>
      </xdr:spPr>
    </xdr:pic>
    <xdr:clientData fLocksWithSheet="0"/>
  </xdr:oneCellAnchor>
  <xdr:twoCellAnchor>
    <xdr:from>
      <xdr:col>1</xdr:col>
      <xdr:colOff>2</xdr:colOff>
      <xdr:row>1</xdr:row>
      <xdr:rowOff>1</xdr:rowOff>
    </xdr:from>
    <xdr:to>
      <xdr:col>5</xdr:col>
      <xdr:colOff>7259</xdr:colOff>
      <xdr:row>2</xdr:row>
      <xdr:rowOff>137889</xdr:rowOff>
    </xdr:to>
    <xdr:grpSp>
      <xdr:nvGrpSpPr>
        <xdr:cNvPr id="10" name="Group 9">
          <a:extLst>
            <a:ext uri="{FF2B5EF4-FFF2-40B4-BE49-F238E27FC236}">
              <a16:creationId xmlns:a16="http://schemas.microsoft.com/office/drawing/2014/main" id="{239B6423-5BD6-C0BD-91CA-2E9866DF684D}"/>
            </a:ext>
          </a:extLst>
        </xdr:cNvPr>
        <xdr:cNvGrpSpPr/>
      </xdr:nvGrpSpPr>
      <xdr:grpSpPr>
        <a:xfrm>
          <a:off x="78830" y="47298"/>
          <a:ext cx="7648277" cy="1015501"/>
          <a:chOff x="12522200" y="1727200"/>
          <a:chExt cx="7787286" cy="1026821"/>
        </a:xfrm>
      </xdr:grpSpPr>
      <xdr:pic>
        <xdr:nvPicPr>
          <xdr:cNvPr id="9" name="Picture 8" descr="A blue and white triangular background&#10;&#10;Description automatically generated">
            <a:extLst>
              <a:ext uri="{FF2B5EF4-FFF2-40B4-BE49-F238E27FC236}">
                <a16:creationId xmlns:a16="http://schemas.microsoft.com/office/drawing/2014/main" id="{A708D72A-04AE-EB8E-416B-86CCB113982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53946"/>
          <a:stretch/>
        </xdr:blipFill>
        <xdr:spPr bwMode="auto">
          <a:xfrm>
            <a:off x="12522200" y="1727200"/>
            <a:ext cx="7783665" cy="962025"/>
          </a:xfrm>
          <a:prstGeom prst="rect">
            <a:avLst/>
          </a:prstGeom>
          <a:noFill/>
          <a:ln>
            <a:noFill/>
          </a:ln>
          <a:extLst>
            <a:ext uri="{53640926-AAD7-44D8-BBD7-CCE9431645EC}">
              <a14:shadowObscured xmlns:a14="http://schemas.microsoft.com/office/drawing/2010/main"/>
            </a:ext>
          </a:extLst>
        </xdr:spPr>
      </xdr:pic>
      <xdr:grpSp>
        <xdr:nvGrpSpPr>
          <xdr:cNvPr id="4" name="Group 3">
            <a:extLst>
              <a:ext uri="{FF2B5EF4-FFF2-40B4-BE49-F238E27FC236}">
                <a16:creationId xmlns:a16="http://schemas.microsoft.com/office/drawing/2014/main" id="{69EC7F1E-07D9-FA7A-AD10-40FFA6A1E2E4}"/>
              </a:ext>
            </a:extLst>
          </xdr:cNvPr>
          <xdr:cNvGrpSpPr/>
        </xdr:nvGrpSpPr>
        <xdr:grpSpPr>
          <a:xfrm>
            <a:off x="12522200" y="1727200"/>
            <a:ext cx="7787286" cy="1026821"/>
            <a:chOff x="-35860" y="-11953"/>
            <a:chExt cx="7788398" cy="1027554"/>
          </a:xfrm>
        </xdr:grpSpPr>
        <xdr:sp macro="" textlink="">
          <xdr:nvSpPr>
            <xdr:cNvPr id="5" name="Rectangle 4">
              <a:extLst>
                <a:ext uri="{FF2B5EF4-FFF2-40B4-BE49-F238E27FC236}">
                  <a16:creationId xmlns:a16="http://schemas.microsoft.com/office/drawing/2014/main" id="{C55F6103-D241-B1D3-6A21-166F5C638793}"/>
                </a:ext>
              </a:extLst>
            </xdr:cNvPr>
            <xdr:cNvSpPr/>
          </xdr:nvSpPr>
          <xdr:spPr>
            <a:xfrm>
              <a:off x="-35860" y="-11953"/>
              <a:ext cx="7788398" cy="986431"/>
            </a:xfrm>
            <a:prstGeom prst="rect">
              <a:avLst/>
            </a:prstGeom>
            <a:gradFill flip="none" rotWithShape="1">
              <a:gsLst>
                <a:gs pos="0">
                  <a:srgbClr val="1773D0"/>
                </a:gs>
                <a:gs pos="100000">
                  <a:srgbClr val="1462B0">
                    <a:alpha val="19000"/>
                  </a:srgb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6" name="Rectangle 5">
              <a:extLst>
                <a:ext uri="{FF2B5EF4-FFF2-40B4-BE49-F238E27FC236}">
                  <a16:creationId xmlns:a16="http://schemas.microsoft.com/office/drawing/2014/main" id="{B66F3E3E-0CC6-24CD-8D71-A05F6E654649}"/>
                </a:ext>
              </a:extLst>
            </xdr:cNvPr>
            <xdr:cNvSpPr/>
          </xdr:nvSpPr>
          <xdr:spPr>
            <a:xfrm>
              <a:off x="2148931" y="905503"/>
              <a:ext cx="5599985" cy="110098"/>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endParaRPr lang="en-US"/>
            </a:p>
          </xdr:txBody>
        </xdr:sp>
        <xdr:pic>
          <xdr:nvPicPr>
            <xdr:cNvPr id="7" name="Picture 6" descr="A white text on a black background&#10;&#10;Description automatically generated">
              <a:extLst>
                <a:ext uri="{FF2B5EF4-FFF2-40B4-BE49-F238E27FC236}">
                  <a16:creationId xmlns:a16="http://schemas.microsoft.com/office/drawing/2014/main" id="{ADF76011-5960-1267-C877-1CCC7DD446F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5892" y="202127"/>
              <a:ext cx="1410021" cy="564645"/>
            </a:xfrm>
            <a:prstGeom prst="rect">
              <a:avLst/>
            </a:prstGeom>
          </xdr:spPr>
        </xdr:pic>
        <xdr:sp macro="" textlink="">
          <xdr:nvSpPr>
            <xdr:cNvPr id="8" name="TextBox 8">
              <a:extLst>
                <a:ext uri="{FF2B5EF4-FFF2-40B4-BE49-F238E27FC236}">
                  <a16:creationId xmlns:a16="http://schemas.microsoft.com/office/drawing/2014/main" id="{9903AFC1-8448-5D48-DADB-A4E1E412CA41}"/>
                </a:ext>
              </a:extLst>
            </xdr:cNvPr>
            <xdr:cNvSpPr txBox="1"/>
          </xdr:nvSpPr>
          <xdr:spPr>
            <a:xfrm>
              <a:off x="1030900" y="273261"/>
              <a:ext cx="3008373" cy="370470"/>
            </a:xfrm>
            <a:prstGeom prst="rect">
              <a:avLst/>
            </a:prstGeom>
            <a:noFill/>
          </xdr:spPr>
          <xdr:txBody>
            <a:bodyPr wrap="square">
              <a:spAutoFit/>
            </a:bodyPr>
            <a:lstStyle/>
            <a:p>
              <a:pPr marL="0" marR="0" algn="r">
                <a:spcBef>
                  <a:spcPts val="0"/>
                </a:spcBef>
                <a:spcAft>
                  <a:spcPts val="0"/>
                </a:spcAft>
              </a:pPr>
              <a:r>
                <a:rPr lang="en-US" sz="1800" kern="1200">
                  <a:solidFill>
                    <a:srgbClr val="FFFFFF"/>
                  </a:solidFill>
                  <a:effectLst/>
                  <a:latin typeface="Aptos Light" panose="020B0004020202020204" pitchFamily="34" charset="0"/>
                  <a:ea typeface="Calibri" panose="020F0502020204030204" pitchFamily="34" charset="0"/>
                  <a:cs typeface="Arial" panose="020B0604020202020204" pitchFamily="34" charset="0"/>
                </a:rPr>
                <a:t>|</a:t>
              </a:r>
              <a:r>
                <a:rPr lang="en-US" sz="1400" kern="1200">
                  <a:solidFill>
                    <a:srgbClr val="FFFFFF"/>
                  </a:solidFill>
                  <a:effectLst/>
                  <a:latin typeface="Aptos Light" panose="020B0004020202020204" pitchFamily="34" charset="0"/>
                  <a:ea typeface="Calibri" panose="020F0502020204030204" pitchFamily="34" charset="0"/>
                  <a:cs typeface="Arial" panose="020B0604020202020204" pitchFamily="34" charset="0"/>
                </a:rPr>
                <a:t>  Cybersecurity Experts.</a:t>
              </a:r>
              <a:r>
                <a:rPr lang="en-US" sz="1400" kern="1200">
                  <a:solidFill>
                    <a:srgbClr val="FFFFFF"/>
                  </a:solidFill>
                  <a:effectLst/>
                  <a:latin typeface="Aptos ExtraBold" panose="020B0004020202020204" pitchFamily="34" charset="0"/>
                  <a:ea typeface="Calibri" panose="020F0502020204030204" pitchFamily="34" charset="0"/>
                  <a:cs typeface="Arial" panose="020B0604020202020204" pitchFamily="34" charset="0"/>
                </a:rPr>
                <a:t> </a:t>
              </a:r>
              <a:r>
                <a:rPr lang="en-US" sz="1400" kern="1200">
                  <a:ln>
                    <a:noFill/>
                  </a:ln>
                  <a:solidFill>
                    <a:srgbClr val="FFFFFF"/>
                  </a:solidFill>
                  <a:effectLst/>
                  <a:latin typeface="Aptos ExtraBold" panose="020B0004020202020204" pitchFamily="34" charset="0"/>
                  <a:ea typeface="Calibri" panose="020F0502020204030204" pitchFamily="34" charset="0"/>
                  <a:cs typeface="Arial" panose="020B0604020202020204" pitchFamily="34" charset="0"/>
                </a:rPr>
                <a:t>Period. </a:t>
              </a:r>
              <a:endParaRPr lang="en-US" sz="1200">
                <a:solidFill>
                  <a:srgbClr val="000000"/>
                </a:solidFill>
                <a:effectLst/>
                <a:latin typeface="Times New Roman" panose="02020603050405020304" pitchFamily="18" charset="0"/>
                <a:ea typeface="Calibri" panose="020F0502020204030204" pitchFamily="34" charset="0"/>
                <a:cs typeface="Arial" panose="020B0604020202020204" pitchFamily="34" charset="0"/>
              </a:endParaRPr>
            </a:p>
          </xdr:txBody>
        </xdr:sp>
      </xdr:grp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Assurit (Aptos)">
      <a:majorFont>
        <a:latin typeface="Aptos ExtraBold"/>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Thang.Pham@assurit.onmicrosoft.u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2501A-692B-4366-80E2-F2FFE8B77EC3}">
  <sheetPr>
    <tabColor rgb="FFD8D8D8"/>
    <pageSetUpPr fitToPage="1"/>
  </sheetPr>
  <dimension ref="B1:AA998"/>
  <sheetViews>
    <sheetView showGridLines="0" zoomScale="145" zoomScaleNormal="145" workbookViewId="0">
      <selection activeCell="D37" sqref="D37"/>
    </sheetView>
  </sheetViews>
  <sheetFormatPr defaultColWidth="12.88671875" defaultRowHeight="15" customHeight="1" x14ac:dyDescent="0.3"/>
  <cols>
    <col min="1" max="1" width="1.109375" style="28" customWidth="1"/>
    <col min="2" max="2" width="15.88671875" style="28" customWidth="1"/>
    <col min="3" max="3" width="45.109375" style="28" customWidth="1"/>
    <col min="4" max="4" width="12.109375" style="28" customWidth="1"/>
    <col min="5" max="5" width="38.33203125" style="28" customWidth="1"/>
    <col min="6" max="7" width="10.33203125" style="28" customWidth="1"/>
    <col min="8" max="27" width="9.6640625" style="28" customWidth="1"/>
    <col min="28" max="16384" width="12.88671875" style="28"/>
  </cols>
  <sheetData>
    <row r="1" spans="2:27" ht="3.6" customHeight="1" x14ac:dyDescent="0.3"/>
    <row r="2" spans="2:27" ht="69" customHeight="1" x14ac:dyDescent="0.3"/>
    <row r="3" spans="2:27" ht="71.400000000000006" customHeight="1" x14ac:dyDescent="0.3">
      <c r="B3" s="261" t="s">
        <v>0</v>
      </c>
      <c r="C3" s="261"/>
      <c r="D3" s="261"/>
      <c r="E3" s="261"/>
      <c r="F3" s="27"/>
      <c r="G3" s="27"/>
      <c r="H3" s="27"/>
      <c r="I3" s="27"/>
      <c r="J3" s="27"/>
      <c r="K3" s="27"/>
      <c r="L3" s="27"/>
      <c r="M3" s="27"/>
      <c r="N3" s="27"/>
      <c r="O3" s="27"/>
      <c r="P3" s="27"/>
      <c r="Q3" s="27"/>
      <c r="R3" s="27"/>
      <c r="S3" s="27"/>
      <c r="T3" s="27"/>
      <c r="U3" s="27"/>
      <c r="V3" s="27"/>
      <c r="W3" s="27"/>
      <c r="X3" s="27"/>
      <c r="Y3" s="27"/>
      <c r="Z3" s="27"/>
      <c r="AA3" s="27"/>
    </row>
    <row r="4" spans="2:27" ht="18" customHeight="1" thickBot="1" x14ac:dyDescent="0.35">
      <c r="B4" s="40" t="s">
        <v>1</v>
      </c>
      <c r="C4" s="40"/>
      <c r="D4" s="40"/>
      <c r="E4" s="40"/>
      <c r="F4" s="27"/>
      <c r="G4" s="27"/>
      <c r="H4" s="27"/>
      <c r="I4" s="27"/>
      <c r="J4" s="27"/>
      <c r="K4" s="27"/>
      <c r="L4" s="27"/>
      <c r="M4" s="27"/>
      <c r="N4" s="27"/>
      <c r="O4" s="27"/>
      <c r="P4" s="27"/>
      <c r="Q4" s="27"/>
      <c r="R4" s="27"/>
      <c r="S4" s="27"/>
      <c r="T4" s="27"/>
      <c r="U4" s="27"/>
      <c r="V4" s="27"/>
      <c r="W4" s="27"/>
      <c r="X4" s="27"/>
      <c r="Y4" s="27"/>
      <c r="Z4" s="27"/>
      <c r="AA4" s="27"/>
    </row>
    <row r="5" spans="2:27" ht="12.75" customHeight="1" x14ac:dyDescent="0.3">
      <c r="B5" s="260" t="s">
        <v>1287</v>
      </c>
      <c r="C5" s="260"/>
      <c r="D5" s="260"/>
      <c r="E5" s="260"/>
      <c r="F5" s="27"/>
      <c r="G5" s="27"/>
      <c r="H5" s="27"/>
      <c r="I5" s="27"/>
      <c r="J5" s="27"/>
      <c r="K5" s="27"/>
      <c r="L5" s="27"/>
      <c r="M5" s="27"/>
      <c r="N5" s="27"/>
      <c r="O5" s="27"/>
      <c r="P5" s="27"/>
      <c r="Q5" s="27"/>
      <c r="R5" s="27"/>
      <c r="S5" s="27"/>
      <c r="T5" s="27"/>
      <c r="U5" s="27"/>
      <c r="V5" s="27"/>
      <c r="W5" s="27"/>
      <c r="X5" s="27"/>
      <c r="Y5" s="27"/>
      <c r="Z5" s="27"/>
      <c r="AA5" s="27"/>
    </row>
    <row r="6" spans="2:27" ht="12.75" customHeight="1" x14ac:dyDescent="0.3">
      <c r="B6" s="260"/>
      <c r="C6" s="260"/>
      <c r="D6" s="260"/>
      <c r="E6" s="260"/>
      <c r="F6" s="27"/>
      <c r="G6" s="27"/>
      <c r="H6" s="27"/>
      <c r="I6" s="27"/>
      <c r="J6" s="27"/>
      <c r="K6" s="27"/>
      <c r="L6" s="27"/>
      <c r="M6" s="27"/>
      <c r="N6" s="27"/>
      <c r="O6" s="27"/>
      <c r="P6" s="27"/>
      <c r="Q6" s="27"/>
      <c r="R6" s="27"/>
      <c r="S6" s="27"/>
      <c r="T6" s="27"/>
      <c r="U6" s="27"/>
      <c r="V6" s="27"/>
      <c r="W6" s="27"/>
      <c r="X6" s="27"/>
      <c r="Y6" s="27"/>
      <c r="Z6" s="27"/>
      <c r="AA6" s="27"/>
    </row>
    <row r="7" spans="2:27" ht="12.75" customHeight="1" x14ac:dyDescent="0.3">
      <c r="B7" s="260"/>
      <c r="C7" s="260"/>
      <c r="D7" s="260"/>
      <c r="E7" s="260"/>
      <c r="F7" s="27"/>
      <c r="G7" s="27"/>
      <c r="H7" s="27"/>
      <c r="I7" s="27"/>
      <c r="J7" s="27"/>
      <c r="K7" s="27"/>
      <c r="L7" s="27"/>
      <c r="M7" s="27"/>
      <c r="N7" s="27"/>
      <c r="O7" s="27"/>
      <c r="P7" s="27"/>
      <c r="Q7" s="27"/>
      <c r="R7" s="27"/>
      <c r="S7" s="27"/>
      <c r="T7" s="27"/>
      <c r="U7" s="27"/>
      <c r="V7" s="27"/>
      <c r="W7" s="27"/>
      <c r="X7" s="27"/>
      <c r="Y7" s="27"/>
      <c r="Z7" s="27"/>
      <c r="AA7" s="27"/>
    </row>
    <row r="8" spans="2:27" ht="12.75" customHeight="1" x14ac:dyDescent="0.3">
      <c r="B8" s="260"/>
      <c r="C8" s="260"/>
      <c r="D8" s="260"/>
      <c r="E8" s="260"/>
      <c r="F8" s="27"/>
      <c r="G8" s="27"/>
      <c r="H8" s="27"/>
      <c r="I8" s="27"/>
      <c r="J8" s="27"/>
      <c r="K8" s="27"/>
      <c r="L8" s="27"/>
      <c r="M8" s="27"/>
      <c r="N8" s="27"/>
      <c r="O8" s="27"/>
      <c r="P8" s="27"/>
      <c r="Q8" s="27"/>
      <c r="R8" s="27"/>
      <c r="S8" s="27"/>
      <c r="T8" s="27"/>
      <c r="U8" s="27"/>
      <c r="V8" s="27"/>
      <c r="W8" s="27"/>
      <c r="X8" s="27"/>
      <c r="Y8" s="27"/>
      <c r="Z8" s="27"/>
      <c r="AA8" s="27"/>
    </row>
    <row r="9" spans="2:27" ht="18" customHeight="1" thickBot="1" x14ac:dyDescent="0.35">
      <c r="B9" s="40" t="s">
        <v>2</v>
      </c>
      <c r="C9" s="40"/>
      <c r="D9" s="40"/>
      <c r="E9" s="40"/>
      <c r="F9" s="27"/>
      <c r="G9" s="27"/>
      <c r="H9" s="27"/>
      <c r="I9" s="27"/>
      <c r="J9" s="27"/>
      <c r="K9" s="27"/>
      <c r="L9" s="27"/>
      <c r="M9" s="27"/>
      <c r="N9" s="27"/>
      <c r="O9" s="27"/>
      <c r="P9" s="27"/>
      <c r="Q9" s="27"/>
      <c r="R9" s="27"/>
      <c r="S9" s="27"/>
      <c r="T9" s="27"/>
      <c r="U9" s="27"/>
      <c r="V9" s="27"/>
      <c r="W9" s="27"/>
      <c r="X9" s="27"/>
      <c r="Y9" s="27"/>
      <c r="Z9" s="27"/>
      <c r="AA9" s="27"/>
    </row>
    <row r="10" spans="2:27" ht="17.100000000000001" customHeight="1" x14ac:dyDescent="0.3">
      <c r="B10" s="42" t="s">
        <v>3</v>
      </c>
      <c r="C10" s="42" t="s">
        <v>4</v>
      </c>
      <c r="D10" s="43" t="s">
        <v>5</v>
      </c>
      <c r="E10" s="42" t="s">
        <v>6</v>
      </c>
      <c r="F10" s="27"/>
      <c r="G10" s="27"/>
      <c r="H10" s="27"/>
      <c r="I10" s="27"/>
      <c r="J10" s="27"/>
      <c r="K10" s="27"/>
      <c r="L10" s="27"/>
      <c r="M10" s="27"/>
      <c r="N10" s="27"/>
      <c r="O10" s="27"/>
      <c r="P10" s="27"/>
      <c r="Q10" s="27"/>
      <c r="R10" s="27"/>
      <c r="S10" s="27"/>
      <c r="T10" s="27"/>
      <c r="U10" s="27"/>
      <c r="V10" s="27"/>
      <c r="W10" s="27"/>
      <c r="X10" s="27"/>
      <c r="Y10" s="27"/>
      <c r="Z10" s="27"/>
      <c r="AA10" s="27"/>
    </row>
    <row r="11" spans="2:27" ht="12.75" customHeight="1" x14ac:dyDescent="0.3">
      <c r="B11" s="37">
        <v>45421</v>
      </c>
      <c r="C11" s="38" t="s">
        <v>7</v>
      </c>
      <c r="D11" s="39" t="s">
        <v>8</v>
      </c>
      <c r="E11" s="30" t="s">
        <v>106</v>
      </c>
      <c r="F11" s="27"/>
      <c r="G11" s="27"/>
      <c r="H11" s="27"/>
      <c r="I11" s="27"/>
      <c r="J11" s="27"/>
      <c r="K11" s="27"/>
      <c r="L11" s="27"/>
      <c r="M11" s="27"/>
      <c r="N11" s="27"/>
      <c r="O11" s="27"/>
      <c r="P11" s="27"/>
      <c r="Q11" s="27"/>
      <c r="R11" s="27"/>
      <c r="S11" s="27"/>
      <c r="T11" s="27"/>
      <c r="U11" s="27"/>
      <c r="V11" s="27"/>
      <c r="W11" s="27"/>
      <c r="X11" s="27"/>
      <c r="Y11" s="27"/>
      <c r="Z11" s="27"/>
      <c r="AA11" s="27"/>
    </row>
    <row r="12" spans="2:27" ht="12.75" customHeight="1" x14ac:dyDescent="0.3">
      <c r="B12" s="37">
        <v>45421</v>
      </c>
      <c r="C12" s="38" t="s">
        <v>7</v>
      </c>
      <c r="D12" s="39" t="s">
        <v>1288</v>
      </c>
      <c r="E12" s="30" t="s">
        <v>1289</v>
      </c>
      <c r="F12" s="27"/>
      <c r="G12" s="27"/>
      <c r="H12" s="27"/>
      <c r="I12" s="27"/>
      <c r="J12" s="27"/>
      <c r="K12" s="27"/>
      <c r="L12" s="27"/>
      <c r="M12" s="27"/>
      <c r="N12" s="27"/>
      <c r="O12" s="27"/>
      <c r="P12" s="27"/>
      <c r="Q12" s="27"/>
      <c r="R12" s="27"/>
      <c r="S12" s="27"/>
      <c r="T12" s="27"/>
      <c r="U12" s="27"/>
      <c r="V12" s="27"/>
      <c r="W12" s="27"/>
      <c r="X12" s="27"/>
      <c r="Y12" s="27"/>
      <c r="Z12" s="27"/>
      <c r="AA12" s="27"/>
    </row>
    <row r="13" spans="2:27" ht="12.75" customHeight="1" x14ac:dyDescent="0.3">
      <c r="B13" s="31"/>
      <c r="C13" s="32"/>
      <c r="D13" s="32"/>
      <c r="E13" s="33"/>
      <c r="F13" s="27"/>
      <c r="G13" s="27"/>
      <c r="H13" s="27"/>
      <c r="I13" s="27"/>
      <c r="J13" s="27"/>
      <c r="K13" s="27"/>
      <c r="L13" s="27"/>
      <c r="M13" s="27"/>
      <c r="N13" s="27"/>
      <c r="O13" s="27"/>
      <c r="P13" s="27"/>
      <c r="Q13" s="27"/>
      <c r="R13" s="27"/>
      <c r="S13" s="27"/>
      <c r="T13" s="27"/>
      <c r="U13" s="27"/>
      <c r="V13" s="27"/>
      <c r="W13" s="27"/>
      <c r="X13" s="27"/>
      <c r="Y13" s="27"/>
      <c r="Z13" s="27"/>
      <c r="AA13" s="27"/>
    </row>
    <row r="14" spans="2:27" ht="12.75" customHeight="1" x14ac:dyDescent="0.3">
      <c r="B14" s="32"/>
      <c r="C14" s="32"/>
      <c r="D14" s="32"/>
      <c r="E14" s="33"/>
      <c r="F14" s="27"/>
      <c r="G14" s="27"/>
      <c r="H14" s="27"/>
      <c r="I14" s="27"/>
      <c r="J14" s="27"/>
      <c r="K14" s="27"/>
      <c r="L14" s="27"/>
      <c r="M14" s="27"/>
      <c r="N14" s="27"/>
      <c r="O14" s="27"/>
      <c r="P14" s="27"/>
      <c r="Q14" s="27"/>
      <c r="R14" s="27"/>
      <c r="S14" s="27"/>
      <c r="T14" s="27"/>
      <c r="U14" s="27"/>
      <c r="V14" s="27"/>
      <c r="W14" s="27"/>
      <c r="X14" s="27"/>
      <c r="Y14" s="27"/>
      <c r="Z14" s="27"/>
      <c r="AA14" s="27"/>
    </row>
    <row r="15" spans="2:27" ht="18" customHeight="1" thickBot="1" x14ac:dyDescent="0.35">
      <c r="B15" s="40" t="s">
        <v>9</v>
      </c>
      <c r="C15" s="40"/>
      <c r="D15" s="40"/>
      <c r="E15" s="40"/>
      <c r="F15" s="27"/>
      <c r="G15" s="27"/>
      <c r="H15" s="27"/>
      <c r="I15" s="27"/>
      <c r="J15" s="27"/>
      <c r="K15" s="27"/>
      <c r="L15" s="27"/>
      <c r="M15" s="27"/>
      <c r="N15" s="27"/>
      <c r="O15" s="27"/>
      <c r="P15" s="27"/>
      <c r="Q15" s="27"/>
      <c r="R15" s="27"/>
      <c r="S15" s="27"/>
      <c r="T15" s="27"/>
      <c r="U15" s="27"/>
      <c r="V15" s="27"/>
      <c r="W15" s="27"/>
      <c r="X15" s="27"/>
      <c r="Y15" s="27"/>
      <c r="Z15" s="27"/>
      <c r="AA15" s="27"/>
    </row>
    <row r="16" spans="2:27" ht="12.75" customHeight="1" x14ac:dyDescent="0.3">
      <c r="B16" s="34" t="s">
        <v>10</v>
      </c>
      <c r="C16" s="35" t="s">
        <v>7</v>
      </c>
      <c r="D16" s="35"/>
      <c r="E16" s="30"/>
      <c r="F16" s="27"/>
      <c r="G16" s="27"/>
      <c r="H16" s="27"/>
      <c r="I16" s="27"/>
      <c r="J16" s="27"/>
      <c r="K16" s="27"/>
      <c r="L16" s="27"/>
      <c r="M16" s="27"/>
      <c r="N16" s="27"/>
      <c r="O16" s="27"/>
      <c r="P16" s="27"/>
      <c r="Q16" s="27"/>
      <c r="R16" s="27"/>
      <c r="S16" s="27"/>
      <c r="T16" s="27"/>
      <c r="U16" s="27"/>
      <c r="V16" s="27"/>
      <c r="W16" s="27"/>
      <c r="X16" s="27"/>
      <c r="Y16" s="27"/>
      <c r="Z16" s="27"/>
      <c r="AA16" s="27"/>
    </row>
    <row r="17" spans="2:27" ht="12.75" customHeight="1" x14ac:dyDescent="0.3">
      <c r="B17" s="34" t="s">
        <v>11</v>
      </c>
      <c r="C17" s="35" t="s">
        <v>12</v>
      </c>
      <c r="D17" s="35"/>
      <c r="E17" s="30"/>
      <c r="F17" s="27"/>
      <c r="G17" s="27"/>
      <c r="H17" s="27"/>
      <c r="I17" s="27"/>
      <c r="J17" s="27"/>
      <c r="K17" s="27"/>
      <c r="L17" s="27"/>
      <c r="M17" s="27"/>
      <c r="N17" s="27"/>
      <c r="O17" s="27"/>
      <c r="P17" s="27"/>
      <c r="Q17" s="27"/>
      <c r="R17" s="27"/>
      <c r="S17" s="27"/>
      <c r="T17" s="27"/>
      <c r="U17" s="27"/>
      <c r="V17" s="27"/>
      <c r="W17" s="27"/>
      <c r="X17" s="27"/>
      <c r="Y17" s="27"/>
      <c r="Z17" s="27"/>
      <c r="AA17" s="27"/>
    </row>
    <row r="18" spans="2:27" ht="12.75" customHeight="1" x14ac:dyDescent="0.3">
      <c r="B18" s="34" t="s">
        <v>13</v>
      </c>
      <c r="C18" s="35" t="s">
        <v>14</v>
      </c>
      <c r="D18" s="35"/>
      <c r="E18" s="30"/>
      <c r="F18" s="27"/>
      <c r="G18" s="27"/>
      <c r="H18" s="27"/>
      <c r="I18" s="27"/>
      <c r="J18" s="27"/>
      <c r="K18" s="27"/>
      <c r="L18" s="27"/>
      <c r="M18" s="27"/>
      <c r="N18" s="27"/>
      <c r="O18" s="27"/>
      <c r="P18" s="27"/>
      <c r="Q18" s="27"/>
      <c r="R18" s="27"/>
      <c r="S18" s="27"/>
      <c r="T18" s="27"/>
      <c r="U18" s="27"/>
      <c r="V18" s="27"/>
      <c r="W18" s="27"/>
      <c r="X18" s="27"/>
      <c r="Y18" s="27"/>
      <c r="Z18" s="27"/>
      <c r="AA18" s="27"/>
    </row>
    <row r="19" spans="2:27" ht="12.75" customHeight="1" x14ac:dyDescent="0.3">
      <c r="B19" s="34" t="s">
        <v>15</v>
      </c>
      <c r="C19" s="36" t="s">
        <v>16</v>
      </c>
      <c r="D19" s="36"/>
      <c r="E19" s="41"/>
      <c r="F19" s="27"/>
      <c r="G19" s="27"/>
      <c r="H19" s="27"/>
      <c r="I19" s="27"/>
      <c r="J19" s="27"/>
      <c r="K19" s="27"/>
      <c r="L19" s="27"/>
      <c r="M19" s="27"/>
      <c r="N19" s="27"/>
      <c r="O19" s="27"/>
      <c r="P19" s="27"/>
      <c r="Q19" s="27"/>
      <c r="R19" s="27"/>
      <c r="S19" s="27"/>
      <c r="T19" s="27"/>
      <c r="U19" s="27"/>
      <c r="V19" s="27"/>
      <c r="W19" s="27"/>
      <c r="X19" s="27"/>
      <c r="Y19" s="27"/>
      <c r="Z19" s="27"/>
      <c r="AA19" s="27"/>
    </row>
    <row r="20" spans="2:27" ht="12.75" customHeight="1" x14ac:dyDescent="0.3">
      <c r="B20" s="34" t="s">
        <v>17</v>
      </c>
      <c r="C20" s="331" t="s">
        <v>1634</v>
      </c>
      <c r="D20" s="35"/>
      <c r="E20" s="30"/>
      <c r="F20" s="27"/>
      <c r="G20" s="27"/>
      <c r="H20" s="27"/>
      <c r="I20" s="27"/>
      <c r="J20" s="27"/>
      <c r="K20" s="27"/>
      <c r="L20" s="27"/>
      <c r="M20" s="27"/>
      <c r="N20" s="27"/>
      <c r="O20" s="27"/>
      <c r="P20" s="27"/>
      <c r="Q20" s="27"/>
      <c r="R20" s="27"/>
      <c r="S20" s="27"/>
      <c r="T20" s="27"/>
      <c r="U20" s="27"/>
      <c r="V20" s="27"/>
      <c r="W20" s="27"/>
      <c r="X20" s="27"/>
      <c r="Y20" s="27"/>
      <c r="Z20" s="27"/>
      <c r="AA20" s="27"/>
    </row>
    <row r="21" spans="2:27" ht="12.75" customHeight="1" x14ac:dyDescent="0.3">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row>
    <row r="22" spans="2:27" ht="12.75" customHeight="1" x14ac:dyDescent="0.3">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row>
    <row r="23" spans="2:27" ht="12.75" customHeight="1" x14ac:dyDescent="0.3">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row>
    <row r="24" spans="2:27" ht="12.75" customHeight="1" x14ac:dyDescent="0.3">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row>
    <row r="25" spans="2:27" ht="12.75" customHeight="1" x14ac:dyDescent="0.3">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row>
    <row r="26" spans="2:27" ht="12.75" hidden="1" customHeight="1" x14ac:dyDescent="0.3">
      <c r="B26" s="29" t="s">
        <v>18</v>
      </c>
      <c r="C26" s="27"/>
      <c r="D26" s="27"/>
      <c r="E26" s="27"/>
      <c r="F26" s="27"/>
      <c r="G26" s="27"/>
      <c r="H26" s="27"/>
      <c r="I26" s="27"/>
      <c r="J26" s="27"/>
      <c r="K26" s="27"/>
      <c r="L26" s="27"/>
      <c r="M26" s="27"/>
      <c r="N26" s="27"/>
      <c r="O26" s="27"/>
      <c r="P26" s="27"/>
      <c r="Q26" s="27"/>
      <c r="R26" s="27"/>
      <c r="S26" s="27"/>
      <c r="T26" s="27"/>
      <c r="U26" s="27"/>
      <c r="V26" s="27"/>
      <c r="W26" s="27"/>
      <c r="X26" s="27"/>
      <c r="Y26" s="27"/>
      <c r="Z26" s="27"/>
      <c r="AA26" s="27"/>
    </row>
    <row r="27" spans="2:27" ht="12.75" hidden="1" customHeight="1" x14ac:dyDescent="0.3">
      <c r="B27" s="29" t="s">
        <v>19</v>
      </c>
      <c r="C27" s="27"/>
      <c r="D27" s="27"/>
      <c r="E27" s="27"/>
      <c r="F27" s="27"/>
      <c r="G27" s="27"/>
      <c r="H27" s="27"/>
      <c r="I27" s="27"/>
      <c r="J27" s="27"/>
      <c r="K27" s="27"/>
      <c r="L27" s="27"/>
      <c r="M27" s="27"/>
      <c r="N27" s="27"/>
      <c r="O27" s="27"/>
      <c r="P27" s="27"/>
      <c r="Q27" s="27"/>
      <c r="R27" s="27"/>
      <c r="S27" s="27"/>
      <c r="T27" s="27"/>
      <c r="U27" s="27"/>
      <c r="V27" s="27"/>
      <c r="W27" s="27"/>
      <c r="X27" s="27"/>
      <c r="Y27" s="27"/>
      <c r="Z27" s="27"/>
      <c r="AA27" s="27"/>
    </row>
    <row r="28" spans="2:27" ht="12.75" hidden="1" customHeight="1" x14ac:dyDescent="0.3">
      <c r="B28" s="29" t="s">
        <v>20</v>
      </c>
      <c r="C28" s="27"/>
      <c r="D28" s="27"/>
      <c r="E28" s="27"/>
      <c r="F28" s="27"/>
      <c r="G28" s="27"/>
      <c r="H28" s="27"/>
      <c r="I28" s="27"/>
      <c r="J28" s="27"/>
      <c r="K28" s="27"/>
      <c r="L28" s="27"/>
      <c r="M28" s="27"/>
      <c r="N28" s="27"/>
      <c r="O28" s="27"/>
      <c r="P28" s="27"/>
      <c r="Q28" s="27"/>
      <c r="R28" s="27"/>
      <c r="S28" s="27"/>
      <c r="T28" s="27"/>
      <c r="U28" s="27"/>
      <c r="V28" s="27"/>
      <c r="W28" s="27"/>
      <c r="X28" s="27"/>
      <c r="Y28" s="27"/>
      <c r="Z28" s="27"/>
      <c r="AA28" s="27"/>
    </row>
    <row r="29" spans="2:27" ht="12.75" customHeight="1" x14ac:dyDescent="0.3">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row>
    <row r="30" spans="2:27" ht="12.75" customHeight="1" x14ac:dyDescent="0.3">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row>
    <row r="31" spans="2:27" ht="12.75" customHeight="1" x14ac:dyDescent="0.3">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row>
    <row r="32" spans="2:27" ht="12.75" customHeight="1" x14ac:dyDescent="0.3">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row>
    <row r="33" spans="2:27" ht="12.75" customHeight="1" x14ac:dyDescent="0.3">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row>
    <row r="34" spans="2:27" ht="12.75" customHeight="1" x14ac:dyDescent="0.3">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row>
    <row r="35" spans="2:27" ht="12.75" customHeight="1" x14ac:dyDescent="0.3">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row>
    <row r="36" spans="2:27" ht="12.75" customHeight="1" x14ac:dyDescent="0.3">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row>
    <row r="37" spans="2:27" ht="12.75" customHeight="1" x14ac:dyDescent="0.3">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row>
    <row r="38" spans="2:27" ht="12.75" customHeight="1" x14ac:dyDescent="0.3">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row>
    <row r="39" spans="2:27" ht="12.75" customHeight="1" x14ac:dyDescent="0.3">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row>
    <row r="40" spans="2:27" ht="12.75" customHeight="1" x14ac:dyDescent="0.3">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row>
    <row r="41" spans="2:27" ht="12.75" customHeight="1" x14ac:dyDescent="0.3">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row>
    <row r="42" spans="2:27" ht="12.75" customHeight="1" x14ac:dyDescent="0.3">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row>
    <row r="43" spans="2:27" ht="12.75" customHeight="1" x14ac:dyDescent="0.3">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row>
    <row r="44" spans="2:27" ht="12.75" customHeight="1" x14ac:dyDescent="0.3">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row>
    <row r="45" spans="2:27" ht="12.75" customHeight="1" x14ac:dyDescent="0.3">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row>
    <row r="46" spans="2:27" ht="12.75" customHeight="1" x14ac:dyDescent="0.3">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row>
    <row r="47" spans="2:27" ht="12.75" customHeight="1" x14ac:dyDescent="0.3">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row>
    <row r="48" spans="2:27" ht="12.75" customHeight="1" x14ac:dyDescent="0.3">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row>
    <row r="49" spans="2:27" ht="12.75" customHeight="1" x14ac:dyDescent="0.3">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row>
    <row r="50" spans="2:27" ht="12.75" customHeight="1" x14ac:dyDescent="0.3">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row>
    <row r="51" spans="2:27" ht="12.75" customHeight="1" x14ac:dyDescent="0.3">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row>
    <row r="52" spans="2:27" ht="12.75" customHeight="1" x14ac:dyDescent="0.3">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row>
    <row r="53" spans="2:27" ht="12.75" customHeight="1" x14ac:dyDescent="0.3">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row>
    <row r="54" spans="2:27" ht="12.75" customHeight="1" x14ac:dyDescent="0.3">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row>
    <row r="55" spans="2:27" ht="12.75" customHeight="1" x14ac:dyDescent="0.3">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row>
    <row r="56" spans="2:27" ht="12.75" customHeight="1" x14ac:dyDescent="0.3">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row>
    <row r="57" spans="2:27" ht="12.75" customHeight="1" x14ac:dyDescent="0.3">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row>
    <row r="58" spans="2:27" ht="12.75" customHeight="1" x14ac:dyDescent="0.3">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row>
    <row r="59" spans="2:27" ht="12.75" customHeight="1" x14ac:dyDescent="0.3">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row>
    <row r="60" spans="2:27" ht="12.75" customHeight="1" x14ac:dyDescent="0.3">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row>
    <row r="61" spans="2:27" ht="12.75" customHeight="1" x14ac:dyDescent="0.3">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row>
    <row r="62" spans="2:27" ht="12.75" customHeight="1" x14ac:dyDescent="0.3">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row>
    <row r="63" spans="2:27" ht="12.75" customHeight="1" x14ac:dyDescent="0.3">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row>
    <row r="64" spans="2:27" ht="12.75" customHeight="1" x14ac:dyDescent="0.3">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row>
    <row r="65" spans="2:27" ht="12.75" customHeight="1" x14ac:dyDescent="0.3">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row>
    <row r="66" spans="2:27" ht="12.75" customHeight="1" x14ac:dyDescent="0.3">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row>
    <row r="67" spans="2:27" ht="12.75" customHeight="1" x14ac:dyDescent="0.3">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row>
    <row r="68" spans="2:27" ht="12.75" customHeight="1" x14ac:dyDescent="0.3">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row>
    <row r="69" spans="2:27" ht="12.75" customHeight="1" x14ac:dyDescent="0.3">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row>
    <row r="70" spans="2:27" ht="12.75" customHeight="1" x14ac:dyDescent="0.3">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row>
    <row r="71" spans="2:27" ht="12.75" customHeight="1" x14ac:dyDescent="0.3">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row>
    <row r="72" spans="2:27" ht="12.75" customHeight="1" x14ac:dyDescent="0.3">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row>
    <row r="73" spans="2:27" ht="12.75" customHeight="1" x14ac:dyDescent="0.3">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row>
    <row r="74" spans="2:27" ht="12.75" customHeight="1" x14ac:dyDescent="0.3">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row>
    <row r="75" spans="2:27" ht="12.75" customHeight="1" x14ac:dyDescent="0.3">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row>
    <row r="76" spans="2:27" ht="12.75" customHeight="1" x14ac:dyDescent="0.3">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row>
    <row r="77" spans="2:27" ht="12.75" customHeight="1" x14ac:dyDescent="0.3">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row>
    <row r="78" spans="2:27" ht="12.75" customHeight="1" x14ac:dyDescent="0.3">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row>
    <row r="79" spans="2:27" ht="12.75" customHeight="1" x14ac:dyDescent="0.3">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row>
    <row r="80" spans="2:27" ht="12.75" customHeight="1" x14ac:dyDescent="0.3">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row>
    <row r="81" spans="2:27" ht="12.75" customHeight="1" x14ac:dyDescent="0.3">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row>
    <row r="82" spans="2:27" ht="12.75" customHeight="1" x14ac:dyDescent="0.3">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row>
    <row r="83" spans="2:27" ht="12.75" customHeight="1" x14ac:dyDescent="0.3">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row>
    <row r="84" spans="2:27" ht="12.75" customHeight="1" x14ac:dyDescent="0.3">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row>
    <row r="85" spans="2:27" ht="12.75" customHeight="1" x14ac:dyDescent="0.3">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row>
    <row r="86" spans="2:27" ht="12.75" customHeight="1" x14ac:dyDescent="0.3">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row>
    <row r="87" spans="2:27" ht="12.75" customHeight="1" x14ac:dyDescent="0.3">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row>
    <row r="88" spans="2:27" ht="12.75" customHeight="1" x14ac:dyDescent="0.3">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row>
    <row r="89" spans="2:27" ht="12.75" customHeight="1" x14ac:dyDescent="0.3">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row>
    <row r="90" spans="2:27" ht="12.75" customHeight="1" x14ac:dyDescent="0.3">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row>
    <row r="91" spans="2:27" ht="12.75" customHeight="1" x14ac:dyDescent="0.3">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row>
    <row r="92" spans="2:27" ht="12.75" customHeight="1" x14ac:dyDescent="0.3">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row>
    <row r="93" spans="2:27" ht="12.75" customHeight="1" x14ac:dyDescent="0.3">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row>
    <row r="94" spans="2:27" ht="12.75" customHeight="1" x14ac:dyDescent="0.3">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row>
    <row r="95" spans="2:27" ht="12.75" customHeight="1" x14ac:dyDescent="0.3">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row>
    <row r="96" spans="2:27" ht="12.75" customHeight="1" x14ac:dyDescent="0.3">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row>
    <row r="97" spans="2:27" ht="12.75" customHeight="1" x14ac:dyDescent="0.3">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row>
    <row r="98" spans="2:27" ht="12.75" customHeight="1" x14ac:dyDescent="0.3">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row>
    <row r="99" spans="2:27" ht="12.75" customHeight="1" x14ac:dyDescent="0.3">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row>
    <row r="100" spans="2:27" ht="12.75" customHeight="1" x14ac:dyDescent="0.3">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row>
    <row r="101" spans="2:27" ht="12.75" customHeight="1" x14ac:dyDescent="0.3">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row>
    <row r="102" spans="2:27" ht="12.75" customHeight="1" x14ac:dyDescent="0.3">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row>
    <row r="103" spans="2:27" ht="12.75" customHeight="1" x14ac:dyDescent="0.3">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row>
    <row r="104" spans="2:27" ht="12.75" customHeight="1" x14ac:dyDescent="0.3">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row>
    <row r="105" spans="2:27" ht="12.75" customHeight="1" x14ac:dyDescent="0.3">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row>
    <row r="106" spans="2:27" ht="12.75" customHeight="1" x14ac:dyDescent="0.3">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row>
    <row r="107" spans="2:27" ht="12.75" customHeight="1" x14ac:dyDescent="0.3">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row>
    <row r="108" spans="2:27" ht="12.75" customHeight="1" x14ac:dyDescent="0.3">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row>
    <row r="109" spans="2:27" ht="12.75" customHeight="1" x14ac:dyDescent="0.3">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row>
    <row r="110" spans="2:27" ht="12.75" customHeight="1" x14ac:dyDescent="0.3">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row>
    <row r="111" spans="2:27" ht="12.75" customHeight="1" x14ac:dyDescent="0.3">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row>
    <row r="112" spans="2:27" ht="12.75" customHeight="1" x14ac:dyDescent="0.3">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row>
    <row r="113" spans="2:27" ht="12.75" customHeight="1" x14ac:dyDescent="0.3">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spans="2:27" ht="12.75" customHeight="1" x14ac:dyDescent="0.3">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row>
    <row r="115" spans="2:27" ht="12.75" customHeight="1" x14ac:dyDescent="0.3">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row>
    <row r="116" spans="2:27" ht="12.75" customHeight="1" x14ac:dyDescent="0.3">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row>
    <row r="117" spans="2:27" ht="12.75" customHeight="1" x14ac:dyDescent="0.3">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row>
    <row r="118" spans="2:27" ht="12.75" customHeight="1" x14ac:dyDescent="0.3">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row>
    <row r="119" spans="2:27" ht="12.75" customHeight="1" x14ac:dyDescent="0.3">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row>
    <row r="120" spans="2:27" ht="12.75" customHeight="1" x14ac:dyDescent="0.3">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row>
    <row r="121" spans="2:27" ht="12.75" customHeight="1" x14ac:dyDescent="0.3">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row>
    <row r="122" spans="2:27" ht="12.75" customHeight="1" x14ac:dyDescent="0.3">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row>
    <row r="123" spans="2:27" ht="12.75" customHeight="1" x14ac:dyDescent="0.3">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row>
    <row r="124" spans="2:27" ht="12.75" customHeight="1" x14ac:dyDescent="0.3">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row>
    <row r="125" spans="2:27" ht="12.75" customHeight="1" x14ac:dyDescent="0.3">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row>
    <row r="126" spans="2:27" ht="12.75" customHeight="1" x14ac:dyDescent="0.3">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row>
    <row r="127" spans="2:27" ht="12.75" customHeight="1" x14ac:dyDescent="0.3">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row>
    <row r="128" spans="2:27" ht="12.75" customHeight="1" x14ac:dyDescent="0.3">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row>
    <row r="129" spans="2:27" ht="12.75" customHeight="1" x14ac:dyDescent="0.3">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row>
    <row r="130" spans="2:27" ht="12.75" customHeight="1" x14ac:dyDescent="0.3">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row>
    <row r="131" spans="2:27" ht="12.75" customHeight="1" x14ac:dyDescent="0.3">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row>
    <row r="132" spans="2:27" ht="12.75" customHeight="1" x14ac:dyDescent="0.3">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row>
    <row r="133" spans="2:27" ht="12.75" customHeight="1" x14ac:dyDescent="0.3">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row>
    <row r="134" spans="2:27" ht="12.75" customHeight="1" x14ac:dyDescent="0.3">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row>
    <row r="135" spans="2:27" ht="12.75" customHeight="1" x14ac:dyDescent="0.3">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row>
    <row r="136" spans="2:27" ht="12.75" customHeight="1" x14ac:dyDescent="0.3">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row>
    <row r="137" spans="2:27" ht="12.75" customHeight="1" x14ac:dyDescent="0.3">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row>
    <row r="138" spans="2:27" ht="12.75" customHeight="1" x14ac:dyDescent="0.3">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row>
    <row r="139" spans="2:27" ht="12.75" customHeight="1" x14ac:dyDescent="0.3">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row>
    <row r="140" spans="2:27" ht="12.75" customHeight="1" x14ac:dyDescent="0.3">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row>
    <row r="141" spans="2:27" ht="12.75" customHeight="1" x14ac:dyDescent="0.3">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row>
    <row r="142" spans="2:27" ht="12.75" customHeight="1" x14ac:dyDescent="0.3">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row>
    <row r="143" spans="2:27" ht="12.75" customHeight="1" x14ac:dyDescent="0.3">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row>
    <row r="144" spans="2:27" ht="12.75" customHeight="1" x14ac:dyDescent="0.3">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row>
    <row r="145" spans="2:27" ht="12.75" customHeight="1" x14ac:dyDescent="0.3">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row>
    <row r="146" spans="2:27" ht="12.75" customHeight="1" x14ac:dyDescent="0.3">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row>
    <row r="147" spans="2:27" ht="12.75" customHeight="1" x14ac:dyDescent="0.3">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row>
    <row r="148" spans="2:27" ht="12.75" customHeight="1" x14ac:dyDescent="0.3">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row>
    <row r="149" spans="2:27" ht="12.75" customHeight="1" x14ac:dyDescent="0.3">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row>
    <row r="150" spans="2:27" ht="12.75" customHeight="1" x14ac:dyDescent="0.3">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row>
    <row r="151" spans="2:27" ht="12.75" customHeight="1" x14ac:dyDescent="0.3">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row>
    <row r="152" spans="2:27" ht="12.75" customHeight="1" x14ac:dyDescent="0.3">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row>
    <row r="153" spans="2:27" ht="12.75" customHeight="1" x14ac:dyDescent="0.3">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row>
    <row r="154" spans="2:27" ht="12.75" customHeight="1" x14ac:dyDescent="0.3">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row>
    <row r="155" spans="2:27" ht="12.75" customHeight="1" x14ac:dyDescent="0.3">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row>
    <row r="156" spans="2:27" ht="12.75" customHeight="1" x14ac:dyDescent="0.3">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row>
    <row r="157" spans="2:27" ht="12.75" customHeight="1" x14ac:dyDescent="0.3">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row>
    <row r="158" spans="2:27" ht="12.75" customHeight="1" x14ac:dyDescent="0.3">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row>
    <row r="159" spans="2:27" ht="12.75" customHeight="1" x14ac:dyDescent="0.3">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row>
    <row r="160" spans="2:27" ht="12.75" customHeight="1" x14ac:dyDescent="0.3">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row>
    <row r="161" spans="2:27" ht="12.75" customHeight="1" x14ac:dyDescent="0.3">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row>
    <row r="162" spans="2:27" ht="12.75" customHeight="1" x14ac:dyDescent="0.3">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row>
    <row r="163" spans="2:27" ht="12.75" customHeight="1" x14ac:dyDescent="0.3">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row>
    <row r="164" spans="2:27" ht="12.75" customHeight="1" x14ac:dyDescent="0.3">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row>
    <row r="165" spans="2:27" ht="12.75" customHeight="1" x14ac:dyDescent="0.3">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row>
    <row r="166" spans="2:27" ht="12.75" customHeight="1" x14ac:dyDescent="0.3">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row>
    <row r="167" spans="2:27" ht="12.75" customHeight="1" x14ac:dyDescent="0.3">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row>
    <row r="168" spans="2:27" ht="12.75" customHeight="1" x14ac:dyDescent="0.3">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row>
    <row r="169" spans="2:27" ht="12.75" customHeight="1" x14ac:dyDescent="0.3">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row>
    <row r="170" spans="2:27" ht="12.75" customHeight="1" x14ac:dyDescent="0.3">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row>
    <row r="171" spans="2:27" ht="12.75" customHeight="1" x14ac:dyDescent="0.3">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row>
    <row r="172" spans="2:27" ht="12.75" customHeight="1" x14ac:dyDescent="0.3">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row>
    <row r="173" spans="2:27" ht="12.75" customHeight="1" x14ac:dyDescent="0.3">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row>
    <row r="174" spans="2:27" ht="12.75" customHeight="1" x14ac:dyDescent="0.3">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row>
    <row r="175" spans="2:27" ht="12.75" customHeight="1" x14ac:dyDescent="0.3">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row>
    <row r="176" spans="2:27" ht="12.75" customHeight="1" x14ac:dyDescent="0.3">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row>
    <row r="177" spans="2:27" ht="12.75" customHeight="1" x14ac:dyDescent="0.3">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row>
    <row r="178" spans="2:27" ht="12.75" customHeight="1" x14ac:dyDescent="0.3">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row>
    <row r="179" spans="2:27" ht="12.75" customHeight="1" x14ac:dyDescent="0.3">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row>
    <row r="180" spans="2:27" ht="12.75" customHeight="1" x14ac:dyDescent="0.3">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row>
    <row r="181" spans="2:27" ht="12.75" customHeight="1" x14ac:dyDescent="0.3">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row>
    <row r="182" spans="2:27" ht="12.75" customHeight="1" x14ac:dyDescent="0.3">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row>
    <row r="183" spans="2:27" ht="12.75" customHeight="1" x14ac:dyDescent="0.3">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row>
    <row r="184" spans="2:27" ht="12.75" customHeight="1" x14ac:dyDescent="0.3">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row>
    <row r="185" spans="2:27" ht="12.75" customHeight="1" x14ac:dyDescent="0.3">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row>
    <row r="186" spans="2:27" ht="12.75" customHeight="1" x14ac:dyDescent="0.3">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row>
    <row r="187" spans="2:27" ht="12.75" customHeight="1" x14ac:dyDescent="0.3">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row>
    <row r="188" spans="2:27" ht="12.75" customHeight="1" x14ac:dyDescent="0.3">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row>
    <row r="189" spans="2:27" ht="12.75" customHeight="1" x14ac:dyDescent="0.3">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row>
    <row r="190" spans="2:27" ht="12.75" customHeight="1" x14ac:dyDescent="0.3">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row>
    <row r="191" spans="2:27" ht="12.75" customHeight="1" x14ac:dyDescent="0.3">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row>
    <row r="192" spans="2:27" ht="12.75" customHeight="1" x14ac:dyDescent="0.3">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row>
    <row r="193" spans="2:27" ht="12.75" customHeight="1" x14ac:dyDescent="0.3">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row>
    <row r="194" spans="2:27" ht="12.75" customHeight="1" x14ac:dyDescent="0.3">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row>
    <row r="195" spans="2:27" ht="12.75" customHeight="1" x14ac:dyDescent="0.3">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row>
    <row r="196" spans="2:27" ht="12.75" customHeight="1" x14ac:dyDescent="0.3">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row>
    <row r="197" spans="2:27" ht="12.75" customHeight="1" x14ac:dyDescent="0.3">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row>
    <row r="198" spans="2:27" ht="12.75" customHeight="1" x14ac:dyDescent="0.3">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row>
    <row r="199" spans="2:27" ht="12.75" customHeight="1" x14ac:dyDescent="0.3">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row>
    <row r="200" spans="2:27" ht="12.75" customHeight="1" x14ac:dyDescent="0.3">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row>
    <row r="201" spans="2:27" ht="12.75" customHeight="1" x14ac:dyDescent="0.3">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row>
    <row r="202" spans="2:27" ht="12.75" customHeight="1" x14ac:dyDescent="0.3">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row>
    <row r="203" spans="2:27" ht="12.75" customHeight="1" x14ac:dyDescent="0.3">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row>
    <row r="204" spans="2:27" ht="12.75" customHeight="1" x14ac:dyDescent="0.3">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row>
    <row r="205" spans="2:27" ht="12.75" customHeight="1" x14ac:dyDescent="0.3">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row>
    <row r="206" spans="2:27" ht="12.75" customHeight="1" x14ac:dyDescent="0.3">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row>
    <row r="207" spans="2:27" ht="12.75" customHeight="1" x14ac:dyDescent="0.3">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row>
    <row r="208" spans="2:27" ht="12.75" customHeight="1" x14ac:dyDescent="0.3">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row>
    <row r="209" spans="2:27" ht="12.75" customHeight="1" x14ac:dyDescent="0.3">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row>
    <row r="210" spans="2:27" ht="12.75" customHeight="1" x14ac:dyDescent="0.3">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row>
    <row r="211" spans="2:27" ht="12.75" customHeight="1" x14ac:dyDescent="0.3">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row>
    <row r="212" spans="2:27" ht="12.75" customHeight="1" x14ac:dyDescent="0.3">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row>
    <row r="213" spans="2:27" ht="12.75" customHeight="1" x14ac:dyDescent="0.3">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row>
    <row r="214" spans="2:27" ht="12.75" customHeight="1" x14ac:dyDescent="0.3">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row>
    <row r="215" spans="2:27" ht="12.75" customHeight="1" x14ac:dyDescent="0.3">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row>
    <row r="216" spans="2:27" ht="12.75" customHeight="1" x14ac:dyDescent="0.3">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row>
    <row r="217" spans="2:27" ht="12.75" customHeight="1" x14ac:dyDescent="0.3">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row>
    <row r="218" spans="2:27" ht="12.75" customHeight="1" x14ac:dyDescent="0.3">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row>
    <row r="219" spans="2:27" ht="12.75" customHeight="1" x14ac:dyDescent="0.3">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row>
    <row r="220" spans="2:27" ht="12.75" customHeight="1" x14ac:dyDescent="0.3">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row>
    <row r="221" spans="2:27" ht="12.75" customHeight="1" x14ac:dyDescent="0.3">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spans="2:27" ht="12.75" customHeight="1" x14ac:dyDescent="0.3">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row>
    <row r="223" spans="2:27" ht="12.75" customHeight="1" x14ac:dyDescent="0.3">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row>
    <row r="224" spans="2:27" ht="12.75" customHeight="1" x14ac:dyDescent="0.3">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row>
    <row r="225" spans="2:27" ht="12.75" customHeight="1" x14ac:dyDescent="0.3">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row>
    <row r="226" spans="2:27" ht="12.75" customHeight="1" x14ac:dyDescent="0.3">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row>
    <row r="227" spans="2:27" ht="12.75" customHeight="1" x14ac:dyDescent="0.3">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row>
    <row r="228" spans="2:27" ht="12.75" customHeight="1" x14ac:dyDescent="0.3">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row>
    <row r="229" spans="2:27" ht="12.75" customHeight="1" x14ac:dyDescent="0.3">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row>
    <row r="230" spans="2:27" ht="12.75" customHeight="1" x14ac:dyDescent="0.3">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row>
    <row r="231" spans="2:27" ht="12.75" customHeight="1" x14ac:dyDescent="0.3">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row>
    <row r="232" spans="2:27" ht="12.75" customHeight="1" x14ac:dyDescent="0.3">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row>
    <row r="233" spans="2:27" ht="12.75" customHeight="1" x14ac:dyDescent="0.3">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spans="2:27" ht="12.75" customHeight="1" x14ac:dyDescent="0.3">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spans="2:27" ht="12.75" customHeight="1" x14ac:dyDescent="0.3">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spans="2:27" ht="12.75" customHeight="1" x14ac:dyDescent="0.3">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spans="2:27" ht="12.75" customHeight="1" x14ac:dyDescent="0.3">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spans="2:27" ht="12.75" customHeight="1" x14ac:dyDescent="0.3">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spans="2:27" ht="12.75" customHeight="1" x14ac:dyDescent="0.3">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spans="2:27" ht="12.75" customHeight="1" x14ac:dyDescent="0.3">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spans="2:27" ht="12.75" customHeight="1" x14ac:dyDescent="0.3">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spans="2:27" ht="12.75" customHeight="1" x14ac:dyDescent="0.3">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spans="2:27" ht="12.75" customHeight="1" x14ac:dyDescent="0.3">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spans="2:27" ht="12.75" customHeight="1" x14ac:dyDescent="0.3">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spans="2:27" ht="12.75" customHeight="1" x14ac:dyDescent="0.3">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spans="2:27" ht="12.75" customHeight="1" x14ac:dyDescent="0.3">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spans="2:27" ht="12.75" customHeight="1" x14ac:dyDescent="0.3">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spans="2:27" ht="12.75" customHeight="1" x14ac:dyDescent="0.3">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spans="2:27" ht="12.75" customHeight="1" x14ac:dyDescent="0.3">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spans="2:27" ht="12.75" customHeight="1" x14ac:dyDescent="0.3">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spans="2:27" ht="12.75" customHeight="1" x14ac:dyDescent="0.3">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spans="2:27" ht="12.75" customHeight="1" x14ac:dyDescent="0.3">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spans="2:27" ht="12.75" customHeight="1" x14ac:dyDescent="0.3">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spans="2:27" ht="12.75" customHeight="1" x14ac:dyDescent="0.3">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spans="2:27" ht="12.75" customHeight="1" x14ac:dyDescent="0.3">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spans="2:27" ht="12.75" customHeight="1" x14ac:dyDescent="0.3">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spans="2:27" ht="12.75" customHeight="1" x14ac:dyDescent="0.3">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spans="2:27" ht="12.75" customHeight="1" x14ac:dyDescent="0.3">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spans="2:27" ht="12.75" customHeight="1" x14ac:dyDescent="0.3">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spans="2:27" ht="12.75" customHeight="1" x14ac:dyDescent="0.3">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spans="2:27" ht="12.75" customHeight="1" x14ac:dyDescent="0.3">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spans="2:27" ht="12.75" customHeight="1" x14ac:dyDescent="0.3">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spans="2:27" ht="12.75" customHeight="1" x14ac:dyDescent="0.3">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spans="2:27" ht="12.75" customHeight="1" x14ac:dyDescent="0.3">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spans="2:27" ht="12.75" customHeight="1" x14ac:dyDescent="0.3">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spans="2:27" ht="12.75" customHeight="1" x14ac:dyDescent="0.3">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spans="2:27" ht="12.75" customHeight="1" x14ac:dyDescent="0.3">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spans="2:27" ht="12.75" customHeight="1" x14ac:dyDescent="0.3">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spans="2:27" ht="12.75" customHeight="1" x14ac:dyDescent="0.3">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spans="2:27" ht="12.75" customHeight="1" x14ac:dyDescent="0.3">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spans="2:27" ht="12.75" customHeight="1" x14ac:dyDescent="0.3">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spans="2:27" ht="12.75" customHeight="1" x14ac:dyDescent="0.3">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spans="2:27" ht="12.75" customHeight="1" x14ac:dyDescent="0.3">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spans="2:27" ht="12.75" customHeight="1" x14ac:dyDescent="0.3">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spans="2:27" ht="12.75" customHeight="1" x14ac:dyDescent="0.3">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spans="2:27" ht="12.75" customHeight="1" x14ac:dyDescent="0.3">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spans="2:27" ht="12.75" customHeight="1" x14ac:dyDescent="0.3">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spans="2:27" ht="12.75" customHeight="1" x14ac:dyDescent="0.3">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spans="2:27" ht="12.75" customHeight="1" x14ac:dyDescent="0.3">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spans="2:27" ht="12.75" customHeight="1" x14ac:dyDescent="0.3">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spans="2:27" ht="12.75" customHeight="1" x14ac:dyDescent="0.3">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spans="2:27" ht="12.75" customHeight="1" x14ac:dyDescent="0.3">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spans="2:27" ht="12.75" customHeight="1" x14ac:dyDescent="0.3">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spans="2:27" ht="12.75" customHeight="1" x14ac:dyDescent="0.3">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spans="2:27" ht="12.75" customHeight="1" x14ac:dyDescent="0.3">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spans="2:27" ht="12.75" customHeight="1" x14ac:dyDescent="0.3">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spans="2:27" ht="12.75" customHeight="1" x14ac:dyDescent="0.3">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spans="2:27" ht="12.75" customHeight="1" x14ac:dyDescent="0.3">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spans="2:27" ht="12.75" customHeight="1" x14ac:dyDescent="0.3">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spans="2:27" ht="12.75" customHeight="1" x14ac:dyDescent="0.3">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spans="2:27" ht="12.75" customHeight="1" x14ac:dyDescent="0.3">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spans="2:27" ht="12.75" customHeight="1" x14ac:dyDescent="0.3">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spans="2:27" ht="12.75" customHeight="1" x14ac:dyDescent="0.3">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spans="2:27" ht="12.75" customHeight="1" x14ac:dyDescent="0.3">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spans="2:27" ht="12.75" customHeight="1" x14ac:dyDescent="0.3">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spans="2:27" ht="12.75" customHeight="1" x14ac:dyDescent="0.3">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spans="2:27" ht="12.75" customHeight="1" x14ac:dyDescent="0.3">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spans="2:27" ht="12.75" customHeight="1" x14ac:dyDescent="0.3">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spans="2:27" ht="12.75" customHeight="1" x14ac:dyDescent="0.3">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spans="2:27" ht="12.75" customHeight="1" x14ac:dyDescent="0.3">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spans="2:27" ht="12.75" customHeight="1" x14ac:dyDescent="0.3">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spans="2:27" ht="12.75" customHeight="1" x14ac:dyDescent="0.3">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spans="2:27" ht="12.75" customHeight="1" x14ac:dyDescent="0.3">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spans="2:27" ht="12.75" customHeight="1" x14ac:dyDescent="0.3">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spans="2:27" ht="12.75" customHeight="1" x14ac:dyDescent="0.3">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spans="2:27" ht="12.75" customHeight="1" x14ac:dyDescent="0.3">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spans="2:27" ht="12.75" customHeight="1" x14ac:dyDescent="0.3">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spans="2:27" ht="12.75" customHeight="1" x14ac:dyDescent="0.3">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spans="2:27" ht="12.75" customHeight="1" x14ac:dyDescent="0.3">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spans="2:27" ht="12.75" customHeight="1" x14ac:dyDescent="0.3">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spans="2:27" ht="12.75" customHeight="1" x14ac:dyDescent="0.3">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spans="2:27" ht="12.75" customHeight="1" x14ac:dyDescent="0.3">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spans="2:27" ht="12.75" customHeight="1" x14ac:dyDescent="0.3">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spans="2:27" ht="12.75" customHeight="1" x14ac:dyDescent="0.3">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spans="2:27" ht="12.75" customHeight="1" x14ac:dyDescent="0.3">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spans="2:27" ht="12.75" customHeight="1" x14ac:dyDescent="0.3">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spans="2:27" ht="12.75" customHeight="1" x14ac:dyDescent="0.3">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spans="2:27" ht="12.75" customHeight="1" x14ac:dyDescent="0.3">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spans="2:27" ht="12.75" customHeight="1" x14ac:dyDescent="0.3">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spans="2:27" ht="12.75" customHeight="1" x14ac:dyDescent="0.3">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spans="2:27" ht="12.75" customHeight="1" x14ac:dyDescent="0.3">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spans="2:27" ht="12.75" customHeight="1" x14ac:dyDescent="0.3">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spans="2:27" ht="12.75" customHeight="1" x14ac:dyDescent="0.3">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spans="2:27" ht="12.75" customHeight="1" x14ac:dyDescent="0.3">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spans="2:27" ht="12.75" customHeight="1" x14ac:dyDescent="0.3">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spans="2:27" ht="12.75" customHeight="1" x14ac:dyDescent="0.3">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spans="2:27" ht="12.75" customHeight="1" x14ac:dyDescent="0.3">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spans="2:27" ht="12.75" customHeight="1" x14ac:dyDescent="0.3">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spans="2:27" ht="12.75" customHeight="1" x14ac:dyDescent="0.3">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spans="2:27" ht="12.75" customHeight="1" x14ac:dyDescent="0.3">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spans="2:27" ht="12.75" customHeight="1" x14ac:dyDescent="0.3">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spans="2:27" ht="12.75" customHeight="1" x14ac:dyDescent="0.3">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spans="2:27" ht="12.75" customHeight="1" x14ac:dyDescent="0.3">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spans="2:27" ht="12.75" customHeight="1" x14ac:dyDescent="0.3">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spans="2:27" ht="12.75" customHeight="1" x14ac:dyDescent="0.3">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spans="2:27" ht="12.75" customHeight="1" x14ac:dyDescent="0.3">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spans="2:27" ht="12.75" customHeight="1" x14ac:dyDescent="0.3">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spans="2:27" ht="12.75" customHeight="1" x14ac:dyDescent="0.3">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spans="2:27" ht="12.75" customHeight="1" x14ac:dyDescent="0.3">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spans="2:27" ht="12.75" customHeight="1" x14ac:dyDescent="0.3">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spans="2:27" ht="12.75" customHeight="1" x14ac:dyDescent="0.3">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spans="2:27" ht="12.75" customHeight="1" x14ac:dyDescent="0.3">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spans="2:27" ht="12.75" customHeight="1" x14ac:dyDescent="0.3">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spans="2:27" ht="12.75" customHeight="1" x14ac:dyDescent="0.3">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spans="2:27" ht="12.75" customHeight="1" x14ac:dyDescent="0.3">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spans="2:27" ht="12.75" customHeight="1" x14ac:dyDescent="0.3">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spans="2:27" ht="12.75" customHeight="1" x14ac:dyDescent="0.3">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spans="2:27" ht="12.75" customHeight="1" x14ac:dyDescent="0.3">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spans="2:27" ht="12.75" customHeight="1" x14ac:dyDescent="0.3">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spans="2:27" ht="12.75" customHeight="1" x14ac:dyDescent="0.3">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spans="2:27" ht="12.75" customHeight="1" x14ac:dyDescent="0.3">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spans="2:27" ht="12.75" customHeight="1" x14ac:dyDescent="0.3">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spans="2:27" ht="12.75" customHeight="1" x14ac:dyDescent="0.3">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spans="2:27" ht="12.75" customHeight="1" x14ac:dyDescent="0.3">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spans="2:27" ht="12.75" customHeight="1" x14ac:dyDescent="0.3">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spans="2:27" ht="12.75" customHeight="1" x14ac:dyDescent="0.3">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spans="2:27" ht="12.75" customHeight="1" x14ac:dyDescent="0.3">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spans="2:27" ht="12.75" customHeight="1" x14ac:dyDescent="0.3">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spans="2:27" ht="12.75" customHeight="1" x14ac:dyDescent="0.3">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spans="2:27" ht="12.75" customHeight="1" x14ac:dyDescent="0.3">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spans="2:27" ht="12.75" customHeight="1" x14ac:dyDescent="0.3">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spans="2:27" ht="12.75" customHeight="1" x14ac:dyDescent="0.3">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spans="2:27" ht="12.75" customHeight="1" x14ac:dyDescent="0.3">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spans="2:27" ht="12.75" customHeight="1" x14ac:dyDescent="0.3">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spans="2:27" ht="12.75" customHeight="1" x14ac:dyDescent="0.3">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spans="2:27" ht="12.75" customHeight="1" x14ac:dyDescent="0.3">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spans="2:27" ht="12.75" customHeight="1" x14ac:dyDescent="0.3">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spans="2:27" ht="12.75" customHeight="1" x14ac:dyDescent="0.3">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spans="2:27" ht="12.75" customHeight="1" x14ac:dyDescent="0.3">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spans="2:27" ht="12.75" customHeight="1" x14ac:dyDescent="0.3">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spans="2:27" ht="12.75" customHeight="1" x14ac:dyDescent="0.3">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spans="2:27" ht="12.75" customHeight="1" x14ac:dyDescent="0.3">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spans="2:27" ht="12.75" customHeight="1" x14ac:dyDescent="0.3">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spans="2:27" ht="12.75" customHeight="1" x14ac:dyDescent="0.3">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spans="2:27" ht="12.75" customHeight="1" x14ac:dyDescent="0.3">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spans="2:27" ht="12.75" customHeight="1" x14ac:dyDescent="0.3">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spans="2:27" ht="12.75" customHeight="1" x14ac:dyDescent="0.3">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spans="2:27" ht="12.75" customHeight="1" x14ac:dyDescent="0.3">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spans="2:27" ht="12.75" customHeight="1" x14ac:dyDescent="0.3">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spans="2:27" ht="12.75" customHeight="1" x14ac:dyDescent="0.3">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spans="2:27" ht="12.75" customHeight="1" x14ac:dyDescent="0.3">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spans="2:27" ht="12.75" customHeight="1" x14ac:dyDescent="0.3">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spans="2:27" ht="12.75" customHeight="1" x14ac:dyDescent="0.3">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spans="2:27" ht="12.75" customHeight="1" x14ac:dyDescent="0.3">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spans="2:27" ht="12.75" customHeight="1" x14ac:dyDescent="0.3">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spans="2:27" ht="12.75" customHeight="1" x14ac:dyDescent="0.3">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spans="2:27" ht="12.75" customHeight="1" x14ac:dyDescent="0.3">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spans="2:27" ht="12.75" customHeight="1" x14ac:dyDescent="0.3">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spans="2:27" ht="12.75" customHeight="1" x14ac:dyDescent="0.3">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spans="2:27" ht="12.75" customHeight="1" x14ac:dyDescent="0.3">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spans="2:27" ht="12.75" customHeight="1" x14ac:dyDescent="0.3">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spans="2:27" ht="12.75" customHeight="1" x14ac:dyDescent="0.3">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spans="2:27" ht="12.75" customHeight="1" x14ac:dyDescent="0.3">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spans="2:27" ht="12.75" customHeight="1" x14ac:dyDescent="0.3">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spans="2:27" ht="12.75" customHeight="1" x14ac:dyDescent="0.3">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spans="2:27" ht="12.75" customHeight="1" x14ac:dyDescent="0.3">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spans="2:27" ht="12.75" customHeight="1" x14ac:dyDescent="0.3">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spans="2:27" ht="12.75" customHeight="1" x14ac:dyDescent="0.3">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spans="2:27" ht="12.75" customHeight="1" x14ac:dyDescent="0.3">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spans="2:27" ht="12.75" customHeight="1" x14ac:dyDescent="0.3">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spans="2:27" ht="12.75" customHeight="1" x14ac:dyDescent="0.3">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spans="2:27" ht="12.75" customHeight="1" x14ac:dyDescent="0.3">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spans="2:27" ht="12.75" customHeight="1" x14ac:dyDescent="0.3">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spans="2:27" ht="12.75" customHeight="1" x14ac:dyDescent="0.3">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spans="2:27" ht="12.75" customHeight="1" x14ac:dyDescent="0.3">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spans="2:27" ht="12.75" customHeight="1" x14ac:dyDescent="0.3">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spans="2:27" ht="12.75" customHeight="1" x14ac:dyDescent="0.3">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spans="2:27" ht="12.75" customHeight="1" x14ac:dyDescent="0.3">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spans="2:27" ht="12.75" customHeight="1" x14ac:dyDescent="0.3">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spans="2:27" ht="12.75" customHeight="1" x14ac:dyDescent="0.3">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spans="2:27" ht="12.75" customHeight="1" x14ac:dyDescent="0.3">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spans="2:27" ht="12.75" customHeight="1" x14ac:dyDescent="0.3">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spans="2:27" ht="12.75" customHeight="1" x14ac:dyDescent="0.3">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spans="2:27" ht="12.75" customHeight="1" x14ac:dyDescent="0.3">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spans="2:27" ht="12.75" customHeight="1" x14ac:dyDescent="0.3">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spans="2:27" ht="12.75" customHeight="1" x14ac:dyDescent="0.3">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spans="2:27" ht="12.75" customHeight="1" x14ac:dyDescent="0.3">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spans="2:27" ht="12.75" customHeight="1" x14ac:dyDescent="0.3">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spans="2:27" ht="12.75" customHeight="1" x14ac:dyDescent="0.3">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spans="2:27" ht="12.75" customHeight="1" x14ac:dyDescent="0.3">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spans="2:27" ht="12.75" customHeight="1" x14ac:dyDescent="0.3">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spans="2:27" ht="12.75" customHeight="1" x14ac:dyDescent="0.3">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spans="2:27" ht="12.75" customHeight="1" x14ac:dyDescent="0.3">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spans="2:27" ht="12.75" customHeight="1" x14ac:dyDescent="0.3">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spans="2:27" ht="12.75" customHeight="1" x14ac:dyDescent="0.3">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spans="2:27" ht="12.75" customHeight="1" x14ac:dyDescent="0.3">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spans="2:27" ht="12.75" customHeight="1" x14ac:dyDescent="0.3">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spans="2:27" ht="12.75" customHeight="1" x14ac:dyDescent="0.3">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spans="2:27" ht="12.75" customHeight="1" x14ac:dyDescent="0.3">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spans="2:27" ht="12.75" customHeight="1" x14ac:dyDescent="0.3">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spans="2:27" ht="12.75" customHeight="1" x14ac:dyDescent="0.3">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spans="2:27" ht="12.75" customHeight="1" x14ac:dyDescent="0.3">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spans="2:27" ht="12.75" customHeight="1" x14ac:dyDescent="0.3">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spans="2:27" ht="12.75" customHeight="1" x14ac:dyDescent="0.3">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spans="2:27" ht="12.75" customHeight="1" x14ac:dyDescent="0.3">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spans="2:27" ht="12.75" customHeight="1" x14ac:dyDescent="0.3">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spans="2:27" ht="12.75" customHeight="1" x14ac:dyDescent="0.3">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spans="2:27" ht="12.75" customHeight="1" x14ac:dyDescent="0.3">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spans="2:27" ht="12.75" customHeight="1" x14ac:dyDescent="0.3">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spans="2:27" ht="12.75" customHeight="1" x14ac:dyDescent="0.3">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spans="2:27" ht="12.75" customHeight="1" x14ac:dyDescent="0.3">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spans="2:27" ht="12.75" customHeight="1" x14ac:dyDescent="0.3">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spans="2:27" ht="12.75" customHeight="1" x14ac:dyDescent="0.3">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spans="2:27" ht="12.75" customHeight="1" x14ac:dyDescent="0.3">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spans="2:27" ht="12.75" customHeight="1" x14ac:dyDescent="0.3">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spans="2:27" ht="12.75" customHeight="1" x14ac:dyDescent="0.3">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spans="2:27" ht="12.75" customHeight="1" x14ac:dyDescent="0.3">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spans="2:27" ht="12.75" customHeight="1" x14ac:dyDescent="0.3">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spans="2:27" ht="12.75" customHeight="1" x14ac:dyDescent="0.3">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spans="2:27" ht="12.75" customHeight="1" x14ac:dyDescent="0.3">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spans="2:27" ht="12.75" customHeight="1" x14ac:dyDescent="0.3">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spans="2:27" ht="12.75" customHeight="1" x14ac:dyDescent="0.3">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spans="2:27" ht="12.75" customHeight="1" x14ac:dyDescent="0.3">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spans="2:27" ht="12.75" customHeight="1" x14ac:dyDescent="0.3">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spans="2:27" ht="12.75" customHeight="1" x14ac:dyDescent="0.3">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spans="2:27" ht="12.75" customHeight="1" x14ac:dyDescent="0.3">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spans="2:27" ht="12.75" customHeight="1" x14ac:dyDescent="0.3">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spans="2:27" ht="12.75" customHeight="1" x14ac:dyDescent="0.3">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spans="2:27" ht="12.75" customHeight="1" x14ac:dyDescent="0.3">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spans="2:27" ht="12.75" customHeight="1" x14ac:dyDescent="0.3">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spans="2:27" ht="12.75" customHeight="1" x14ac:dyDescent="0.3">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spans="2:27" ht="12.75" customHeight="1" x14ac:dyDescent="0.3">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spans="2:27" ht="12.75" customHeight="1" x14ac:dyDescent="0.3">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spans="2:27" ht="12.75" customHeight="1" x14ac:dyDescent="0.3">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spans="2:27" ht="12.75" customHeight="1" x14ac:dyDescent="0.3">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spans="2:27" ht="12.75" customHeight="1" x14ac:dyDescent="0.3">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spans="2:27" ht="12.75" customHeight="1" x14ac:dyDescent="0.3">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spans="2:27" ht="12.75" customHeight="1" x14ac:dyDescent="0.3">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spans="2:27" ht="12.75" customHeight="1" x14ac:dyDescent="0.3">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spans="2:27" ht="12.75" customHeight="1" x14ac:dyDescent="0.3">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spans="2:27" ht="12.75" customHeight="1" x14ac:dyDescent="0.3">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spans="2:27" ht="12.75" customHeight="1" x14ac:dyDescent="0.3">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spans="2:27" ht="12.75" customHeight="1" x14ac:dyDescent="0.3">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spans="2:27" ht="12.75" customHeight="1" x14ac:dyDescent="0.3">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spans="2:27" ht="12.75" customHeight="1" x14ac:dyDescent="0.3">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spans="2:27" ht="12.75" customHeight="1" x14ac:dyDescent="0.3">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spans="2:27" ht="12.75" customHeight="1" x14ac:dyDescent="0.3">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spans="2:27" ht="12.75" customHeight="1" x14ac:dyDescent="0.3">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spans="2:27" ht="12.75" customHeight="1" x14ac:dyDescent="0.3">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spans="2:27" ht="12.75" customHeight="1" x14ac:dyDescent="0.3">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spans="2:27" ht="12.75" customHeight="1" x14ac:dyDescent="0.3">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spans="2:27" ht="12.75" customHeight="1" x14ac:dyDescent="0.3">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spans="2:27" ht="12.75" customHeight="1" x14ac:dyDescent="0.3">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spans="2:27" ht="12.75" customHeight="1" x14ac:dyDescent="0.3">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spans="2:27" ht="12.75" customHeight="1" x14ac:dyDescent="0.3">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spans="2:27" ht="12.75" customHeight="1" x14ac:dyDescent="0.3">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spans="2:27" ht="12.75" customHeight="1" x14ac:dyDescent="0.3">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spans="2:27" ht="12.75" customHeight="1" x14ac:dyDescent="0.3">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spans="2:27" ht="12.75" customHeight="1" x14ac:dyDescent="0.3">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spans="2:27" ht="12.75" customHeight="1" x14ac:dyDescent="0.3">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spans="2:27" ht="12.75" customHeight="1" x14ac:dyDescent="0.3">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spans="2:27" ht="12.75" customHeight="1" x14ac:dyDescent="0.3">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spans="2:27" ht="12.75" customHeight="1" x14ac:dyDescent="0.3">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spans="2:27" ht="12.75" customHeight="1" x14ac:dyDescent="0.3">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spans="2:27" ht="12.75" customHeight="1" x14ac:dyDescent="0.3">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spans="2:27" ht="12.75" customHeight="1" x14ac:dyDescent="0.3">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spans="2:27" ht="12.75" customHeight="1" x14ac:dyDescent="0.3">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spans="2:27" ht="12.75" customHeight="1" x14ac:dyDescent="0.3">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spans="2:27" ht="12.75" customHeight="1" x14ac:dyDescent="0.3">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spans="2:27" ht="12.75" customHeight="1" x14ac:dyDescent="0.3">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spans="2:27" ht="12.75" customHeight="1" x14ac:dyDescent="0.3">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spans="2:27" ht="12.75" customHeight="1" x14ac:dyDescent="0.3">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spans="2:27" ht="12.75" customHeight="1" x14ac:dyDescent="0.3">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spans="2:27" ht="12.75" customHeight="1" x14ac:dyDescent="0.3">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spans="2:27" ht="12.75" customHeight="1" x14ac:dyDescent="0.3">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spans="2:27" ht="12.75" customHeight="1" x14ac:dyDescent="0.3">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spans="2:27" ht="12.75" customHeight="1" x14ac:dyDescent="0.3">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spans="2:27" ht="12.75" customHeight="1" x14ac:dyDescent="0.3">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spans="2:27" ht="12.75" customHeight="1" x14ac:dyDescent="0.3">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spans="2:27" ht="12.75" customHeight="1" x14ac:dyDescent="0.3">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spans="2:27" ht="12.75" customHeight="1" x14ac:dyDescent="0.3">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spans="2:27" ht="12.75" customHeight="1" x14ac:dyDescent="0.3">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spans="2:27" ht="12.75" customHeight="1" x14ac:dyDescent="0.3">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spans="2:27" ht="12.75" customHeight="1" x14ac:dyDescent="0.3">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spans="2:27" ht="12.75" customHeight="1" x14ac:dyDescent="0.3">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spans="2:27" ht="12.75" customHeight="1" x14ac:dyDescent="0.3">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spans="2:27" ht="12.75" customHeight="1" x14ac:dyDescent="0.3">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spans="2:27" ht="12.75" customHeight="1" x14ac:dyDescent="0.3">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spans="2:27" ht="12.75" customHeight="1" x14ac:dyDescent="0.3">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spans="2:27" ht="12.75" customHeight="1" x14ac:dyDescent="0.3">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spans="2:27" ht="12.75" customHeight="1" x14ac:dyDescent="0.3">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spans="2:27" ht="12.75" customHeight="1" x14ac:dyDescent="0.3">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spans="2:27" ht="12.75" customHeight="1" x14ac:dyDescent="0.3">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spans="2:27" ht="12.75" customHeight="1" x14ac:dyDescent="0.3">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spans="2:27" ht="12.75" customHeight="1" x14ac:dyDescent="0.3">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spans="2:27" ht="12.75" customHeight="1" x14ac:dyDescent="0.3">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spans="2:27" ht="12.75" customHeight="1" x14ac:dyDescent="0.3">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spans="2:27" ht="12.75" customHeight="1" x14ac:dyDescent="0.3">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spans="2:27" ht="12.75" customHeight="1" x14ac:dyDescent="0.3">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spans="2:27" ht="12.75" customHeight="1" x14ac:dyDescent="0.3">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spans="2:27" ht="12.75" customHeight="1" x14ac:dyDescent="0.3">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spans="2:27" ht="12.75" customHeight="1" x14ac:dyDescent="0.3">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spans="2:27" ht="12.75" customHeight="1" x14ac:dyDescent="0.3">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spans="2:27" ht="12.75" customHeight="1" x14ac:dyDescent="0.3">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spans="2:27" ht="12.75" customHeight="1" x14ac:dyDescent="0.3">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spans="2:27" ht="12.75" customHeight="1" x14ac:dyDescent="0.3">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spans="2:27" ht="12.75" customHeight="1" x14ac:dyDescent="0.3">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spans="2:27" ht="12.75" customHeight="1" x14ac:dyDescent="0.3">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spans="2:27" ht="12.75" customHeight="1" x14ac:dyDescent="0.3">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spans="2:27" ht="12.75" customHeight="1" x14ac:dyDescent="0.3">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spans="2:27" ht="12.75" customHeight="1" x14ac:dyDescent="0.3">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spans="2:27" ht="12.75" customHeight="1" x14ac:dyDescent="0.3">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spans="2:27" ht="12.75" customHeight="1" x14ac:dyDescent="0.3">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spans="2:27" ht="12.75" customHeight="1" x14ac:dyDescent="0.3">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spans="2:27" ht="12.75" customHeight="1" x14ac:dyDescent="0.3">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spans="2:27" ht="12.75" customHeight="1" x14ac:dyDescent="0.3">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spans="2:27" ht="12.75" customHeight="1" x14ac:dyDescent="0.3">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spans="2:27" ht="12.75" customHeight="1" x14ac:dyDescent="0.3">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spans="2:27" ht="12.75" customHeight="1" x14ac:dyDescent="0.3">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spans="2:27" ht="12.75" customHeight="1" x14ac:dyDescent="0.3">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spans="2:27" ht="12.75" customHeight="1" x14ac:dyDescent="0.3">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spans="2:27" ht="12.75" customHeight="1" x14ac:dyDescent="0.3">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spans="2:27" ht="12.75" customHeight="1" x14ac:dyDescent="0.3">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spans="2:27" ht="12.75" customHeight="1" x14ac:dyDescent="0.3">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spans="2:27" ht="12.75" customHeight="1" x14ac:dyDescent="0.3">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spans="2:27" ht="12.75" customHeight="1" x14ac:dyDescent="0.3">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spans="2:27" ht="12.75" customHeight="1" x14ac:dyDescent="0.3">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spans="2:27" ht="12.75" customHeight="1" x14ac:dyDescent="0.3">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spans="2:27" ht="12.75" customHeight="1" x14ac:dyDescent="0.3">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spans="2:27" ht="12.75" customHeight="1" x14ac:dyDescent="0.3">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spans="2:27" ht="12.75" customHeight="1" x14ac:dyDescent="0.3">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spans="2:27" ht="12.75" customHeight="1" x14ac:dyDescent="0.3">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spans="2:27" ht="12.75" customHeight="1" x14ac:dyDescent="0.3">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spans="2:27" ht="12.75" customHeight="1" x14ac:dyDescent="0.3">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spans="2:27" ht="12.75" customHeight="1" x14ac:dyDescent="0.3">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spans="2:27" ht="12.75" customHeight="1" x14ac:dyDescent="0.3">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spans="2:27" ht="12.75" customHeight="1" x14ac:dyDescent="0.3">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spans="2:27" ht="12.75" customHeight="1" x14ac:dyDescent="0.3">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spans="2:27" ht="12.75" customHeight="1" x14ac:dyDescent="0.3">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spans="2:27" ht="12.75" customHeight="1" x14ac:dyDescent="0.3">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spans="2:27" ht="12.75" customHeight="1" x14ac:dyDescent="0.3">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spans="2:27" ht="12.75" customHeight="1" x14ac:dyDescent="0.3">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spans="2:27" ht="12.75" customHeight="1" x14ac:dyDescent="0.3">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spans="2:27" ht="12.75" customHeight="1" x14ac:dyDescent="0.3">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spans="2:27" ht="12.75" customHeight="1" x14ac:dyDescent="0.3">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spans="2:27" ht="12.75" customHeight="1" x14ac:dyDescent="0.3">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spans="2:27" ht="12.75" customHeight="1" x14ac:dyDescent="0.3">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spans="2:27" ht="12.75" customHeight="1" x14ac:dyDescent="0.3">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spans="2:27" ht="12.75" customHeight="1" x14ac:dyDescent="0.3">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spans="2:27" ht="12.75" customHeight="1" x14ac:dyDescent="0.3">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spans="2:27" ht="12.75" customHeight="1" x14ac:dyDescent="0.3">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spans="2:27" ht="12.75" customHeight="1" x14ac:dyDescent="0.3">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spans="2:27" ht="12.75" customHeight="1" x14ac:dyDescent="0.3">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spans="2:27" ht="12.75" customHeight="1" x14ac:dyDescent="0.3">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spans="2:27" ht="12.75" customHeight="1" x14ac:dyDescent="0.3">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spans="2:27" ht="12.75" customHeight="1" x14ac:dyDescent="0.3">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spans="2:27" ht="12.75" customHeight="1" x14ac:dyDescent="0.3">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spans="2:27" ht="12.75" customHeight="1" x14ac:dyDescent="0.3">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spans="2:27" ht="12.75" customHeight="1" x14ac:dyDescent="0.3">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spans="2:27" ht="12.75" customHeight="1" x14ac:dyDescent="0.3">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spans="2:27" ht="12.75" customHeight="1" x14ac:dyDescent="0.3">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spans="2:27" ht="12.75" customHeight="1" x14ac:dyDescent="0.3">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spans="2:27" ht="12.75" customHeight="1" x14ac:dyDescent="0.3">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spans="2:27" ht="12.75" customHeight="1" x14ac:dyDescent="0.3">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spans="2:27" ht="12.75" customHeight="1" x14ac:dyDescent="0.3">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spans="2:27" ht="12.75" customHeight="1" x14ac:dyDescent="0.3">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spans="2:27" ht="12.75" customHeight="1" x14ac:dyDescent="0.3">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spans="2:27" ht="12.75" customHeight="1" x14ac:dyDescent="0.3">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spans="2:27" ht="12.75" customHeight="1" x14ac:dyDescent="0.3">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spans="2:27" ht="12.75" customHeight="1" x14ac:dyDescent="0.3">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spans="2:27" ht="12.75" customHeight="1" x14ac:dyDescent="0.3">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spans="2:27" ht="12.75" customHeight="1" x14ac:dyDescent="0.3">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spans="2:27" ht="12.75" customHeight="1" x14ac:dyDescent="0.3">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spans="2:27" ht="12.75" customHeight="1" x14ac:dyDescent="0.3">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spans="2:27" ht="12.75" customHeight="1" x14ac:dyDescent="0.3">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spans="2:27" ht="12.75" customHeight="1" x14ac:dyDescent="0.3">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spans="2:27" ht="12.75" customHeight="1" x14ac:dyDescent="0.3">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spans="2:27" ht="12.75" customHeight="1" x14ac:dyDescent="0.3">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spans="2:27" ht="12.75" customHeight="1" x14ac:dyDescent="0.3">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spans="2:27" ht="12.75" customHeight="1" x14ac:dyDescent="0.3">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spans="2:27" ht="12.75" customHeight="1" x14ac:dyDescent="0.3">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spans="2:27" ht="12.75" customHeight="1" x14ac:dyDescent="0.3">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spans="2:27" ht="12.75" customHeight="1" x14ac:dyDescent="0.3">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spans="2:27" ht="12.75" customHeight="1" x14ac:dyDescent="0.3">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spans="2:27" ht="12.75" customHeight="1" x14ac:dyDescent="0.3">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spans="2:27" ht="12.75" customHeight="1" x14ac:dyDescent="0.3">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spans="2:27" ht="12.75" customHeight="1" x14ac:dyDescent="0.3">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spans="2:27" ht="12.75" customHeight="1" x14ac:dyDescent="0.3">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spans="2:27" ht="12.75" customHeight="1" x14ac:dyDescent="0.3">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spans="2:27" ht="12.75" customHeight="1" x14ac:dyDescent="0.3">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spans="2:27" ht="12.75" customHeight="1" x14ac:dyDescent="0.3">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spans="2:27" ht="12.75" customHeight="1" x14ac:dyDescent="0.3">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spans="2:27" ht="12.75" customHeight="1" x14ac:dyDescent="0.3">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spans="2:27" ht="12.75" customHeight="1" x14ac:dyDescent="0.3">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spans="2:27" ht="12.75" customHeight="1" x14ac:dyDescent="0.3">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spans="2:27" ht="12.75" customHeight="1" x14ac:dyDescent="0.3">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spans="2:27" ht="12.75" customHeight="1" x14ac:dyDescent="0.3">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spans="2:27" ht="12.75" customHeight="1" x14ac:dyDescent="0.3">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spans="2:27" ht="12.75" customHeight="1" x14ac:dyDescent="0.3">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spans="2:27" ht="12.75" customHeight="1" x14ac:dyDescent="0.3">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spans="2:27" ht="12.75" customHeight="1" x14ac:dyDescent="0.3">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spans="2:27" ht="12.75" customHeight="1" x14ac:dyDescent="0.3">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spans="2:27" ht="12.75" customHeight="1" x14ac:dyDescent="0.3">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spans="2:27" ht="12.75" customHeight="1" x14ac:dyDescent="0.3">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spans="2:27" ht="12.75" customHeight="1" x14ac:dyDescent="0.3">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spans="2:27" ht="12.75" customHeight="1" x14ac:dyDescent="0.3">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spans="2:27" ht="12.75" customHeight="1" x14ac:dyDescent="0.3">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spans="2:27" ht="12.75" customHeight="1" x14ac:dyDescent="0.3">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spans="2:27" ht="12.75" customHeight="1" x14ac:dyDescent="0.3">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spans="2:27" ht="12.75" customHeight="1" x14ac:dyDescent="0.3">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spans="2:27" ht="12.75" customHeight="1" x14ac:dyDescent="0.3">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spans="2:27" ht="12.75" customHeight="1" x14ac:dyDescent="0.3">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spans="2:27" ht="12.75" customHeight="1" x14ac:dyDescent="0.3">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spans="2:27" ht="12.75" customHeight="1" x14ac:dyDescent="0.3">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spans="2:27" ht="12.75" customHeight="1" x14ac:dyDescent="0.3">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spans="2:27" ht="12.75" customHeight="1" x14ac:dyDescent="0.3">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spans="2:27" ht="12.75" customHeight="1" x14ac:dyDescent="0.3">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spans="2:27" ht="12.75" customHeight="1" x14ac:dyDescent="0.3">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spans="2:27" ht="12.75" customHeight="1" x14ac:dyDescent="0.3">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spans="2:27" ht="12.75" customHeight="1" x14ac:dyDescent="0.3">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spans="2:27" ht="12.75" customHeight="1" x14ac:dyDescent="0.3">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spans="2:27" ht="12.75" customHeight="1" x14ac:dyDescent="0.3">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spans="2:27" ht="12.75" customHeight="1" x14ac:dyDescent="0.3">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spans="2:27" ht="12.75" customHeight="1" x14ac:dyDescent="0.3">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spans="2:27" ht="12.75" customHeight="1" x14ac:dyDescent="0.3">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spans="2:27" ht="12.75" customHeight="1" x14ac:dyDescent="0.3">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spans="2:27" ht="12.75" customHeight="1" x14ac:dyDescent="0.3">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spans="2:27" ht="12.75" customHeight="1" x14ac:dyDescent="0.3">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spans="2:27" ht="12.75" customHeight="1" x14ac:dyDescent="0.3">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spans="2:27" ht="12.75" customHeight="1" x14ac:dyDescent="0.3">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spans="2:27" ht="12.75" customHeight="1" x14ac:dyDescent="0.3">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spans="2:27" ht="12.75" customHeight="1" x14ac:dyDescent="0.3">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spans="2:27" ht="12.75" customHeight="1" x14ac:dyDescent="0.3">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spans="2:27" ht="12.75" customHeight="1" x14ac:dyDescent="0.3">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spans="2:27" ht="12.75" customHeight="1" x14ac:dyDescent="0.3">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spans="2:27" ht="12.75" customHeight="1" x14ac:dyDescent="0.3">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spans="2:27" ht="12.75" customHeight="1" x14ac:dyDescent="0.3">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spans="2:27" ht="12.75" customHeight="1" x14ac:dyDescent="0.3">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spans="2:27" ht="12.75" customHeight="1" x14ac:dyDescent="0.3">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spans="2:27" ht="12.75" customHeight="1" x14ac:dyDescent="0.3">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spans="2:27" ht="12.75" customHeight="1" x14ac:dyDescent="0.3">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spans="2:27" ht="12.75" customHeight="1" x14ac:dyDescent="0.3">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spans="2:27" ht="12.75" customHeight="1" x14ac:dyDescent="0.3">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spans="2:27" ht="12.75" customHeight="1" x14ac:dyDescent="0.3">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spans="2:27" ht="12.75" customHeight="1" x14ac:dyDescent="0.3">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spans="2:27" ht="12.75" customHeight="1" x14ac:dyDescent="0.3">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spans="2:27" ht="12.75" customHeight="1" x14ac:dyDescent="0.3">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spans="2:27" ht="12.75" customHeight="1" x14ac:dyDescent="0.3">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spans="2:27" ht="12.75" customHeight="1" x14ac:dyDescent="0.3">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spans="2:27" ht="12.75" customHeight="1" x14ac:dyDescent="0.3">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spans="2:27" ht="12.75" customHeight="1" x14ac:dyDescent="0.3">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spans="2:27" ht="12.75" customHeight="1" x14ac:dyDescent="0.3">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spans="2:27" ht="12.75" customHeight="1" x14ac:dyDescent="0.3">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spans="2:27" ht="12.75" customHeight="1" x14ac:dyDescent="0.3">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spans="2:27" ht="12.75" customHeight="1" x14ac:dyDescent="0.3">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spans="2:27" ht="12.75" customHeight="1" x14ac:dyDescent="0.3">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spans="2:27" ht="12.75" customHeight="1" x14ac:dyDescent="0.3">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spans="2:27" ht="12.75" customHeight="1" x14ac:dyDescent="0.3">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spans="2:27" ht="12.75" customHeight="1" x14ac:dyDescent="0.3">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spans="2:27" ht="12.75" customHeight="1" x14ac:dyDescent="0.3">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spans="2:27" ht="12.75" customHeight="1" x14ac:dyDescent="0.3">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spans="2:27" ht="12.75" customHeight="1" x14ac:dyDescent="0.3">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spans="2:27" ht="12.75" customHeight="1" x14ac:dyDescent="0.3">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spans="2:27" ht="12.75" customHeight="1" x14ac:dyDescent="0.3">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spans="2:27" ht="12.75" customHeight="1" x14ac:dyDescent="0.3">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spans="2:27" ht="12.75" customHeight="1" x14ac:dyDescent="0.3">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spans="2:27" ht="12.75" customHeight="1" x14ac:dyDescent="0.3">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spans="2:27" ht="12.75" customHeight="1" x14ac:dyDescent="0.3">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spans="2:27" ht="12.75" customHeight="1" x14ac:dyDescent="0.3">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spans="2:27" ht="12.75" customHeight="1" x14ac:dyDescent="0.3">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spans="2:27" ht="12.75" customHeight="1" x14ac:dyDescent="0.3">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spans="2:27" ht="12.75" customHeight="1" x14ac:dyDescent="0.3">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spans="2:27" ht="12.75" customHeight="1" x14ac:dyDescent="0.3">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spans="2:27" ht="12.75" customHeight="1" x14ac:dyDescent="0.3">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spans="2:27" ht="12.75" customHeight="1" x14ac:dyDescent="0.3">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spans="2:27" ht="12.75" customHeight="1" x14ac:dyDescent="0.3">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spans="2:27" ht="12.75" customHeight="1" x14ac:dyDescent="0.3">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spans="2:27" ht="12.75" customHeight="1" x14ac:dyDescent="0.3">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spans="2:27" ht="12.75" customHeight="1" x14ac:dyDescent="0.3">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spans="2:27" ht="12.75" customHeight="1" x14ac:dyDescent="0.3">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spans="2:27" ht="12.75" customHeight="1" x14ac:dyDescent="0.3">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spans="2:27" ht="12.75" customHeight="1" x14ac:dyDescent="0.3">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spans="2:27" ht="12.75" customHeight="1" x14ac:dyDescent="0.3">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spans="2:27" ht="12.75" customHeight="1" x14ac:dyDescent="0.3">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spans="2:27" ht="12.75" customHeight="1" x14ac:dyDescent="0.3">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spans="2:27" ht="12.75" customHeight="1" x14ac:dyDescent="0.3">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spans="2:27" ht="12.75" customHeight="1" x14ac:dyDescent="0.3">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spans="2:27" ht="12.75" customHeight="1" x14ac:dyDescent="0.3">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spans="2:27" ht="12.75" customHeight="1" x14ac:dyDescent="0.3">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spans="2:27" ht="12.75" customHeight="1" x14ac:dyDescent="0.3">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spans="2:27" ht="12.75" customHeight="1" x14ac:dyDescent="0.3">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spans="2:27" ht="12.75" customHeight="1" x14ac:dyDescent="0.3">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spans="2:27" ht="12.75" customHeight="1" x14ac:dyDescent="0.3">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spans="2:27" ht="12.75" customHeight="1" x14ac:dyDescent="0.3">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spans="2:27" ht="12.75" customHeight="1" x14ac:dyDescent="0.3">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spans="2:27" ht="12.75" customHeight="1" x14ac:dyDescent="0.3">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spans="2:27" ht="12.75" customHeight="1" x14ac:dyDescent="0.3">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spans="2:27" ht="12.75" customHeight="1" x14ac:dyDescent="0.3">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spans="2:27" ht="12.75" customHeight="1" x14ac:dyDescent="0.3">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spans="2:27" ht="12.75" customHeight="1" x14ac:dyDescent="0.3">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spans="2:27" ht="12.75" customHeight="1" x14ac:dyDescent="0.3">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spans="2:27" ht="12.75" customHeight="1" x14ac:dyDescent="0.3">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spans="2:27" ht="12.75" customHeight="1" x14ac:dyDescent="0.3">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spans="2:27" ht="12.75" customHeight="1" x14ac:dyDescent="0.3">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spans="2:27" ht="12.75" customHeight="1" x14ac:dyDescent="0.3">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spans="2:27" ht="12.75" customHeight="1" x14ac:dyDescent="0.3">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spans="2:27" ht="12.75" customHeight="1" x14ac:dyDescent="0.3">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spans="2:27" ht="12.75" customHeight="1" x14ac:dyDescent="0.3">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spans="2:27" ht="12.75" customHeight="1" x14ac:dyDescent="0.3">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spans="2:27" ht="12.75" customHeight="1" x14ac:dyDescent="0.3">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spans="2:27" ht="12.75" customHeight="1" x14ac:dyDescent="0.3">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spans="2:27" ht="12.75" customHeight="1" x14ac:dyDescent="0.3">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spans="2:27" ht="12.75" customHeight="1" x14ac:dyDescent="0.3">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spans="2:27" ht="12.75" customHeight="1" x14ac:dyDescent="0.3">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spans="2:27" ht="12.75" customHeight="1" x14ac:dyDescent="0.3">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spans="2:27" ht="12.75" customHeight="1" x14ac:dyDescent="0.3">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spans="2:27" ht="12.75" customHeight="1" x14ac:dyDescent="0.3">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spans="2:27" ht="12.75" customHeight="1" x14ac:dyDescent="0.3">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spans="2:27" ht="12.75" customHeight="1" x14ac:dyDescent="0.3">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spans="2:27" ht="12.75" customHeight="1" x14ac:dyDescent="0.3">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spans="2:27" ht="12.75" customHeight="1" x14ac:dyDescent="0.3">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spans="2:27" ht="12.75" customHeight="1" x14ac:dyDescent="0.3">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spans="2:27" ht="12.75" customHeight="1" x14ac:dyDescent="0.3">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spans="2:27" ht="12.75" customHeight="1" x14ac:dyDescent="0.3">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spans="2:27" ht="12.75" customHeight="1" x14ac:dyDescent="0.3">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spans="2:27" ht="12.75" customHeight="1" x14ac:dyDescent="0.3">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spans="2:27" ht="12.75" customHeight="1" x14ac:dyDescent="0.3">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spans="2:27" ht="12.75" customHeight="1" x14ac:dyDescent="0.3">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spans="2:27" ht="12.75" customHeight="1" x14ac:dyDescent="0.3">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spans="2:27" ht="12.75" customHeight="1" x14ac:dyDescent="0.3">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spans="2:27" ht="12.75" customHeight="1" x14ac:dyDescent="0.3">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spans="2:27" ht="12.75" customHeight="1" x14ac:dyDescent="0.3">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spans="2:27" ht="12.75" customHeight="1" x14ac:dyDescent="0.3">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spans="2:27" ht="12.75" customHeight="1" x14ac:dyDescent="0.3">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spans="2:27" ht="12.75" customHeight="1" x14ac:dyDescent="0.3">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spans="2:27" ht="12.75" customHeight="1" x14ac:dyDescent="0.3">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spans="2:27" ht="12.75" customHeight="1" x14ac:dyDescent="0.3">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spans="2:27" ht="12.75" customHeight="1" x14ac:dyDescent="0.3">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spans="2:27" ht="12.75" customHeight="1" x14ac:dyDescent="0.3">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spans="2:27" ht="12.75" customHeight="1" x14ac:dyDescent="0.3">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spans="2:27" ht="12.75" customHeight="1" x14ac:dyDescent="0.3">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spans="2:27" ht="12.75" customHeight="1" x14ac:dyDescent="0.3">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spans="2:27" ht="12.75" customHeight="1" x14ac:dyDescent="0.3">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spans="2:27" ht="12.75" customHeight="1" x14ac:dyDescent="0.3">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spans="2:27" ht="12.75" customHeight="1" x14ac:dyDescent="0.3">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spans="2:27" ht="12.75" customHeight="1" x14ac:dyDescent="0.3">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spans="2:27" ht="12.75" customHeight="1" x14ac:dyDescent="0.3">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spans="2:27" ht="12.75" customHeight="1" x14ac:dyDescent="0.3">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spans="2:27" ht="12.75" customHeight="1" x14ac:dyDescent="0.3">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spans="2:27" ht="12.75" customHeight="1" x14ac:dyDescent="0.3">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spans="2:27" ht="12.75" customHeight="1" x14ac:dyDescent="0.3">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spans="2:27" ht="12.75" customHeight="1" x14ac:dyDescent="0.3">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spans="2:27" ht="12.75" customHeight="1" x14ac:dyDescent="0.3">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spans="2:27" ht="12.75" customHeight="1" x14ac:dyDescent="0.3">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spans="2:27" ht="12.75" customHeight="1" x14ac:dyDescent="0.3">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spans="2:27" ht="12.75" customHeight="1" x14ac:dyDescent="0.3">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spans="2:27" ht="12.75" customHeight="1" x14ac:dyDescent="0.3">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spans="2:27" ht="12.75" customHeight="1" x14ac:dyDescent="0.3">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spans="2:27" ht="12.75" customHeight="1" x14ac:dyDescent="0.3">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spans="2:27" ht="12.75" customHeight="1" x14ac:dyDescent="0.3">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spans="2:27" ht="12.75" customHeight="1" x14ac:dyDescent="0.3">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spans="2:27" ht="12.75" customHeight="1" x14ac:dyDescent="0.3">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spans="2:27" ht="12.75" customHeight="1" x14ac:dyDescent="0.3">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spans="2:27" ht="12.75" customHeight="1" x14ac:dyDescent="0.3">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spans="2:27" ht="12.75" customHeight="1" x14ac:dyDescent="0.3">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spans="2:27" ht="12.75" customHeight="1" x14ac:dyDescent="0.3">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spans="2:27" ht="12.75" customHeight="1" x14ac:dyDescent="0.3">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spans="2:27" ht="12.75" customHeight="1" x14ac:dyDescent="0.3">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spans="2:27" ht="12.75" customHeight="1" x14ac:dyDescent="0.3">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spans="2:27" ht="12.75" customHeight="1" x14ac:dyDescent="0.3">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spans="2:27" ht="12.75" customHeight="1" x14ac:dyDescent="0.3">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spans="2:27" ht="12.75" customHeight="1" x14ac:dyDescent="0.3">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spans="2:27" ht="12.75" customHeight="1" x14ac:dyDescent="0.3">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spans="2:27" ht="12.75" customHeight="1" x14ac:dyDescent="0.3">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spans="2:27" ht="12.75" customHeight="1" x14ac:dyDescent="0.3">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spans="2:27" ht="12.75" customHeight="1" x14ac:dyDescent="0.3">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spans="2:27" ht="12.75" customHeight="1" x14ac:dyDescent="0.3">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spans="2:27" ht="12.75" customHeight="1" x14ac:dyDescent="0.3">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spans="2:27" ht="12.75" customHeight="1" x14ac:dyDescent="0.3">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spans="2:27" ht="12.75" customHeight="1" x14ac:dyDescent="0.3">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spans="2:27" ht="12.75" customHeight="1" x14ac:dyDescent="0.3">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spans="2:27" ht="12.75" customHeight="1" x14ac:dyDescent="0.3">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spans="2:27" ht="12.75" customHeight="1" x14ac:dyDescent="0.3">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spans="2:27" ht="12.75" customHeight="1" x14ac:dyDescent="0.3">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spans="2:27" ht="12.75" customHeight="1" x14ac:dyDescent="0.3">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spans="2:27" ht="12.75" customHeight="1" x14ac:dyDescent="0.3">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spans="2:27" ht="12.75" customHeight="1" x14ac:dyDescent="0.3">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spans="2:27" ht="12.75" customHeight="1" x14ac:dyDescent="0.3">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spans="2:27" ht="12.75" customHeight="1" x14ac:dyDescent="0.3">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spans="2:27" ht="12.75" customHeight="1" x14ac:dyDescent="0.3">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spans="2:27" ht="12.75" customHeight="1" x14ac:dyDescent="0.3">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spans="2:27" ht="12.75" customHeight="1" x14ac:dyDescent="0.3">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spans="2:27" ht="12.75" customHeight="1" x14ac:dyDescent="0.3">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spans="2:27" ht="12.75" customHeight="1" x14ac:dyDescent="0.3">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spans="2:27" ht="12.75" customHeight="1" x14ac:dyDescent="0.3">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spans="2:27" ht="12.75" customHeight="1" x14ac:dyDescent="0.3">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spans="2:27" ht="12.75" customHeight="1" x14ac:dyDescent="0.3">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spans="2:27" ht="12.75" customHeight="1" x14ac:dyDescent="0.3">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spans="2:27" ht="12.75" customHeight="1" x14ac:dyDescent="0.3">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spans="2:27" ht="12.75" customHeight="1" x14ac:dyDescent="0.3">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spans="2:27" ht="12.75" customHeight="1" x14ac:dyDescent="0.3">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spans="2:27" ht="12.75" customHeight="1" x14ac:dyDescent="0.3">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spans="2:27" ht="12.75" customHeight="1" x14ac:dyDescent="0.3">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spans="2:27" ht="12.75" customHeight="1" x14ac:dyDescent="0.3">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spans="2:27" ht="12.75" customHeight="1" x14ac:dyDescent="0.3">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spans="2:27" ht="12.75" customHeight="1" x14ac:dyDescent="0.3">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spans="2:27" ht="12.75" customHeight="1" x14ac:dyDescent="0.3">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spans="2:27" ht="12.75" customHeight="1" x14ac:dyDescent="0.3">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spans="2:27" ht="12.75" customHeight="1" x14ac:dyDescent="0.3">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spans="2:27" ht="12.75" customHeight="1" x14ac:dyDescent="0.3">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spans="2:27" ht="12.75" customHeight="1" x14ac:dyDescent="0.3">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spans="2:27" ht="12.75" customHeight="1" x14ac:dyDescent="0.3">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spans="2:27" ht="12.75" customHeight="1" x14ac:dyDescent="0.3">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spans="2:27" ht="12.75" customHeight="1" x14ac:dyDescent="0.3">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spans="2:27" ht="12.75" customHeight="1" x14ac:dyDescent="0.3">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spans="2:27" ht="12.75" customHeight="1" x14ac:dyDescent="0.3">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spans="2:27" ht="12.75" customHeight="1" x14ac:dyDescent="0.3">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spans="2:27" ht="12.75" customHeight="1" x14ac:dyDescent="0.3">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spans="2:27" ht="12.75" customHeight="1" x14ac:dyDescent="0.3">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spans="2:27" ht="12.75" customHeight="1" x14ac:dyDescent="0.3">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spans="2:27" ht="12.75" customHeight="1" x14ac:dyDescent="0.3">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spans="2:27" ht="12.75" customHeight="1" x14ac:dyDescent="0.3">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spans="2:27" ht="12.75" customHeight="1" x14ac:dyDescent="0.3">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spans="2:27" ht="12.75" customHeight="1" x14ac:dyDescent="0.3">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spans="2:27" ht="12.75" customHeight="1" x14ac:dyDescent="0.3">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spans="2:27" ht="12.75" customHeight="1" x14ac:dyDescent="0.3">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spans="2:27" ht="12.75" customHeight="1" x14ac:dyDescent="0.3">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spans="2:27" ht="12.75" customHeight="1" x14ac:dyDescent="0.3">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spans="2:27" ht="12.75" customHeight="1" x14ac:dyDescent="0.3">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spans="2:27" ht="12.75" customHeight="1" x14ac:dyDescent="0.3">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spans="2:27" ht="12.75" customHeight="1" x14ac:dyDescent="0.3">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spans="2:27" ht="12.75" customHeight="1" x14ac:dyDescent="0.3">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spans="2:27" ht="12.75" customHeight="1" x14ac:dyDescent="0.3">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spans="2:27" ht="12.75" customHeight="1" x14ac:dyDescent="0.3">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spans="2:27" ht="12.75" customHeight="1" x14ac:dyDescent="0.3">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spans="2:27" ht="12.75" customHeight="1" x14ac:dyDescent="0.3">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spans="2:27" ht="12.75" customHeight="1" x14ac:dyDescent="0.3">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spans="2:27" ht="12.75" customHeight="1" x14ac:dyDescent="0.3">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spans="2:27" ht="12.75" customHeight="1" x14ac:dyDescent="0.3">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spans="2:27" ht="12.75" customHeight="1" x14ac:dyDescent="0.3">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spans="2:27" ht="12.75" customHeight="1" x14ac:dyDescent="0.3">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spans="2:27" ht="12.75" customHeight="1" x14ac:dyDescent="0.3">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spans="2:27" ht="12.75" customHeight="1" x14ac:dyDescent="0.3">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spans="2:27" ht="12.75" customHeight="1" x14ac:dyDescent="0.3">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spans="2:27" ht="12.75" customHeight="1" x14ac:dyDescent="0.3">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spans="2:27" ht="12.75" customHeight="1" x14ac:dyDescent="0.3">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spans="2:27" ht="12.75" customHeight="1" x14ac:dyDescent="0.3">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spans="2:27" ht="12.75" customHeight="1" x14ac:dyDescent="0.3">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spans="2:27" ht="12.75" customHeight="1" x14ac:dyDescent="0.3">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spans="2:27" ht="12.75" customHeight="1" x14ac:dyDescent="0.3">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spans="2:27" ht="12.75" customHeight="1" x14ac:dyDescent="0.3">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spans="2:27" ht="12.75" customHeight="1" x14ac:dyDescent="0.3">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spans="2:27" ht="12.75" customHeight="1" x14ac:dyDescent="0.3">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spans="2:27" ht="12.75" customHeight="1" x14ac:dyDescent="0.3">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spans="2:27" ht="12.75" customHeight="1" x14ac:dyDescent="0.3">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spans="2:27" ht="12.75" customHeight="1" x14ac:dyDescent="0.3">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spans="2:27" ht="12.75" customHeight="1" x14ac:dyDescent="0.3">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spans="2:27" ht="12.75" customHeight="1" x14ac:dyDescent="0.3">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spans="2:27" ht="12.75" customHeight="1" x14ac:dyDescent="0.3">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spans="2:27" ht="12.75" customHeight="1" x14ac:dyDescent="0.3">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spans="2:27" ht="12.75" customHeight="1" x14ac:dyDescent="0.3">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spans="2:27" ht="12.75" customHeight="1" x14ac:dyDescent="0.3">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spans="2:27" ht="12.75" customHeight="1" x14ac:dyDescent="0.3">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spans="2:27" ht="12.75" customHeight="1" x14ac:dyDescent="0.3">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spans="2:27" ht="12.75" customHeight="1" x14ac:dyDescent="0.3">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spans="2:27" ht="12.75" customHeight="1" x14ac:dyDescent="0.3">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spans="2:27" ht="12.75" customHeight="1" x14ac:dyDescent="0.3">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spans="2:27" ht="12.75" customHeight="1" x14ac:dyDescent="0.3">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spans="2:27" ht="12.75" customHeight="1" x14ac:dyDescent="0.3">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spans="2:27" ht="12.75" customHeight="1" x14ac:dyDescent="0.3">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spans="2:27" ht="12.75" customHeight="1" x14ac:dyDescent="0.3">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spans="2:27" ht="12.75" customHeight="1" x14ac:dyDescent="0.3">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spans="2:27" ht="12.75" customHeight="1" x14ac:dyDescent="0.3">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spans="2:27" ht="12.75" customHeight="1" x14ac:dyDescent="0.3">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spans="2:27" ht="12.75" customHeight="1" x14ac:dyDescent="0.3">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spans="2:27" ht="12.75" customHeight="1" x14ac:dyDescent="0.3">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spans="2:27" ht="12.75" customHeight="1" x14ac:dyDescent="0.3">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spans="2:27" ht="12.75" customHeight="1" x14ac:dyDescent="0.3">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spans="2:27" ht="12.75" customHeight="1" x14ac:dyDescent="0.3">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spans="2:27" ht="12.75" customHeight="1" x14ac:dyDescent="0.3">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spans="2:27" ht="12.75" customHeight="1" x14ac:dyDescent="0.3">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spans="2:27" ht="12.75" customHeight="1" x14ac:dyDescent="0.3">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spans="2:27" ht="12.75" customHeight="1" x14ac:dyDescent="0.3">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spans="2:27" ht="12.75" customHeight="1" x14ac:dyDescent="0.3">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spans="2:27" ht="12.75" customHeight="1" x14ac:dyDescent="0.3">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spans="2:27" ht="12.75" customHeight="1" x14ac:dyDescent="0.3">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spans="2:27" ht="12.75" customHeight="1" x14ac:dyDescent="0.3">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spans="2:27" ht="12.75" customHeight="1" x14ac:dyDescent="0.3">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spans="2:27" ht="12.75" customHeight="1" x14ac:dyDescent="0.3">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spans="2:27" ht="12.75" customHeight="1" x14ac:dyDescent="0.3">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spans="2:27" ht="12.75" customHeight="1" x14ac:dyDescent="0.3">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spans="2:27" ht="12.75" customHeight="1" x14ac:dyDescent="0.3">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spans="2:27" ht="12.75" customHeight="1" x14ac:dyDescent="0.3">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spans="2:27" ht="12.75" customHeight="1" x14ac:dyDescent="0.3">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spans="2:27" ht="12.75" customHeight="1" x14ac:dyDescent="0.3">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spans="2:27" ht="12.75" customHeight="1" x14ac:dyDescent="0.3">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spans="2:27" ht="12.75" customHeight="1" x14ac:dyDescent="0.3">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spans="2:27" ht="12.75" customHeight="1" x14ac:dyDescent="0.3">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spans="2:27" ht="12.75" customHeight="1" x14ac:dyDescent="0.3">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spans="2:27" ht="12.75" customHeight="1" x14ac:dyDescent="0.3">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spans="2:27" ht="12.75" customHeight="1" x14ac:dyDescent="0.3">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spans="2:27" ht="12.75" customHeight="1" x14ac:dyDescent="0.3">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spans="2:27" ht="12.75" customHeight="1" x14ac:dyDescent="0.3">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spans="2:27" ht="12.75" customHeight="1" x14ac:dyDescent="0.3">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spans="2:27" ht="12.75" customHeight="1" x14ac:dyDescent="0.3">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spans="2:27" ht="12.75" customHeight="1" x14ac:dyDescent="0.3">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spans="2:27" ht="12.75" customHeight="1" x14ac:dyDescent="0.3">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spans="2:27" ht="12.75" customHeight="1" x14ac:dyDescent="0.3">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spans="2:27" ht="12.75" customHeight="1" x14ac:dyDescent="0.3">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spans="2:27" ht="12.75" customHeight="1" x14ac:dyDescent="0.3">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spans="2:27" ht="12.75" customHeight="1" x14ac:dyDescent="0.3">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spans="2:27" ht="12.75" customHeight="1" x14ac:dyDescent="0.3">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spans="2:27" ht="12.75" customHeight="1" x14ac:dyDescent="0.3">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spans="2:27" ht="12.75" customHeight="1" x14ac:dyDescent="0.3">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spans="2:27" ht="12.75" customHeight="1" x14ac:dyDescent="0.3">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spans="2:27" ht="12.75" customHeight="1" x14ac:dyDescent="0.3">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spans="2:27" ht="12.75" customHeight="1" x14ac:dyDescent="0.3">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spans="2:27" ht="12.75" customHeight="1" x14ac:dyDescent="0.3">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spans="2:27" ht="12.75" customHeight="1" x14ac:dyDescent="0.3">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spans="2:27" ht="12.75" customHeight="1" x14ac:dyDescent="0.3">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spans="2:27" ht="12.75" customHeight="1" x14ac:dyDescent="0.3">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spans="2:27" ht="12.75" customHeight="1" x14ac:dyDescent="0.3">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spans="2:27" ht="12.75" customHeight="1" x14ac:dyDescent="0.3">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spans="2:27" ht="12.75" customHeight="1" x14ac:dyDescent="0.3">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spans="2:27" ht="12.75" customHeight="1" x14ac:dyDescent="0.3">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spans="2:27" ht="12.75" customHeight="1" x14ac:dyDescent="0.3">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spans="2:27" ht="12.75" customHeight="1" x14ac:dyDescent="0.3">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spans="2:27" ht="12.75" customHeight="1" x14ac:dyDescent="0.3">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spans="2:27" ht="12.75" customHeight="1" x14ac:dyDescent="0.3">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spans="2:27" ht="12.75" customHeight="1" x14ac:dyDescent="0.3">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spans="2:27" ht="12.75" customHeight="1" x14ac:dyDescent="0.3">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spans="2:27" ht="12.75" customHeight="1" x14ac:dyDescent="0.3">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spans="2:27" ht="12.75" customHeight="1" x14ac:dyDescent="0.3">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spans="2:27" ht="12.75" customHeight="1" x14ac:dyDescent="0.3">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spans="2:27" ht="12.75" customHeight="1" x14ac:dyDescent="0.3">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spans="2:27" ht="12.75" customHeight="1" x14ac:dyDescent="0.3">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spans="2:27" ht="12.75" customHeight="1" x14ac:dyDescent="0.3">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spans="2:27" ht="12.75" customHeight="1" x14ac:dyDescent="0.3">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spans="2:27" ht="12.75" customHeight="1" x14ac:dyDescent="0.3">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spans="2:27" ht="12.75" customHeight="1" x14ac:dyDescent="0.3">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spans="2:27" ht="12.75" customHeight="1" x14ac:dyDescent="0.3">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spans="2:27" ht="12.75" customHeight="1" x14ac:dyDescent="0.3">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spans="2:27" ht="12.75" customHeight="1" x14ac:dyDescent="0.3">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spans="2:27" ht="12.75" customHeight="1" x14ac:dyDescent="0.3">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spans="2:27" ht="12.75" customHeight="1" x14ac:dyDescent="0.3">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spans="2:27" ht="12.75" customHeight="1" x14ac:dyDescent="0.3">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spans="2:27" ht="12.75" customHeight="1" x14ac:dyDescent="0.3">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spans="2:27" ht="12.75" customHeight="1" x14ac:dyDescent="0.3">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spans="2:27" ht="12.75" customHeight="1" x14ac:dyDescent="0.3">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spans="2:27" ht="12.75" customHeight="1" x14ac:dyDescent="0.3">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spans="2:27" ht="12.75" customHeight="1" x14ac:dyDescent="0.3">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spans="2:27" ht="12.75" customHeight="1" x14ac:dyDescent="0.3">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spans="2:27" ht="12.75" customHeight="1" x14ac:dyDescent="0.3">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spans="2:27" ht="12.75" customHeight="1" x14ac:dyDescent="0.3">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spans="2:27" ht="12.75" customHeight="1" x14ac:dyDescent="0.3">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spans="2:27" ht="12.75" customHeight="1" x14ac:dyDescent="0.3">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spans="2:27" ht="12.75" customHeight="1" x14ac:dyDescent="0.3">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spans="2:27" ht="12.75" customHeight="1" x14ac:dyDescent="0.3">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spans="2:27" ht="12.75" customHeight="1" x14ac:dyDescent="0.3">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spans="2:27" ht="12.75" customHeight="1" x14ac:dyDescent="0.3">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row r="991" spans="2:27" ht="12.75" customHeight="1" x14ac:dyDescent="0.3">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row>
    <row r="992" spans="2:27" ht="12.75" customHeight="1" x14ac:dyDescent="0.3">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row>
    <row r="993" spans="2:27" ht="12.75" customHeight="1" x14ac:dyDescent="0.3">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row>
    <row r="994" spans="2:27" ht="12.75" customHeight="1" x14ac:dyDescent="0.3">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row>
    <row r="995" spans="2:27" ht="12.75" customHeight="1" x14ac:dyDescent="0.3">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row>
    <row r="996" spans="2:27" ht="12.75" customHeight="1" x14ac:dyDescent="0.3">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row>
    <row r="997" spans="2:27" ht="12.75" customHeight="1" x14ac:dyDescent="0.3">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row>
    <row r="998" spans="2:27" ht="12.75" customHeight="1" x14ac:dyDescent="0.3">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row>
  </sheetData>
  <mergeCells count="2">
    <mergeCell ref="B5:E8"/>
    <mergeCell ref="B3:E3"/>
  </mergeCells>
  <hyperlinks>
    <hyperlink ref="C20" r:id="rId1" xr:uid="{2A6BDC53-7E77-479C-A584-30EE380F4631}"/>
  </hyperlinks>
  <printOptions horizontalCentered="1"/>
  <pageMargins left="0.25" right="0.25" top="0.5" bottom="0.5" header="0" footer="0"/>
  <pageSetup orientation="landscape"/>
  <headerFooter>
    <oddHeader>&amp;CIRS Office of Safeguards SCSEM</oddHeader>
    <oddFooter>&amp;L&amp;F&amp;RPage &amp;P of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U87"/>
  <sheetViews>
    <sheetView showGridLines="0" tabSelected="1" zoomScaleNormal="100" workbookViewId="0">
      <selection activeCell="H7" sqref="H7"/>
    </sheetView>
  </sheetViews>
  <sheetFormatPr defaultColWidth="9.109375" defaultRowHeight="12" x14ac:dyDescent="0.25"/>
  <cols>
    <col min="1" max="1" width="1.44140625" style="131" customWidth="1"/>
    <col min="2" max="2" width="19.44140625" style="131" customWidth="1"/>
    <col min="3" max="3" width="9.109375" style="131" customWidth="1"/>
    <col min="4" max="4" width="15.88671875" style="131" customWidth="1"/>
    <col min="5" max="5" width="3.5546875" style="131" customWidth="1"/>
    <col min="6" max="6" width="1.6640625" style="131" customWidth="1"/>
    <col min="7" max="8" width="14.88671875" style="131" customWidth="1"/>
    <col min="9" max="10" width="1.6640625" style="131" customWidth="1"/>
    <col min="11" max="12" width="14.88671875" style="131" customWidth="1"/>
    <col min="13" max="14" width="1.6640625" style="131" customWidth="1"/>
    <col min="15" max="16" width="14.88671875" style="131" customWidth="1"/>
    <col min="17" max="18" width="1.88671875" style="131" customWidth="1"/>
    <col min="19" max="20" width="14.88671875" style="131" customWidth="1"/>
    <col min="21" max="21" width="1.6640625" style="131" customWidth="1"/>
    <col min="22" max="16384" width="9.109375" style="131"/>
  </cols>
  <sheetData>
    <row r="1" spans="2:21" ht="8.1" customHeight="1" thickBot="1" x14ac:dyDescent="0.3"/>
    <row r="2" spans="2:21" ht="23.4" customHeight="1" thickTop="1" thickBot="1" x14ac:dyDescent="0.3">
      <c r="B2" s="162" t="s">
        <v>21</v>
      </c>
      <c r="C2" s="274" t="s">
        <v>1257</v>
      </c>
      <c r="D2" s="275"/>
      <c r="F2" s="265" t="s">
        <v>688</v>
      </c>
      <c r="G2" s="266"/>
      <c r="H2" s="266"/>
      <c r="I2" s="266"/>
      <c r="J2" s="266"/>
      <c r="K2" s="266"/>
      <c r="L2" s="266"/>
      <c r="M2" s="266"/>
      <c r="N2" s="266"/>
      <c r="O2" s="266"/>
      <c r="P2" s="266"/>
      <c r="Q2" s="266"/>
      <c r="R2" s="266"/>
      <c r="S2" s="266"/>
      <c r="T2" s="266"/>
      <c r="U2" s="267"/>
    </row>
    <row r="3" spans="2:21" s="133" customFormat="1" ht="23.4" customHeight="1" thickBot="1" x14ac:dyDescent="0.3">
      <c r="B3" s="163" t="s">
        <v>22</v>
      </c>
      <c r="C3" s="276" t="s">
        <v>12</v>
      </c>
      <c r="D3" s="277"/>
      <c r="E3" s="132"/>
      <c r="F3" s="278" t="s">
        <v>107</v>
      </c>
      <c r="G3" s="279"/>
      <c r="H3" s="279"/>
      <c r="I3" s="280"/>
      <c r="J3" s="290" t="s">
        <v>108</v>
      </c>
      <c r="K3" s="291"/>
      <c r="L3" s="291"/>
      <c r="M3" s="292"/>
      <c r="N3" s="293" t="s">
        <v>109</v>
      </c>
      <c r="O3" s="294"/>
      <c r="P3" s="294"/>
      <c r="Q3" s="295"/>
      <c r="R3" s="262" t="s">
        <v>110</v>
      </c>
      <c r="S3" s="263"/>
      <c r="T3" s="263"/>
      <c r="U3" s="264"/>
    </row>
    <row r="4" spans="2:21" s="133" customFormat="1" ht="23.4" customHeight="1" thickBot="1" x14ac:dyDescent="0.3">
      <c r="B4" s="164" t="s">
        <v>23</v>
      </c>
      <c r="C4" s="285" t="s">
        <v>1258</v>
      </c>
      <c r="D4" s="286"/>
      <c r="E4" s="132"/>
      <c r="F4" s="134"/>
      <c r="G4" s="135"/>
      <c r="H4" s="135"/>
      <c r="I4" s="136"/>
      <c r="J4" s="134"/>
      <c r="K4" s="135"/>
      <c r="L4" s="135"/>
      <c r="M4" s="136"/>
      <c r="N4" s="150"/>
      <c r="O4" s="150"/>
      <c r="P4" s="150"/>
      <c r="Q4" s="136"/>
      <c r="R4" s="153"/>
      <c r="S4" s="154"/>
      <c r="T4" s="154"/>
      <c r="U4" s="155"/>
    </row>
    <row r="5" spans="2:21" s="133" customFormat="1" ht="23.4" customHeight="1" thickTop="1" thickBot="1" x14ac:dyDescent="0.3">
      <c r="E5" s="132"/>
      <c r="F5" s="134"/>
      <c r="G5" s="281" t="s">
        <v>24</v>
      </c>
      <c r="H5" s="282"/>
      <c r="I5" s="136"/>
      <c r="J5" s="134"/>
      <c r="K5" s="283" t="s">
        <v>115</v>
      </c>
      <c r="L5" s="284"/>
      <c r="M5" s="136"/>
      <c r="N5" s="150"/>
      <c r="O5" s="270" t="s">
        <v>32</v>
      </c>
      <c r="P5" s="271"/>
      <c r="Q5" s="136"/>
      <c r="R5" s="134"/>
      <c r="S5" s="272" t="s">
        <v>40</v>
      </c>
      <c r="T5" s="273"/>
      <c r="U5" s="136"/>
    </row>
    <row r="6" spans="2:21" ht="23.4" customHeight="1" thickBot="1" x14ac:dyDescent="0.3">
      <c r="B6" s="287" t="s">
        <v>25</v>
      </c>
      <c r="C6" s="288"/>
      <c r="D6" s="289"/>
      <c r="E6" s="132"/>
      <c r="F6" s="134"/>
      <c r="G6" s="157" t="s">
        <v>38</v>
      </c>
      <c r="H6" s="158" t="s">
        <v>26</v>
      </c>
      <c r="I6" s="136"/>
      <c r="J6" s="134"/>
      <c r="K6" s="157" t="s">
        <v>38</v>
      </c>
      <c r="L6" s="158" t="s">
        <v>26</v>
      </c>
      <c r="M6" s="136"/>
      <c r="N6" s="150"/>
      <c r="O6" s="157" t="s">
        <v>38</v>
      </c>
      <c r="P6" s="158" t="s">
        <v>26</v>
      </c>
      <c r="Q6" s="136"/>
      <c r="R6" s="134"/>
      <c r="S6" s="157" t="s">
        <v>38</v>
      </c>
      <c r="T6" s="158" t="s">
        <v>26</v>
      </c>
      <c r="U6" s="136"/>
    </row>
    <row r="7" spans="2:21" s="133" customFormat="1" ht="23.4" customHeight="1" thickBot="1" x14ac:dyDescent="0.3">
      <c r="B7" s="161" t="s">
        <v>689</v>
      </c>
      <c r="C7" s="268">
        <f>COUNTA(CtrlSummary!B2:B9764)</f>
        <v>110</v>
      </c>
      <c r="D7" s="269"/>
      <c r="E7" s="132"/>
      <c r="F7" s="134"/>
      <c r="G7" s="139" t="s">
        <v>111</v>
      </c>
      <c r="H7" s="140">
        <f>COUNTIFS(CtrlSummary!A:A,"AC",CtrlSummary!F:F,"MET")</f>
        <v>22</v>
      </c>
      <c r="I7" s="136"/>
      <c r="J7" s="134"/>
      <c r="K7" s="248" t="s">
        <v>111</v>
      </c>
      <c r="L7" s="249">
        <f>COUNTIFS(CtrlSummary!A:A,"AT",CtrlSummary!F:F,"MET")</f>
        <v>3</v>
      </c>
      <c r="M7" s="136"/>
      <c r="N7" s="150"/>
      <c r="O7" s="248" t="s">
        <v>111</v>
      </c>
      <c r="P7" s="249">
        <f>COUNTIFS(CtrlSummary!A:A,"CM",CtrlSummary!F:F,"MET")</f>
        <v>9</v>
      </c>
      <c r="Q7" s="136"/>
      <c r="R7" s="134"/>
      <c r="S7" s="248" t="s">
        <v>111</v>
      </c>
      <c r="T7" s="249">
        <f>COUNTIFS(CtrlSummary!A:A,"IR",CtrlSummary!F:F,"MET")</f>
        <v>3</v>
      </c>
      <c r="U7" s="136"/>
    </row>
    <row r="8" spans="2:21" s="133" customFormat="1" ht="23.4" customHeight="1" x14ac:dyDescent="0.25">
      <c r="B8" s="159" t="s">
        <v>27</v>
      </c>
      <c r="C8" s="160" t="s">
        <v>26</v>
      </c>
      <c r="D8" s="167" t="s">
        <v>28</v>
      </c>
      <c r="E8" s="132"/>
      <c r="F8" s="134"/>
      <c r="G8" s="142" t="s">
        <v>112</v>
      </c>
      <c r="H8" s="143">
        <f>COUNTIFS(CtrlSummary!A:A,"AC",CtrlSummary!F:F,"NOT MET")</f>
        <v>0</v>
      </c>
      <c r="I8" s="136"/>
      <c r="J8" s="134"/>
      <c r="K8" s="142" t="s">
        <v>112</v>
      </c>
      <c r="L8" s="143">
        <f>COUNTIFS(CtrlSummary!A:A,"AT",CtrlSummary!F:F,"NOT MET")</f>
        <v>0</v>
      </c>
      <c r="M8" s="136"/>
      <c r="N8" s="150"/>
      <c r="O8" s="142" t="s">
        <v>112</v>
      </c>
      <c r="P8" s="143">
        <f>COUNTIFS(CtrlSummary!A:A,"CM",CtrlSummary!F:F,"NOT MET")</f>
        <v>0</v>
      </c>
      <c r="Q8" s="136"/>
      <c r="R8" s="134"/>
      <c r="S8" s="142" t="s">
        <v>112</v>
      </c>
      <c r="T8" s="143">
        <f>COUNTIFS(CtrlSummary!A:A,"IR",CtrlSummary!F:F,"NOT MET")</f>
        <v>0</v>
      </c>
      <c r="U8" s="136"/>
    </row>
    <row r="9" spans="2:21" s="133" customFormat="1" ht="23.4" customHeight="1" x14ac:dyDescent="0.25">
      <c r="B9" s="141" t="s">
        <v>29</v>
      </c>
      <c r="C9" s="140">
        <f>COUNTIFS(CtrlSummary!E:E,B9)</f>
        <v>86</v>
      </c>
      <c r="D9" s="168">
        <f t="shared" ref="D9:D14" si="0">C9/$C$7</f>
        <v>0.78181818181818186</v>
      </c>
      <c r="E9" s="132"/>
      <c r="F9" s="134"/>
      <c r="G9" s="144"/>
      <c r="H9" s="144"/>
      <c r="I9" s="136"/>
      <c r="J9" s="134"/>
      <c r="K9" s="144"/>
      <c r="L9" s="144"/>
      <c r="M9" s="136"/>
      <c r="N9" s="150"/>
      <c r="O9" s="144"/>
      <c r="P9" s="144"/>
      <c r="Q9" s="136"/>
      <c r="R9" s="134"/>
      <c r="S9" s="144"/>
      <c r="T9" s="144"/>
      <c r="U9" s="136"/>
    </row>
    <row r="10" spans="2:21" s="133" customFormat="1" ht="23.4" customHeight="1" thickBot="1" x14ac:dyDescent="0.3">
      <c r="B10" s="141" t="s">
        <v>30</v>
      </c>
      <c r="C10" s="140">
        <f>COUNTIFS(CtrlSummary!E:E,B10)</f>
        <v>0</v>
      </c>
      <c r="D10" s="168">
        <f t="shared" si="0"/>
        <v>0</v>
      </c>
      <c r="E10" s="132"/>
      <c r="F10" s="134"/>
      <c r="G10" s="281" t="s">
        <v>113</v>
      </c>
      <c r="H10" s="282"/>
      <c r="I10" s="136"/>
      <c r="J10" s="134"/>
      <c r="K10" s="283" t="s">
        <v>41</v>
      </c>
      <c r="L10" s="284"/>
      <c r="M10" s="136"/>
      <c r="N10" s="150"/>
      <c r="O10" s="270" t="s">
        <v>118</v>
      </c>
      <c r="P10" s="271"/>
      <c r="Q10" s="136"/>
      <c r="R10" s="134"/>
      <c r="S10" s="298" t="s">
        <v>119</v>
      </c>
      <c r="T10" s="299"/>
      <c r="U10" s="136"/>
    </row>
    <row r="11" spans="2:21" s="133" customFormat="1" ht="23.4" customHeight="1" x14ac:dyDescent="0.25">
      <c r="B11" s="141" t="s">
        <v>31</v>
      </c>
      <c r="C11" s="140">
        <f>COUNTIFS(CtrlSummary!E:E,B11)</f>
        <v>0</v>
      </c>
      <c r="D11" s="168">
        <f t="shared" si="0"/>
        <v>0</v>
      </c>
      <c r="E11" s="132"/>
      <c r="F11" s="134"/>
      <c r="G11" s="157" t="s">
        <v>38</v>
      </c>
      <c r="H11" s="158" t="s">
        <v>26</v>
      </c>
      <c r="I11" s="136"/>
      <c r="J11" s="134"/>
      <c r="K11" s="157" t="s">
        <v>38</v>
      </c>
      <c r="L11" s="158" t="s">
        <v>26</v>
      </c>
      <c r="M11" s="136"/>
      <c r="N11" s="150"/>
      <c r="O11" s="157" t="s">
        <v>38</v>
      </c>
      <c r="P11" s="158" t="s">
        <v>26</v>
      </c>
      <c r="Q11" s="136"/>
      <c r="R11" s="134"/>
      <c r="S11" s="137" t="s">
        <v>38</v>
      </c>
      <c r="T11" s="138" t="s">
        <v>26</v>
      </c>
      <c r="U11" s="136"/>
    </row>
    <row r="12" spans="2:21" s="133" customFormat="1" ht="23.4" customHeight="1" x14ac:dyDescent="0.25">
      <c r="B12" s="141" t="s">
        <v>34</v>
      </c>
      <c r="C12" s="140">
        <f>COUNTIFS(CtrlSummary!E:E,B12)</f>
        <v>23</v>
      </c>
      <c r="D12" s="168">
        <f t="shared" si="0"/>
        <v>0.20909090909090908</v>
      </c>
      <c r="E12" s="132"/>
      <c r="F12" s="134"/>
      <c r="G12" s="139" t="s">
        <v>111</v>
      </c>
      <c r="H12" s="140">
        <f>COUNTIFS(CtrlSummary!A:A,"AU",CtrlSummary!F:F,"MET")</f>
        <v>9</v>
      </c>
      <c r="I12" s="136"/>
      <c r="J12" s="134"/>
      <c r="K12" s="248" t="s">
        <v>111</v>
      </c>
      <c r="L12" s="249">
        <f>COUNTIFS(CtrlSummary!A:A,"PS",CtrlSummary!F:F,"MET")</f>
        <v>2</v>
      </c>
      <c r="M12" s="136"/>
      <c r="N12" s="150"/>
      <c r="O12" s="248" t="s">
        <v>111</v>
      </c>
      <c r="P12" s="249">
        <f>COUNTIFS(CtrlSummary!A:A,"MA",CtrlSummary!F:F,"MET")</f>
        <v>6</v>
      </c>
      <c r="Q12" s="136"/>
      <c r="R12" s="134"/>
      <c r="S12" s="248" t="s">
        <v>111</v>
      </c>
      <c r="T12" s="249">
        <f>COUNTIFS(CtrlSummary!A:A,"SC",CtrlSummary!F:F,"MET")</f>
        <v>16</v>
      </c>
      <c r="U12" s="136"/>
    </row>
    <row r="13" spans="2:21" s="133" customFormat="1" ht="23.4" customHeight="1" thickBot="1" x14ac:dyDescent="0.3">
      <c r="B13" s="165" t="s">
        <v>35</v>
      </c>
      <c r="C13" s="166">
        <f>COUNTIFS(CtrlSummary!E:E,B13)</f>
        <v>1</v>
      </c>
      <c r="D13" s="169">
        <f t="shared" si="0"/>
        <v>9.0909090909090905E-3</v>
      </c>
      <c r="E13" s="132"/>
      <c r="F13" s="134"/>
      <c r="G13" s="142" t="s">
        <v>112</v>
      </c>
      <c r="H13" s="143">
        <f>COUNTIFS(CtrlSummary!A:A,"AU",CtrlSummary!F:F,"NOT MET")</f>
        <v>0</v>
      </c>
      <c r="I13" s="136"/>
      <c r="J13" s="134"/>
      <c r="K13" s="142" t="s">
        <v>112</v>
      </c>
      <c r="L13" s="143">
        <f>COUNTIFS(CtrlSummary!A:A,"PS",CtrlSummary!F:F,"NOT MET")</f>
        <v>0</v>
      </c>
      <c r="M13" s="136"/>
      <c r="N13" s="150"/>
      <c r="O13" s="142" t="s">
        <v>112</v>
      </c>
      <c r="P13" s="143">
        <f>COUNTIFS(CtrlSummary!A:A,"MA",CtrlSummary!F:F,"NOT MET")</f>
        <v>0</v>
      </c>
      <c r="Q13" s="136"/>
      <c r="R13" s="134"/>
      <c r="S13" s="142" t="s">
        <v>112</v>
      </c>
      <c r="T13" s="143">
        <f>COUNTIFS(CtrlSummary!A:A,"SC",CtrlSummary!F:F,"NOT MET")</f>
        <v>0</v>
      </c>
      <c r="U13" s="136"/>
    </row>
    <row r="14" spans="2:21" s="133" customFormat="1" ht="23.4" customHeight="1" thickTop="1" thickBot="1" x14ac:dyDescent="0.3">
      <c r="B14" s="176" t="s">
        <v>36</v>
      </c>
      <c r="C14" s="177">
        <f>SUM(C9:C13)</f>
        <v>110</v>
      </c>
      <c r="D14" s="170">
        <f t="shared" si="0"/>
        <v>1</v>
      </c>
      <c r="E14" s="132"/>
      <c r="F14" s="134"/>
      <c r="G14" s="144"/>
      <c r="H14" s="144"/>
      <c r="I14" s="136"/>
      <c r="J14" s="134"/>
      <c r="K14" s="144"/>
      <c r="L14" s="144"/>
      <c r="M14" s="136"/>
      <c r="N14" s="150"/>
      <c r="O14" s="144"/>
      <c r="P14" s="144"/>
      <c r="Q14" s="136"/>
      <c r="R14" s="134"/>
      <c r="S14" s="144"/>
      <c r="T14" s="144"/>
      <c r="U14" s="136"/>
    </row>
    <row r="15" spans="2:21" ht="23.4" customHeight="1" thickBot="1" x14ac:dyDescent="0.3">
      <c r="E15" s="132"/>
      <c r="F15" s="134"/>
      <c r="G15" s="281" t="s">
        <v>114</v>
      </c>
      <c r="H15" s="282"/>
      <c r="I15" s="136"/>
      <c r="J15" s="134"/>
      <c r="K15" s="283" t="s">
        <v>116</v>
      </c>
      <c r="L15" s="284"/>
      <c r="M15" s="136"/>
      <c r="N15" s="150"/>
      <c r="O15" s="270" t="s">
        <v>33</v>
      </c>
      <c r="P15" s="271"/>
      <c r="Q15" s="136"/>
      <c r="R15" s="134"/>
      <c r="S15" s="272" t="s">
        <v>120</v>
      </c>
      <c r="T15" s="273"/>
      <c r="U15" s="136"/>
    </row>
    <row r="16" spans="2:21" ht="23.4" customHeight="1" thickBot="1" x14ac:dyDescent="0.3">
      <c r="B16" s="287" t="s">
        <v>37</v>
      </c>
      <c r="C16" s="288"/>
      <c r="D16" s="289"/>
      <c r="E16" s="132"/>
      <c r="F16" s="134"/>
      <c r="G16" s="137" t="s">
        <v>38</v>
      </c>
      <c r="H16" s="138" t="s">
        <v>26</v>
      </c>
      <c r="I16" s="136"/>
      <c r="J16" s="134"/>
      <c r="K16" s="157" t="s">
        <v>38</v>
      </c>
      <c r="L16" s="158" t="s">
        <v>26</v>
      </c>
      <c r="M16" s="136"/>
      <c r="N16" s="150"/>
      <c r="O16" s="157" t="s">
        <v>38</v>
      </c>
      <c r="P16" s="158" t="s">
        <v>26</v>
      </c>
      <c r="Q16" s="136"/>
      <c r="R16" s="134"/>
      <c r="S16" s="157" t="s">
        <v>38</v>
      </c>
      <c r="T16" s="158" t="s">
        <v>26</v>
      </c>
      <c r="U16" s="136"/>
    </row>
    <row r="17" spans="2:21" ht="23.4" customHeight="1" thickBot="1" x14ac:dyDescent="0.3">
      <c r="B17" s="159" t="s">
        <v>38</v>
      </c>
      <c r="C17" s="160" t="s">
        <v>26</v>
      </c>
      <c r="D17" s="167" t="s">
        <v>28</v>
      </c>
      <c r="E17" s="132"/>
      <c r="F17" s="134"/>
      <c r="G17" s="139" t="s">
        <v>111</v>
      </c>
      <c r="H17" s="140">
        <f>COUNTIFS(CtrlSummary!A:A,"IA",CtrlSummary!F:F,"MET")</f>
        <v>11</v>
      </c>
      <c r="I17" s="136"/>
      <c r="J17" s="134"/>
      <c r="K17" s="248" t="s">
        <v>111</v>
      </c>
      <c r="L17" s="249">
        <f>COUNTIFS(CtrlSummary!A:A,"PE",CtrlSummary!F:F,"MET")</f>
        <v>6</v>
      </c>
      <c r="M17" s="136"/>
      <c r="N17" s="150"/>
      <c r="O17" s="248" t="s">
        <v>111</v>
      </c>
      <c r="P17" s="249">
        <f>COUNTIFS(CtrlSummary!A:A,"MP",CtrlSummary!F:F,"MET")</f>
        <v>9</v>
      </c>
      <c r="Q17" s="136"/>
      <c r="R17" s="134"/>
      <c r="S17" s="248" t="s">
        <v>111</v>
      </c>
      <c r="T17" s="249">
        <f>COUNTIFS(CtrlSummary!A:A,"SI",CtrlSummary!F:F,"MET")</f>
        <v>7</v>
      </c>
      <c r="U17" s="136"/>
    </row>
    <row r="18" spans="2:21" ht="23.4" customHeight="1" x14ac:dyDescent="0.25">
      <c r="B18" s="171" t="s">
        <v>111</v>
      </c>
      <c r="C18" s="174">
        <f>COUNTIFS(CtrlSummary!F:F,B18)</f>
        <v>110</v>
      </c>
      <c r="D18" s="172">
        <f>C18/($C$7-$C$21)</f>
        <v>1</v>
      </c>
      <c r="E18" s="132"/>
      <c r="F18" s="134"/>
      <c r="G18" s="142" t="s">
        <v>112</v>
      </c>
      <c r="H18" s="143">
        <f>COUNTIFS(CtrlSummary!A:A,"IA",CtrlSummary!F:F,"NOT MET")</f>
        <v>0</v>
      </c>
      <c r="I18" s="136"/>
      <c r="J18" s="134"/>
      <c r="K18" s="142" t="s">
        <v>112</v>
      </c>
      <c r="L18" s="143">
        <f>COUNTIFS(CtrlSummary!A:A,"PE",CtrlSummary!F:F,"NOT MET")</f>
        <v>0</v>
      </c>
      <c r="M18" s="136"/>
      <c r="N18" s="150"/>
      <c r="O18" s="142" t="s">
        <v>112</v>
      </c>
      <c r="P18" s="143">
        <f>COUNTIFS(CtrlSummary!A:A,"MP",CtrlSummary!F:F,"NOT MET")</f>
        <v>0</v>
      </c>
      <c r="Q18" s="136"/>
      <c r="R18" s="134"/>
      <c r="S18" s="142" t="s">
        <v>112</v>
      </c>
      <c r="T18" s="143">
        <f>COUNTIFS(CtrlSummary!A:A,"SI",CtrlSummary!F:F,"NOT MET")</f>
        <v>0</v>
      </c>
      <c r="U18" s="136"/>
    </row>
    <row r="19" spans="2:21" ht="23.4" customHeight="1" x14ac:dyDescent="0.25">
      <c r="B19" s="145" t="s">
        <v>112</v>
      </c>
      <c r="C19" s="175">
        <f>COUNTIFS(CtrlSummary!F:F,B19)</f>
        <v>0</v>
      </c>
      <c r="D19" s="173">
        <f>C19/($C$7-$C$21)</f>
        <v>0</v>
      </c>
      <c r="E19" s="132"/>
      <c r="F19" s="134"/>
      <c r="G19" s="144"/>
      <c r="H19" s="144"/>
      <c r="I19" s="136"/>
      <c r="J19" s="134"/>
      <c r="K19" s="144"/>
      <c r="L19" s="144"/>
      <c r="M19" s="136"/>
      <c r="N19" s="150"/>
      <c r="O19" s="144"/>
      <c r="P19" s="144"/>
      <c r="Q19" s="136"/>
      <c r="R19" s="134"/>
      <c r="S19" s="144"/>
      <c r="T19" s="144"/>
      <c r="U19" s="136"/>
    </row>
    <row r="20" spans="2:21" ht="23.4" customHeight="1" thickBot="1" x14ac:dyDescent="0.3">
      <c r="B20" s="176" t="s">
        <v>36</v>
      </c>
      <c r="C20" s="177">
        <f>SUM(C16:C19)</f>
        <v>110</v>
      </c>
      <c r="D20" s="178">
        <f>C20/$C$7</f>
        <v>1</v>
      </c>
      <c r="E20" s="132"/>
      <c r="F20" s="134"/>
      <c r="G20" s="144"/>
      <c r="H20" s="144"/>
      <c r="I20" s="136"/>
      <c r="J20" s="134"/>
      <c r="K20" s="283" t="s">
        <v>117</v>
      </c>
      <c r="L20" s="284"/>
      <c r="M20" s="136"/>
      <c r="N20" s="150"/>
      <c r="O20" s="144"/>
      <c r="P20" s="144"/>
      <c r="Q20" s="136"/>
      <c r="R20" s="134"/>
      <c r="S20" s="144"/>
      <c r="T20" s="144"/>
      <c r="U20" s="136"/>
    </row>
    <row r="21" spans="2:21" ht="23.4" customHeight="1" thickBot="1" x14ac:dyDescent="0.35">
      <c r="B21"/>
      <c r="C21"/>
      <c r="D21"/>
      <c r="E21" s="132"/>
      <c r="F21" s="134"/>
      <c r="G21" s="144"/>
      <c r="H21" s="144"/>
      <c r="I21" s="136"/>
      <c r="J21" s="134"/>
      <c r="K21" s="157" t="s">
        <v>38</v>
      </c>
      <c r="L21" s="158" t="s">
        <v>26</v>
      </c>
      <c r="M21" s="136"/>
      <c r="N21" s="150"/>
      <c r="O21" s="144"/>
      <c r="P21" s="144"/>
      <c r="Q21" s="136"/>
      <c r="R21" s="134"/>
      <c r="S21" s="144"/>
      <c r="T21" s="144"/>
      <c r="U21" s="136"/>
    </row>
    <row r="22" spans="2:21" ht="23.4" customHeight="1" x14ac:dyDescent="0.3">
      <c r="B22" s="296" t="s">
        <v>1474</v>
      </c>
      <c r="C22" s="297"/>
      <c r="D22"/>
      <c r="E22" s="132"/>
      <c r="F22" s="134"/>
      <c r="G22" s="144"/>
      <c r="H22" s="144"/>
      <c r="I22" s="136"/>
      <c r="J22" s="134"/>
      <c r="K22" s="248" t="s">
        <v>111</v>
      </c>
      <c r="L22" s="249">
        <f>COUNTIFS(CtrlSummary!A:A,"CA",CtrlSummary!F:F,"MET")</f>
        <v>4</v>
      </c>
      <c r="M22" s="136"/>
      <c r="N22" s="150"/>
      <c r="O22" s="144"/>
      <c r="P22" s="144"/>
      <c r="Q22" s="136"/>
      <c r="R22" s="134"/>
      <c r="S22" s="144"/>
      <c r="T22" s="144"/>
      <c r="U22" s="136"/>
    </row>
    <row r="23" spans="2:21" ht="23.4" customHeight="1" x14ac:dyDescent="0.25">
      <c r="B23" s="145" t="s">
        <v>690</v>
      </c>
      <c r="C23" s="200">
        <f>SUM(CtrlSummary!G:G)</f>
        <v>110</v>
      </c>
      <c r="E23" s="132"/>
      <c r="F23" s="134"/>
      <c r="G23" s="144"/>
      <c r="H23" s="144"/>
      <c r="I23" s="136"/>
      <c r="J23" s="134"/>
      <c r="K23" s="142" t="s">
        <v>112</v>
      </c>
      <c r="L23" s="143">
        <f>COUNTIFS(CtrlSummary!A:A,"CA",CtrlSummary!F:F,"NOT MET")</f>
        <v>0</v>
      </c>
      <c r="M23" s="136"/>
      <c r="N23" s="150"/>
      <c r="O23" s="144"/>
      <c r="P23" s="144"/>
      <c r="Q23" s="136"/>
      <c r="R23" s="134"/>
      <c r="S23" s="144"/>
      <c r="T23" s="144"/>
      <c r="U23" s="136"/>
    </row>
    <row r="24" spans="2:21" ht="23.4" customHeight="1" x14ac:dyDescent="0.25">
      <c r="B24" s="145" t="s">
        <v>121</v>
      </c>
      <c r="C24" s="200">
        <v>110</v>
      </c>
      <c r="E24" s="132"/>
      <c r="F24" s="134"/>
      <c r="G24" s="144"/>
      <c r="H24" s="144"/>
      <c r="I24" s="136"/>
      <c r="J24" s="134"/>
      <c r="K24" s="144"/>
      <c r="L24" s="144"/>
      <c r="M24" s="136"/>
      <c r="N24" s="150"/>
      <c r="O24" s="144"/>
      <c r="P24" s="144"/>
      <c r="Q24" s="136"/>
      <c r="R24" s="134"/>
      <c r="S24" s="144"/>
      <c r="T24" s="144"/>
      <c r="U24" s="136"/>
    </row>
    <row r="25" spans="2:21" ht="23.4" customHeight="1" thickBot="1" x14ac:dyDescent="0.3">
      <c r="B25" s="146" t="s">
        <v>122</v>
      </c>
      <c r="C25" s="201">
        <f>(C23/C24)</f>
        <v>1</v>
      </c>
      <c r="E25" s="132"/>
      <c r="F25" s="134"/>
      <c r="G25" s="144"/>
      <c r="H25" s="144"/>
      <c r="I25" s="136"/>
      <c r="J25" s="134"/>
      <c r="K25" s="283" t="s">
        <v>39</v>
      </c>
      <c r="L25" s="284"/>
      <c r="M25" s="136"/>
      <c r="N25" s="150"/>
      <c r="O25" s="144"/>
      <c r="P25" s="144"/>
      <c r="Q25" s="136"/>
      <c r="R25" s="134"/>
      <c r="S25" s="144"/>
      <c r="T25" s="144"/>
      <c r="U25" s="136"/>
    </row>
    <row r="26" spans="2:21" ht="23.4" customHeight="1" x14ac:dyDescent="0.25">
      <c r="E26" s="132"/>
      <c r="F26" s="134"/>
      <c r="G26" s="144"/>
      <c r="H26" s="144"/>
      <c r="I26" s="136"/>
      <c r="J26" s="134"/>
      <c r="K26" s="157" t="s">
        <v>38</v>
      </c>
      <c r="L26" s="158" t="s">
        <v>26</v>
      </c>
      <c r="M26" s="136"/>
      <c r="N26" s="150"/>
      <c r="O26" s="144"/>
      <c r="P26" s="144"/>
      <c r="Q26" s="136"/>
      <c r="R26" s="134"/>
      <c r="S26" s="144"/>
      <c r="T26" s="144"/>
      <c r="U26" s="136"/>
    </row>
    <row r="27" spans="2:21" ht="23.4" customHeight="1" x14ac:dyDescent="0.25">
      <c r="E27" s="132"/>
      <c r="F27" s="134"/>
      <c r="G27" s="144"/>
      <c r="H27" s="144"/>
      <c r="I27" s="136"/>
      <c r="J27" s="134"/>
      <c r="K27" s="248" t="s">
        <v>111</v>
      </c>
      <c r="L27" s="249">
        <f>COUNTIFS(CtrlSummary!A:A,"RA",CtrlSummary!F:F,"MET")</f>
        <v>3</v>
      </c>
      <c r="M27" s="136"/>
      <c r="N27" s="150"/>
      <c r="O27" s="144"/>
      <c r="P27" s="144"/>
      <c r="Q27" s="136"/>
      <c r="R27" s="134"/>
      <c r="S27" s="144"/>
      <c r="T27" s="144"/>
      <c r="U27" s="136"/>
    </row>
    <row r="28" spans="2:21" ht="23.4" customHeight="1" x14ac:dyDescent="0.25">
      <c r="F28" s="151"/>
      <c r="G28" s="144"/>
      <c r="H28" s="144"/>
      <c r="I28" s="156"/>
      <c r="J28" s="151"/>
      <c r="K28" s="142" t="s">
        <v>112</v>
      </c>
      <c r="L28" s="143">
        <f>COUNTIFS(CtrlSummary!A:A,"RA",CtrlSummary!F:F,"NOT MET")</f>
        <v>0</v>
      </c>
      <c r="M28" s="156"/>
      <c r="N28" s="144"/>
      <c r="O28" s="144"/>
      <c r="P28" s="144"/>
      <c r="Q28" s="136"/>
      <c r="R28" s="151"/>
      <c r="S28" s="144"/>
      <c r="T28" s="144"/>
      <c r="U28" s="156"/>
    </row>
    <row r="29" spans="2:21" ht="23.4" customHeight="1" thickBot="1" x14ac:dyDescent="0.3">
      <c r="F29" s="147"/>
      <c r="G29" s="148"/>
      <c r="H29" s="148"/>
      <c r="I29" s="149"/>
      <c r="J29" s="147"/>
      <c r="K29" s="148"/>
      <c r="L29" s="148"/>
      <c r="M29" s="149"/>
      <c r="N29" s="148"/>
      <c r="O29" s="148"/>
      <c r="P29" s="148"/>
      <c r="Q29" s="152"/>
      <c r="R29" s="147"/>
      <c r="S29" s="148"/>
      <c r="T29" s="148"/>
      <c r="U29" s="149"/>
    </row>
    <row r="30" spans="2:21" ht="28.5" customHeight="1" x14ac:dyDescent="0.25"/>
    <row r="31" spans="2:21" ht="21" customHeight="1" x14ac:dyDescent="0.25"/>
    <row r="32" spans="2:21" ht="21" customHeight="1" x14ac:dyDescent="0.25"/>
    <row r="33" ht="21" customHeight="1" x14ac:dyDescent="0.25"/>
    <row r="34" ht="21" customHeight="1" x14ac:dyDescent="0.25"/>
    <row r="35" ht="21" customHeight="1" x14ac:dyDescent="0.25"/>
    <row r="36" ht="21" customHeight="1" x14ac:dyDescent="0.25"/>
    <row r="37" ht="21" customHeight="1" x14ac:dyDescent="0.25"/>
    <row r="38" ht="21" customHeight="1" x14ac:dyDescent="0.25"/>
    <row r="39" ht="21" customHeight="1" x14ac:dyDescent="0.25"/>
    <row r="40" ht="21" customHeight="1" x14ac:dyDescent="0.25"/>
    <row r="41" ht="21" customHeight="1" x14ac:dyDescent="0.25"/>
    <row r="42" ht="21" customHeight="1" x14ac:dyDescent="0.25"/>
    <row r="43" ht="21" customHeight="1" x14ac:dyDescent="0.25"/>
    <row r="44" ht="21" customHeight="1" x14ac:dyDescent="0.25"/>
    <row r="45" ht="21" customHeight="1" x14ac:dyDescent="0.25"/>
    <row r="46" ht="21" customHeight="1" x14ac:dyDescent="0.25"/>
    <row r="47" ht="21" customHeight="1" x14ac:dyDescent="0.25"/>
    <row r="48" ht="21" customHeight="1" x14ac:dyDescent="0.25"/>
    <row r="49" ht="21" customHeight="1" x14ac:dyDescent="0.25"/>
    <row r="50" ht="21" customHeight="1" x14ac:dyDescent="0.25"/>
    <row r="51" ht="21" customHeight="1" x14ac:dyDescent="0.25"/>
    <row r="52" ht="21" customHeight="1" x14ac:dyDescent="0.25"/>
    <row r="53" ht="21" customHeight="1" x14ac:dyDescent="0.25"/>
    <row r="54" ht="21" customHeight="1" x14ac:dyDescent="0.25"/>
    <row r="55" ht="21" customHeight="1" x14ac:dyDescent="0.25"/>
    <row r="56" ht="21" customHeight="1" x14ac:dyDescent="0.25"/>
    <row r="57" ht="21" customHeight="1" x14ac:dyDescent="0.25"/>
    <row r="58" ht="21" customHeight="1" x14ac:dyDescent="0.25"/>
    <row r="59" ht="21" customHeight="1" x14ac:dyDescent="0.25"/>
    <row r="60" ht="21" customHeight="1" x14ac:dyDescent="0.25"/>
    <row r="61" ht="21" customHeight="1" x14ac:dyDescent="0.25"/>
    <row r="62" ht="21" customHeight="1" x14ac:dyDescent="0.25"/>
    <row r="63" ht="21" customHeight="1" x14ac:dyDescent="0.25"/>
    <row r="64" ht="21" customHeight="1" x14ac:dyDescent="0.25"/>
    <row r="65" ht="21" customHeight="1" x14ac:dyDescent="0.25"/>
    <row r="66" ht="21" customHeight="1" x14ac:dyDescent="0.25"/>
    <row r="67" ht="21" customHeight="1" x14ac:dyDescent="0.25"/>
    <row r="68" ht="21" customHeight="1" x14ac:dyDescent="0.25"/>
    <row r="69" ht="21" customHeight="1" x14ac:dyDescent="0.25"/>
    <row r="70" ht="21" customHeight="1" x14ac:dyDescent="0.25"/>
    <row r="71" ht="21" customHeight="1" x14ac:dyDescent="0.25"/>
    <row r="72" ht="21" customHeight="1" x14ac:dyDescent="0.25"/>
    <row r="73" ht="21" customHeight="1" x14ac:dyDescent="0.25"/>
    <row r="74" ht="21" customHeight="1" x14ac:dyDescent="0.25"/>
    <row r="75" ht="21" customHeight="1" x14ac:dyDescent="0.25"/>
    <row r="76" ht="21" customHeight="1" x14ac:dyDescent="0.25"/>
    <row r="77" ht="21" customHeight="1" x14ac:dyDescent="0.25"/>
    <row r="78" ht="21" customHeight="1" x14ac:dyDescent="0.25"/>
    <row r="79" ht="21" customHeight="1" x14ac:dyDescent="0.25"/>
    <row r="80" ht="21" customHeight="1" x14ac:dyDescent="0.25"/>
    <row r="81" ht="21" customHeight="1" x14ac:dyDescent="0.25"/>
    <row r="82" ht="21" customHeight="1" x14ac:dyDescent="0.25"/>
    <row r="87" ht="14.4" customHeight="1" x14ac:dyDescent="0.25"/>
  </sheetData>
  <mergeCells count="26">
    <mergeCell ref="K25:L25"/>
    <mergeCell ref="K20:L20"/>
    <mergeCell ref="K15:L15"/>
    <mergeCell ref="B22:C22"/>
    <mergeCell ref="S10:T10"/>
    <mergeCell ref="S15:T15"/>
    <mergeCell ref="O10:P10"/>
    <mergeCell ref="O15:P15"/>
    <mergeCell ref="B16:D16"/>
    <mergeCell ref="G10:H10"/>
    <mergeCell ref="G15:H15"/>
    <mergeCell ref="K10:L10"/>
    <mergeCell ref="R3:U3"/>
    <mergeCell ref="F2:U2"/>
    <mergeCell ref="C7:D7"/>
    <mergeCell ref="O5:P5"/>
    <mergeCell ref="S5:T5"/>
    <mergeCell ref="C2:D2"/>
    <mergeCell ref="C3:D3"/>
    <mergeCell ref="F3:I3"/>
    <mergeCell ref="G5:H5"/>
    <mergeCell ref="K5:L5"/>
    <mergeCell ref="C4:D4"/>
    <mergeCell ref="B6:D6"/>
    <mergeCell ref="J3:M3"/>
    <mergeCell ref="N3:Q3"/>
  </mergeCells>
  <conditionalFormatting sqref="D9:D14">
    <cfRule type="dataBar" priority="13">
      <dataBar>
        <cfvo type="num" val="0"/>
        <cfvo type="num" val="1"/>
        <color theme="0" tint="-0.249977111117893"/>
      </dataBar>
      <extLst>
        <ext xmlns:x14="http://schemas.microsoft.com/office/spreadsheetml/2009/9/main" uri="{B025F937-C7B1-47D3-B67F-A62EFF666E3E}">
          <x14:id>{8215703B-779C-497D-8943-443228AA877D}</x14:id>
        </ext>
      </extLst>
    </cfRule>
  </conditionalFormatting>
  <conditionalFormatting sqref="D18">
    <cfRule type="dataBar" priority="8">
      <dataBar>
        <cfvo type="num" val="0"/>
        <cfvo type="num" val="1"/>
        <color theme="9" tint="0.59999389629810485"/>
      </dataBar>
      <extLst>
        <ext xmlns:x14="http://schemas.microsoft.com/office/spreadsheetml/2009/9/main" uri="{B025F937-C7B1-47D3-B67F-A62EFF666E3E}">
          <x14:id>{4AA55BB6-B279-4812-902D-7D547117B6BA}</x14:id>
        </ext>
      </extLst>
    </cfRule>
  </conditionalFormatting>
  <conditionalFormatting sqref="D19">
    <cfRule type="dataBar" priority="6">
      <dataBar>
        <cfvo type="num" val="0"/>
        <cfvo type="num" val="1"/>
        <color rgb="FFFFDDDD"/>
      </dataBar>
      <extLst>
        <ext xmlns:x14="http://schemas.microsoft.com/office/spreadsheetml/2009/9/main" uri="{B025F937-C7B1-47D3-B67F-A62EFF666E3E}">
          <x14:id>{A371AB9B-ECB8-4E43-9391-27CC3A13C21F}</x14:id>
        </ext>
      </extLst>
    </cfRule>
    <cfRule type="dataBar" priority="7">
      <dataBar>
        <cfvo type="num" val="0"/>
        <cfvo type="num" val="1"/>
        <color theme="7" tint="0.59999389629810485"/>
      </dataBar>
      <extLst>
        <ext xmlns:x14="http://schemas.microsoft.com/office/spreadsheetml/2009/9/main" uri="{B025F937-C7B1-47D3-B67F-A62EFF666E3E}">
          <x14:id>{1926513C-429A-40D6-A439-F1A3FAB659E6}</x14:id>
        </ext>
      </extLst>
    </cfRule>
  </conditionalFormatting>
  <conditionalFormatting sqref="D20">
    <cfRule type="dataBar" priority="4">
      <dataBar>
        <cfvo type="num" val="0"/>
        <cfvo type="num" val="1"/>
        <color theme="0" tint="-0.249977111117893"/>
      </dataBar>
      <extLst>
        <ext xmlns:x14="http://schemas.microsoft.com/office/spreadsheetml/2009/9/main" uri="{B025F937-C7B1-47D3-B67F-A62EFF666E3E}">
          <x14:id>{5B01DB5F-0EC5-4CC8-967F-961B3592D7CB}</x14:id>
        </ext>
      </extLst>
    </cfRule>
    <cfRule type="dataBar" priority="5">
      <dataBar>
        <cfvo type="num" val="0"/>
        <cfvo type="num" val="1"/>
        <color theme="0" tint="-4.9989318521683403E-2"/>
      </dataBar>
      <extLst>
        <ext xmlns:x14="http://schemas.microsoft.com/office/spreadsheetml/2009/9/main" uri="{B025F937-C7B1-47D3-B67F-A62EFF666E3E}">
          <x14:id>{545652C8-AC48-4FAD-8A80-A3121720F2E9}</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8215703B-779C-497D-8943-443228AA877D}">
            <x14:dataBar minLength="0" maxLength="100" gradient="0" direction="leftToRight">
              <x14:cfvo type="num">
                <xm:f>0</xm:f>
              </x14:cfvo>
              <x14:cfvo type="num">
                <xm:f>1</xm:f>
              </x14:cfvo>
              <x14:negativeFillColor rgb="FFFF0000"/>
              <x14:axisColor rgb="FF000000"/>
            </x14:dataBar>
          </x14:cfRule>
          <xm:sqref>D9:D14</xm:sqref>
        </x14:conditionalFormatting>
        <x14:conditionalFormatting xmlns:xm="http://schemas.microsoft.com/office/excel/2006/main">
          <x14:cfRule type="dataBar" id="{4AA55BB6-B279-4812-902D-7D547117B6BA}">
            <x14:dataBar minLength="0" maxLength="100" gradient="0" direction="leftToRight">
              <x14:cfvo type="num">
                <xm:f>0</xm:f>
              </x14:cfvo>
              <x14:cfvo type="num">
                <xm:f>1</xm:f>
              </x14:cfvo>
              <x14:negativeFillColor rgb="FFFF0000"/>
              <x14:axisColor rgb="FF000000"/>
            </x14:dataBar>
          </x14:cfRule>
          <xm:sqref>D18</xm:sqref>
        </x14:conditionalFormatting>
        <x14:conditionalFormatting xmlns:xm="http://schemas.microsoft.com/office/excel/2006/main">
          <x14:cfRule type="dataBar" id="{A371AB9B-ECB8-4E43-9391-27CC3A13C21F}">
            <x14:dataBar minLength="0" maxLength="100" gradient="0">
              <x14:cfvo type="num">
                <xm:f>0</xm:f>
              </x14:cfvo>
              <x14:cfvo type="num">
                <xm:f>1</xm:f>
              </x14:cfvo>
              <x14:negativeFillColor rgb="FFFF0000"/>
              <x14:axisColor rgb="FF000000"/>
            </x14:dataBar>
          </x14:cfRule>
          <x14:cfRule type="dataBar" id="{1926513C-429A-40D6-A439-F1A3FAB659E6}">
            <x14:dataBar minLength="0" maxLength="100" gradient="0">
              <x14:cfvo type="num">
                <xm:f>0</xm:f>
              </x14:cfvo>
              <x14:cfvo type="num">
                <xm:f>1</xm:f>
              </x14:cfvo>
              <x14:negativeFillColor rgb="FFFF0000"/>
              <x14:axisColor rgb="FF000000"/>
            </x14:dataBar>
          </x14:cfRule>
          <xm:sqref>D19</xm:sqref>
        </x14:conditionalFormatting>
        <x14:conditionalFormatting xmlns:xm="http://schemas.microsoft.com/office/excel/2006/main">
          <x14:cfRule type="dataBar" id="{5B01DB5F-0EC5-4CC8-967F-961B3592D7CB}">
            <x14:dataBar minLength="0" maxLength="100" gradient="0" direction="leftToRight">
              <x14:cfvo type="num">
                <xm:f>0</xm:f>
              </x14:cfvo>
              <x14:cfvo type="num">
                <xm:f>1</xm:f>
              </x14:cfvo>
              <x14:negativeFillColor rgb="FFFF0000"/>
              <x14:axisColor rgb="FF000000"/>
            </x14:dataBar>
          </x14:cfRule>
          <x14:cfRule type="dataBar" id="{545652C8-AC48-4FAD-8A80-A3121720F2E9}">
            <x14:dataBar minLength="0" maxLength="100" gradient="0">
              <x14:cfvo type="num">
                <xm:f>0</xm:f>
              </x14:cfvo>
              <x14:cfvo type="num">
                <xm:f>1</xm:f>
              </x14:cfvo>
              <x14:negativeFillColor rgb="FFFF0000"/>
              <x14:axisColor rgb="FF000000"/>
            </x14:dataBar>
          </x14:cfRule>
          <xm:sqref>D20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H125"/>
  <sheetViews>
    <sheetView showGridLines="0" zoomScale="130" zoomScaleNormal="130" workbookViewId="0">
      <pane xSplit="2" ySplit="1" topLeftCell="C17" activePane="bottomRight" state="frozen"/>
      <selection pane="topRight" activeCell="B3" sqref="B3"/>
      <selection pane="bottomLeft" activeCell="B3" sqref="B3"/>
      <selection pane="bottomRight" activeCell="G70" sqref="G70"/>
    </sheetView>
  </sheetViews>
  <sheetFormatPr defaultColWidth="9.33203125" defaultRowHeight="13.8" x14ac:dyDescent="0.3"/>
  <cols>
    <col min="1" max="1" width="8.109375" style="2" customWidth="1"/>
    <col min="2" max="2" width="12.5546875" style="1" customWidth="1"/>
    <col min="3" max="3" width="9.88671875" style="2" customWidth="1"/>
    <col min="4" max="4" width="86.5546875" style="1" bestFit="1" customWidth="1"/>
    <col min="5" max="5" width="26.88671875" style="9" customWidth="1"/>
    <col min="6" max="6" width="20.109375" style="9" customWidth="1"/>
    <col min="7" max="8" width="12.6640625" style="9" customWidth="1"/>
    <col min="9" max="16384" width="9.33203125" style="1"/>
  </cols>
  <sheetData>
    <row r="1" spans="1:8" s="2" customFormat="1" ht="38.25" customHeight="1" x14ac:dyDescent="0.3">
      <c r="A1" s="10" t="s">
        <v>123</v>
      </c>
      <c r="B1" s="10" t="s">
        <v>124</v>
      </c>
      <c r="C1" s="10" t="s">
        <v>297</v>
      </c>
      <c r="D1" s="10" t="s">
        <v>125</v>
      </c>
      <c r="E1" s="10" t="s">
        <v>44</v>
      </c>
      <c r="F1" s="10" t="s">
        <v>45</v>
      </c>
      <c r="G1" s="10" t="s">
        <v>1250</v>
      </c>
      <c r="H1" s="10" t="s">
        <v>1290</v>
      </c>
    </row>
    <row r="2" spans="1:8" ht="14.1" customHeight="1" x14ac:dyDescent="0.3">
      <c r="A2" s="21"/>
      <c r="B2" s="22"/>
      <c r="C2" s="21"/>
      <c r="D2" s="23" t="s">
        <v>46</v>
      </c>
      <c r="E2" s="24"/>
      <c r="F2" s="24"/>
      <c r="G2" s="24"/>
      <c r="H2" s="24"/>
    </row>
    <row r="3" spans="1:8" ht="14.1" customHeight="1" x14ac:dyDescent="0.3">
      <c r="A3" s="5" t="s">
        <v>47</v>
      </c>
      <c r="B3" s="3" t="s">
        <v>128</v>
      </c>
      <c r="C3" s="5">
        <v>1</v>
      </c>
      <c r="D3" s="3" t="s">
        <v>127</v>
      </c>
      <c r="E3" s="14" t="str">
        <f>IF(COUNTIF(AC!I2:I7,"Not Selected")&gt;0,"Not Selected",
IF(COUNTIF(AC!I2:I7,"Planned")&gt;0,"Planned",
IF(COUNTIF(AC!I2:I7,"Inherited")&gt;0,"Inherited",
IF(COUNTIF(AC!I2:I7,"Partially Implemented")&gt;0,"Partially Implemented",
IF(COUNTIF(AC!I2:I7,"Implemented")&gt;0,"Implemented",
"")))))</f>
        <v>Implemented</v>
      </c>
      <c r="F3" s="8" t="str">
        <f>IF(COUNTIF(AC!J2:J7,"Not Applicable")&gt;0,"Not Applicable",
IF(COUNTIF(AC!J2:J7,"NOT MET")&gt;0,"NOT MET",
IF(COUNTIF(AC!J2:J7,"MET")&gt;0,"MET",
"")))</f>
        <v>MET</v>
      </c>
      <c r="G3" s="7">
        <v>1</v>
      </c>
      <c r="H3" s="7">
        <v>5</v>
      </c>
    </row>
    <row r="4" spans="1:8" ht="14.1" customHeight="1" x14ac:dyDescent="0.3">
      <c r="A4" s="5" t="s">
        <v>47</v>
      </c>
      <c r="B4" s="3" t="s">
        <v>136</v>
      </c>
      <c r="C4" s="5">
        <v>1</v>
      </c>
      <c r="D4" s="3" t="s">
        <v>135</v>
      </c>
      <c r="E4" s="14" t="str">
        <f>IF(COUNTIF(AC!I8:I9,"Not Selected")&gt;0,"Not Selected",
IF(COUNTIF(AC!I8:I9,"Planned")&gt;0,"Planned",
IF(COUNTIF(AC!I8:I9,"Inherited")&gt;0,"Inherited",
IF(COUNTIF(AC!I8:I9,"Partially Implemented")&gt;0,"Partially Implemented",
IF(COUNTIF(AC!I8:I9,"Implemented")&gt;0,"Implemented",
"")))))</f>
        <v>Implemented</v>
      </c>
      <c r="F4" s="8" t="str">
        <f>IF(COUNTIF(AC!J8:J9,"Not Applicable")&gt;0,"Not Applicable",
IF(COUNTIF(AC!J8:J9,"NOT MET")&gt;0,"NOT MET",
IF(COUNTIF(AC!J8:J9,"MET")&gt;0,"MET",
"")))</f>
        <v>MET</v>
      </c>
      <c r="G4" s="7">
        <v>1</v>
      </c>
      <c r="H4" s="7">
        <v>5</v>
      </c>
    </row>
    <row r="5" spans="1:8" ht="14.1" customHeight="1" x14ac:dyDescent="0.3">
      <c r="A5" s="5" t="s">
        <v>47</v>
      </c>
      <c r="B5" s="3" t="s">
        <v>139</v>
      </c>
      <c r="C5" s="223">
        <v>2</v>
      </c>
      <c r="D5" s="3" t="s">
        <v>172</v>
      </c>
      <c r="E5" s="14" t="str">
        <f>IF(COUNTIF(AC!I10:I14,"Not Selected")&gt;0,"Not Selected",
IF(COUNTIF(AC!I10:I14,"Planned")&gt;0,"Planned",
IF(COUNTIF(AC!I10:I14,"Inherited")&gt;0,"Inherited",
IF(COUNTIF(AC!I10:I14,"Partially Implemented")&gt;0,"Partially Implemented",
IF(COUNTIF(AC!I10:I14,"Implemented")&gt;0,"Implemented",
"")))))</f>
        <v>Implemented</v>
      </c>
      <c r="F5" s="8" t="str">
        <f>IF(COUNTIF(AC!J10:J14,"Not Applicable")&gt;0,"Not Applicable",
IF(COUNTIF(AC!J10:J14,"NOT MET")&gt;0,"NOT MET",
IF(COUNTIF(AC!J10:J14,"MET")&gt;0,"MET",
"")))</f>
        <v>MET</v>
      </c>
      <c r="G5" s="7">
        <v>1</v>
      </c>
      <c r="H5" s="7">
        <v>1</v>
      </c>
    </row>
    <row r="6" spans="1:8" s="17" customFormat="1" ht="14.1" customHeight="1" x14ac:dyDescent="0.3">
      <c r="A6" s="5" t="s">
        <v>47</v>
      </c>
      <c r="B6" s="3" t="s">
        <v>140</v>
      </c>
      <c r="C6" s="224">
        <v>2</v>
      </c>
      <c r="D6" s="3" t="s">
        <v>48</v>
      </c>
      <c r="E6" s="14" t="str">
        <f>IF(COUNTIF(AC!I15:I17,"Not Selected")&gt;0,"Not Selected",
IF(COUNTIF(AC!I15:I17,"Planned")&gt;0,"Planned",
IF(COUNTIF(AC!I15:I17,"Inherited")&gt;0,"Inherited",
IF(COUNTIF(AC!I15:I17,"Partially Implemented")&gt;0,"Partially Implemented",
IF(COUNTIF(AC!I15:I17,"Implemented")&gt;0,"Implemented",
"")))))</f>
        <v>Implemented</v>
      </c>
      <c r="F6" s="16" t="str">
        <f>IF(COUNTIF(AC!J15:J17,"Not Applicable")&gt;0,"Not Applicable",
IF(COUNTIF(AC!J15:J17,"NOT MET")&gt;0,"NOT MET",
IF(COUNTIF(AC!J15:J17,"MET")&gt;0,"MET",
"")))</f>
        <v>MET</v>
      </c>
      <c r="G6" s="14">
        <v>1</v>
      </c>
      <c r="H6" s="14">
        <v>1</v>
      </c>
    </row>
    <row r="7" spans="1:8" s="17" customFormat="1" ht="14.1" customHeight="1" x14ac:dyDescent="0.3">
      <c r="A7" s="5" t="s">
        <v>47</v>
      </c>
      <c r="B7" s="3" t="s">
        <v>141</v>
      </c>
      <c r="C7" s="224">
        <v>2</v>
      </c>
      <c r="D7" s="3" t="s">
        <v>49</v>
      </c>
      <c r="E7" s="14" t="str">
        <f>IF(COUNTIF(AC!I18:I21,"Not Selected")&gt;0,"Not Selected",
IF(COUNTIF(AC!I18:I21,"Planned")&gt;0,"Planned",
IF(COUNTIF(AC!I18:I21,"Inherited")&gt;0,"Inherited",
IF(COUNTIF(AC!I18:I21,"Partially Implemented")&gt;0,"Partially Implemented",
IF(COUNTIF(AC!I18:I21,"Implemented")&gt;0,"Implemented",
"")))))</f>
        <v>Implemented</v>
      </c>
      <c r="F7" s="16" t="str">
        <f>IF(COUNTIF(AC!J18:J21,"Not Applicable")&gt;0,"Not Applicable",
IF(COUNTIF(AC!J18:J21,"NOT MET")&gt;0,"NOT MET",
IF(COUNTIF(AC!J18:J21,"MET")&gt;0,"MET",
"")))</f>
        <v>MET</v>
      </c>
      <c r="G7" s="14">
        <v>1</v>
      </c>
      <c r="H7" s="14">
        <v>3</v>
      </c>
    </row>
    <row r="8" spans="1:8" s="17" customFormat="1" ht="14.1" customHeight="1" x14ac:dyDescent="0.3">
      <c r="A8" s="5" t="s">
        <v>47</v>
      </c>
      <c r="B8" s="3" t="s">
        <v>142</v>
      </c>
      <c r="C8" s="224">
        <v>2</v>
      </c>
      <c r="D8" s="3" t="s">
        <v>173</v>
      </c>
      <c r="E8" s="14" t="str">
        <f>IF(COUNTIF(AC!I22:I23,"Not Selected")&gt;0,"Not Selected",
IF(COUNTIF(AC!I22:I23,"Planned")&gt;0,"Planned",
IF(COUNTIF(AC!I22:I23,"Inherited")&gt;0,"Inherited",
IF(COUNTIF(AC!I22:I23,"Partially Implemented")&gt;0,"Partially Implemented",
IF(COUNTIF(AC!I22:I23,"Implemented")&gt;0,"Implemented",
"")))))</f>
        <v>Implemented</v>
      </c>
      <c r="F8" s="16" t="str">
        <f>IF(COUNTIF(AC!J22:J23,"Not Applicable")&gt;0,"Not Applicable",
IF(COUNTIF(AC!J22:J23,"NOT MET")&gt;0,"NOT MET",
IF(COUNTIF(AC!J22:J23,"MET")&gt;0,"MET",
"")))</f>
        <v>MET</v>
      </c>
      <c r="G8" s="14">
        <v>1</v>
      </c>
      <c r="H8" s="14">
        <v>1</v>
      </c>
    </row>
    <row r="9" spans="1:8" s="17" customFormat="1" ht="14.1" customHeight="1" x14ac:dyDescent="0.3">
      <c r="A9" s="5" t="s">
        <v>47</v>
      </c>
      <c r="B9" s="3" t="s">
        <v>143</v>
      </c>
      <c r="C9" s="224">
        <v>2</v>
      </c>
      <c r="D9" s="3" t="s">
        <v>174</v>
      </c>
      <c r="E9" s="14" t="str">
        <f>IF(COUNTIF(AC!I24:I27,"Not Selected")&gt;0,"Not Selected",
IF(COUNTIF(AC!I24:I27,"Planned")&gt;0,"Planned",
IF(COUNTIF(AC!I24:I27,"Inherited")&gt;0,"Inherited",
IF(COUNTIF(AC!I24:I27,"Partially Implemented")&gt;0,"Partially Implemented",
IF(COUNTIF(AC!I24:I27,"Implemented")&gt;0,"Implemented",
"")))))</f>
        <v>Implemented</v>
      </c>
      <c r="F9" s="16" t="str">
        <f>IF(COUNTIF(AC!J24:J27,"Not Applicable")&gt;0,"Not Applicable",
IF(COUNTIF(AC!J24:J27,"NOT MET")&gt;0,"NOT MET",
IF(COUNTIF(AC!J24:J27,"MET")&gt;0,"MET",
"")))</f>
        <v>MET</v>
      </c>
      <c r="G9" s="14">
        <v>1</v>
      </c>
      <c r="H9" s="14">
        <v>1</v>
      </c>
    </row>
    <row r="10" spans="1:8" s="17" customFormat="1" ht="14.1" customHeight="1" x14ac:dyDescent="0.3">
      <c r="A10" s="5" t="s">
        <v>47</v>
      </c>
      <c r="B10" s="3" t="s">
        <v>144</v>
      </c>
      <c r="C10" s="224">
        <v>2</v>
      </c>
      <c r="D10" s="3" t="s">
        <v>50</v>
      </c>
      <c r="E10" s="14" t="str">
        <f>IF(COUNTIF(AC!I28:I29,"Not Selected")&gt;0,"Not Selected",
IF(COUNTIF(AC!I28:I29,"Planned")&gt;0,"Planned",
IF(COUNTIF(AC!I28:I29,"Inherited")&gt;0,"Inherited",
IF(COUNTIF(AC!I28:I29,"Partially Implemented")&gt;0,"Partially Implemented",
IF(COUNTIF(AC!I28:I29,"Implemented")&gt;0,"Implemented",
"")))))</f>
        <v>Implemented</v>
      </c>
      <c r="F10" s="16" t="str">
        <f>IF(COUNTIF(AC!J28:J29,"Not Applicable")&gt;0,"Not Applicable",
IF(COUNTIF(AC!J28:J29,"NOT MET")&gt;0,"NOT MET",
IF(COUNTIF(AC!J28:J29,"MET")&gt;0,"MET",
"")))</f>
        <v>MET</v>
      </c>
      <c r="G10" s="14">
        <v>1</v>
      </c>
      <c r="H10" s="14">
        <v>1</v>
      </c>
    </row>
    <row r="11" spans="1:8" s="17" customFormat="1" ht="14.1" customHeight="1" x14ac:dyDescent="0.3">
      <c r="A11" s="5" t="s">
        <v>47</v>
      </c>
      <c r="B11" s="3" t="s">
        <v>145</v>
      </c>
      <c r="C11" s="18">
        <v>2</v>
      </c>
      <c r="D11" s="3" t="s">
        <v>175</v>
      </c>
      <c r="E11" s="14" t="str">
        <f>IF(COUNTIF(AC!I31,"Not Selected")&gt;0,"Not Selected",
IF(COUNTIF(AC!I31,"Planned")&gt;0,"Planned",
IF(COUNTIF(AC!I31,"Inherited")&gt;0,"Inherited",
IF(COUNTIF(AC!I31,"Partially Implemented")&gt;0,"Partially Implemented",
IF(COUNTIF(AC!I31,"Implemented")&gt;0,"Implemented",
"")))))</f>
        <v>Implemented</v>
      </c>
      <c r="F11" s="16" t="str">
        <f>IF(COUNTIF(AC!J31,"Not Applicable")&gt;0,"Not Applicable",
IF(COUNTIF(AC!J31,"NOT MET")&gt;0,"NOT MET",
IF(COUNTIF(AC!J31,"MET")&gt;0,"MET",
"")))</f>
        <v>MET</v>
      </c>
      <c r="G11" s="14">
        <v>1</v>
      </c>
      <c r="H11" s="14">
        <v>1</v>
      </c>
    </row>
    <row r="12" spans="1:8" s="17" customFormat="1" ht="14.1" customHeight="1" x14ac:dyDescent="0.3">
      <c r="A12" s="5" t="s">
        <v>47</v>
      </c>
      <c r="B12" s="3" t="s">
        <v>146</v>
      </c>
      <c r="C12" s="18">
        <v>2</v>
      </c>
      <c r="D12" s="3" t="s">
        <v>176</v>
      </c>
      <c r="E12" s="14" t="str">
        <f>IF(COUNTIF(AC!I32:I34,"Not Selected")&gt;0,"Not Selected",
IF(COUNTIF(AC!I32:I34,"Planned")&gt;0,"Planned",
IF(COUNTIF(AC!I32:I34,"Inherited")&gt;0,"Inherited",
IF(COUNTIF(AC!I32:I34,"Partially Implemented")&gt;0,"Partially Implemented",
IF(COUNTIF(AC!I32:I34,"Implemented")&gt;0,"Implemented",
"")))))</f>
        <v>Implemented</v>
      </c>
      <c r="F12" s="16" t="str">
        <f>IF(COUNTIF(AC!J32:J34,"Not Applicable")&gt;0,"Not Applicable",
IF(COUNTIF(AC!J32:J34,"NOT MET")&gt;0,"NOT MET",
IF(COUNTIF(AC!J32:J34,"MET")&gt;0,"MET",
"")))</f>
        <v>MET</v>
      </c>
      <c r="G12" s="14">
        <v>1</v>
      </c>
      <c r="H12" s="14">
        <v>1</v>
      </c>
    </row>
    <row r="13" spans="1:8" s="17" customFormat="1" ht="14.1" customHeight="1" x14ac:dyDescent="0.3">
      <c r="A13" s="5" t="s">
        <v>47</v>
      </c>
      <c r="B13" s="3" t="s">
        <v>147</v>
      </c>
      <c r="C13" s="18">
        <v>2</v>
      </c>
      <c r="D13" s="3" t="s">
        <v>51</v>
      </c>
      <c r="E13" s="14" t="str">
        <f>IF(COUNTIF(AC!I35:I36,"Not Selected")&gt;0,"Not Selected",
IF(COUNTIF(AC!I35:I36,"Planned")&gt;0,"Planned",
IF(COUNTIF(AC!I35:I36,"Inherited")&gt;0,"Inherited",
IF(COUNTIF(AC!I35:I36,"Partially Implemented")&gt;0,"Partially Implemented",
IF(COUNTIF(AC!I35:I36,"Implemented")&gt;0,"Implemented",
"")))))</f>
        <v>Implemented</v>
      </c>
      <c r="F13" s="16" t="str">
        <f>IF(COUNTIF(AC!J35:J36,"Not Applicable")&gt;0,"Not Applicable",
IF(COUNTIF(AC!J35:J36,"NOT MET")&gt;0,"NOT MET",
IF(COUNTIF(AC!J35:J36,"MET")&gt;0,"MET",
"")))</f>
        <v>MET</v>
      </c>
      <c r="G13" s="14">
        <v>1</v>
      </c>
      <c r="H13" s="14">
        <v>1</v>
      </c>
    </row>
    <row r="14" spans="1:8" s="17" customFormat="1" ht="14.1" customHeight="1" x14ac:dyDescent="0.3">
      <c r="A14" s="5" t="s">
        <v>47</v>
      </c>
      <c r="B14" s="3" t="s">
        <v>148</v>
      </c>
      <c r="C14" s="18">
        <v>2</v>
      </c>
      <c r="D14" s="3" t="s">
        <v>177</v>
      </c>
      <c r="E14" s="14" t="str">
        <f>IF(COUNTIF(AC!I40,"Not Selected")&gt;0,"Not Selected",
IF(COUNTIF(AC!I40,"Planned")&gt;0,"Planned",
IF(COUNTIF(AC!I40,"Inherited")&gt;0,"Inherited",
IF(COUNTIF(AC!I40,"Partially Implemented")&gt;0,"Partially Implemented",
IF(COUNTIF(AC!I40,"Implemented")&gt;0,"Implemented",
"")))))</f>
        <v>Implemented</v>
      </c>
      <c r="F14" s="16" t="str">
        <f>IF(COUNTIF(AC!J40,"Not Applicable")&gt;0,"Not Applicable",
IF(COUNTIF(AC!J40,"NOT MET")&gt;0,"NOT MET",
IF(COUNTIF(AC!J40,"MET")&gt;0,"MET",
"")))</f>
        <v>MET</v>
      </c>
      <c r="G14" s="14">
        <v>1</v>
      </c>
      <c r="H14" s="14">
        <v>5</v>
      </c>
    </row>
    <row r="15" spans="1:8" s="17" customFormat="1" ht="14.1" customHeight="1" x14ac:dyDescent="0.3">
      <c r="A15" s="5" t="s">
        <v>47</v>
      </c>
      <c r="B15" s="3" t="s">
        <v>149</v>
      </c>
      <c r="C15" s="224">
        <v>2</v>
      </c>
      <c r="D15" s="3" t="s">
        <v>178</v>
      </c>
      <c r="E15" s="14" t="str">
        <f>IF(COUNTIF(AC!I41:I42,"Not Selected")&gt;0,"Not Selected",
IF(COUNTIF(AC!I41:I42,"Planned")&gt;0,"Planned",
IF(COUNTIF(AC!I41:I42,"Inherited")&gt;0,"Inherited",
IF(COUNTIF(AC!I41:I42,"Partially Implemented")&gt;0,"Partially Implemented",
IF(COUNTIF(AC!I41:I42,"Implemented")&gt;0,"Implemented",
"")))))</f>
        <v>Implemented</v>
      </c>
      <c r="F15" s="16" t="str">
        <f>IF(COUNTIF(AC!J41:J42,"Not Applicable")&gt;0,"Not Applicable",
IF(COUNTIF(AC!J41:J42,"NOT MET")&gt;0,"NOT MET",
IF(COUNTIF(AC!J41:J42,"MET")&gt;0,"MET",
"")))</f>
        <v>MET</v>
      </c>
      <c r="G15" s="14">
        <v>1</v>
      </c>
      <c r="H15" s="14">
        <v>5</v>
      </c>
    </row>
    <row r="16" spans="1:8" s="17" customFormat="1" ht="14.1" customHeight="1" x14ac:dyDescent="0.3">
      <c r="A16" s="5" t="s">
        <v>47</v>
      </c>
      <c r="B16" s="3" t="s">
        <v>150</v>
      </c>
      <c r="C16" s="224">
        <v>2</v>
      </c>
      <c r="D16" s="3" t="s">
        <v>179</v>
      </c>
      <c r="E16" s="14" t="str">
        <f>IF(COUNTIF(AC!I43:I44,"Not Selected")&gt;0,"Not Selected",
IF(COUNTIF(AC!I43:I44,"Planned")&gt;0,"Planned",
IF(COUNTIF(AC!I43:I44,"Inherited")&gt;0,"Inherited",
IF(COUNTIF(AC!I43:I44,"Partially Implemented")&gt;0,"Partially Implemented",
IF(COUNTIF(AC!I43:I44,"Implemented")&gt;0,"Implemented",
"")))))</f>
        <v>Implemented</v>
      </c>
      <c r="F16" s="16" t="str">
        <f>IF(COUNTIF(AC!J43:J44,"Not Applicable")&gt;0,"Not Applicable",
IF(COUNTIF(AC!J43:J44,"NOT MET")&gt;0,"NOT MET",
IF(COUNTIF(AC!J43:J44,"MET")&gt;0,"MET",
"")))</f>
        <v>MET</v>
      </c>
      <c r="G16" s="14">
        <v>1</v>
      </c>
      <c r="H16" s="14">
        <v>1</v>
      </c>
    </row>
    <row r="17" spans="1:8" s="17" customFormat="1" ht="14.1" customHeight="1" x14ac:dyDescent="0.3">
      <c r="A17" s="5" t="s">
        <v>47</v>
      </c>
      <c r="B17" s="3" t="s">
        <v>151</v>
      </c>
      <c r="C17" s="224">
        <v>2</v>
      </c>
      <c r="D17" s="3" t="s">
        <v>180</v>
      </c>
      <c r="E17" s="14" t="str">
        <f>IF(COUNTIF(AC!I45:I48,"Not Selected")&gt;0,"Not Selected",
IF(COUNTIF(AC!I45:I48,"Planned")&gt;0,"Planned",
IF(COUNTIF(AC!I45:I48,"Inherited")&gt;0,"Inherited",
IF(COUNTIF(AC!I45:I48,"Partially Implemented")&gt;0,"Partially Implemented",
IF(COUNTIF(AC!I45:I48,"Implemented")&gt;0,"Implemented",
"")))))</f>
        <v>Implemented</v>
      </c>
      <c r="F17" s="16" t="str">
        <f>IF(COUNTIF(AC!J45:J48,"Not Applicable")&gt;0,"Not Applicable",
IF(COUNTIF(AC!J45:J48,"NOT MET")&gt;0,"NOT MET",
IF(COUNTIF(AC!J45:J48,"MET")&gt;0,"MET",
"")))</f>
        <v>MET</v>
      </c>
      <c r="G17" s="14">
        <v>1</v>
      </c>
      <c r="H17" s="14">
        <v>1</v>
      </c>
    </row>
    <row r="18" spans="1:8" s="17" customFormat="1" ht="14.1" customHeight="1" x14ac:dyDescent="0.3">
      <c r="A18" s="5" t="s">
        <v>47</v>
      </c>
      <c r="B18" s="3" t="s">
        <v>152</v>
      </c>
      <c r="C18" s="224">
        <v>2</v>
      </c>
      <c r="D18" s="3" t="s">
        <v>181</v>
      </c>
      <c r="E18" s="14" t="str">
        <f>IF(COUNTIF(AC!I49:I50,"Not Selected")&gt;0,"Not Selected",
IF(COUNTIF(AC!I49:I50,"Planned")&gt;0,"Planned",
IF(COUNTIF(AC!I49:I50,"Inherited")&gt;0,"Inherited",
IF(COUNTIF(AC!I49:I50,"Partially Implemented")&gt;0,"Partially Implemented",
IF(COUNTIF(AC!I49:I50,"Implemented")&gt;0,"Implemented",
"")))))</f>
        <v>Inherited</v>
      </c>
      <c r="F18" s="16" t="str">
        <f>IF(COUNTIF(AC!J49:J50,"Not Applicable")&gt;0,"Not Applicable",
IF(COUNTIF(AC!J49:J50,"NOT MET")&gt;0,"NOT MET",
IF(COUNTIF(AC!J49:J50,"MET")&gt;0,"MET",
"")))</f>
        <v>MET</v>
      </c>
      <c r="G18" s="14">
        <v>1</v>
      </c>
      <c r="H18" s="14">
        <v>5</v>
      </c>
    </row>
    <row r="19" spans="1:8" s="17" customFormat="1" ht="14.1" customHeight="1" x14ac:dyDescent="0.3">
      <c r="A19" s="5" t="s">
        <v>47</v>
      </c>
      <c r="B19" s="3" t="s">
        <v>153</v>
      </c>
      <c r="C19" s="224">
        <v>2</v>
      </c>
      <c r="D19" s="3" t="s">
        <v>182</v>
      </c>
      <c r="E19" s="14" t="str">
        <f>IF(COUNTIF(AC!I52,"Not Selected")&gt;0,"Not Selected",
IF(COUNTIF(AC!I52,"Planned")&gt;0,"Planned",
IF(COUNTIF(AC!I52,"Inherited")&gt;0,"Inherited",
IF(COUNTIF(AC!I52,"Partially Implemented")&gt;0,"Partially Implemented",
IF(COUNTIF(AC!I52,"Implemented")&gt;0,"Implemented",
"")))))</f>
        <v>Inherited</v>
      </c>
      <c r="F19" s="16" t="str">
        <f>IF(COUNTIF(AC!J52,"Not Applicable")&gt;0,"Not Applicable",
IF(COUNTIF(AC!J52,"NOT MET")&gt;0,"NOT MET",
IF(COUNTIF(AC!J52,"MET")&gt;0,"MET",
"")))</f>
        <v>MET</v>
      </c>
      <c r="G19" s="14">
        <v>1</v>
      </c>
      <c r="H19" s="14">
        <v>5</v>
      </c>
    </row>
    <row r="20" spans="1:8" s="17" customFormat="1" ht="14.1" customHeight="1" x14ac:dyDescent="0.3">
      <c r="A20" s="5" t="s">
        <v>47</v>
      </c>
      <c r="B20" s="3" t="s">
        <v>154</v>
      </c>
      <c r="C20" s="224">
        <v>2</v>
      </c>
      <c r="D20" s="3" t="s">
        <v>183</v>
      </c>
      <c r="E20" s="14" t="str">
        <f>IF(COUNTIF(AC!I55,"Not Selected")&gt;0,"Not Selected",
IF(COUNTIF(AC!I55,"Planned")&gt;0,"Planned",
IF(COUNTIF(AC!I55,"Inherited")&gt;0,"Inherited",
IF(COUNTIF(AC!I55,"Partially Implemented")&gt;0,"Partially Implemented",
IF(COUNTIF(AC!I55,"Implemented")&gt;0,"Implemented",
"")))))</f>
        <v>Implemented</v>
      </c>
      <c r="F20" s="16" t="str">
        <f>IF(COUNTIF(AC!J55,"Not Applicable")&gt;0,"Not Applicable",
IF(COUNTIF(AC!J55,"NOT MET")&gt;0,"NOT MET",
IF(COUNTIF(AC!J55,"MET")&gt;0,"MET",
"")))</f>
        <v>MET</v>
      </c>
      <c r="G20" s="14">
        <v>1</v>
      </c>
      <c r="H20" s="14">
        <v>5</v>
      </c>
    </row>
    <row r="21" spans="1:8" s="17" customFormat="1" ht="14.1" customHeight="1" x14ac:dyDescent="0.3">
      <c r="A21" s="18" t="s">
        <v>47</v>
      </c>
      <c r="B21" s="3" t="s">
        <v>155</v>
      </c>
      <c r="C21" s="18">
        <v>2</v>
      </c>
      <c r="D21" s="3" t="s">
        <v>184</v>
      </c>
      <c r="E21" s="14" t="str">
        <f>IF(COUNTIF(AC!I56:I57,"Not Selected")&gt;0,"Not Selected",
IF(COUNTIF(AC!I56:I57,"Planned")&gt;0,"Planned",
IF(COUNTIF(AC!I56:I57,"Inherited")&gt;0,"Inherited",
IF(COUNTIF(AC!I56:I57,"Partially Implemented")&gt;0,"Partially Implemented",
IF(COUNTIF(AC!I56:I57,"Implemented")&gt;0,"Implemented",
"")))))</f>
        <v>Implemented</v>
      </c>
      <c r="F21" s="16" t="str">
        <f>IF(COUNTIF(AC!J56:J57,"Not Applicable")&gt;0,"Not Applicable",
IF(COUNTIF(AC!J56:J57,"NOT MET")&gt;0,"NOT MET",
IF(COUNTIF(AC!J56:J57,"MET")&gt;0,"MET",
"")))</f>
        <v>MET</v>
      </c>
      <c r="G21" s="14">
        <v>1</v>
      </c>
      <c r="H21" s="14">
        <v>3</v>
      </c>
    </row>
    <row r="22" spans="1:8" s="17" customFormat="1" ht="14.1" customHeight="1" x14ac:dyDescent="0.3">
      <c r="A22" s="18" t="s">
        <v>47</v>
      </c>
      <c r="B22" s="3" t="s">
        <v>156</v>
      </c>
      <c r="C22" s="18">
        <v>1</v>
      </c>
      <c r="D22" s="3" t="s">
        <v>159</v>
      </c>
      <c r="E22" s="14" t="str">
        <f>IF(COUNTIF(AC!I58:I63,"Not Selected")&gt;0,"Not Selected",
IF(COUNTIF(AC!I58:I63,"Planned")&gt;0,"Planned",
IF(COUNTIF(AC!I58:I63,"Inherited")&gt;0,"Inherited",
IF(COUNTIF(AC!I58:I63,"Partially Implemented")&gt;0,"Partially Implemented",
IF(COUNTIF(AC!I58:I63,"Implemented")&gt;0,"Implemented",
"")))))</f>
        <v>Implemented</v>
      </c>
      <c r="F22" s="16" t="str">
        <f>IF(COUNTIF(AC!J58:J63,"Not Applicable")&gt;0,"Not Applicable",
IF(COUNTIF(AC!J58:J63,"NOT MET")&gt;0,"NOT MET",
IF(COUNTIF(AC!J58:J63,"MET")&gt;0,"MET",
"")))</f>
        <v>MET</v>
      </c>
      <c r="G22" s="14">
        <v>1</v>
      </c>
      <c r="H22" s="14">
        <v>1</v>
      </c>
    </row>
    <row r="23" spans="1:8" s="17" customFormat="1" ht="14.1" customHeight="1" x14ac:dyDescent="0.3">
      <c r="A23" s="5" t="s">
        <v>47</v>
      </c>
      <c r="B23" s="3" t="s">
        <v>157</v>
      </c>
      <c r="C23" s="18">
        <v>2</v>
      </c>
      <c r="D23" s="3" t="s">
        <v>185</v>
      </c>
      <c r="E23" s="14" t="str">
        <f>IF(COUNTIF(AC!I64:I66,"Not Selected")&gt;0,"Not Selected",
IF(COUNTIF(AC!I64:I66,"Planned")&gt;0,"Planned",
IF(COUNTIF(AC!I64:I66,"Inherited")&gt;0,"Inherited",
IF(COUNTIF(AC!I64:I66,"Partially Implemented")&gt;0,"Partially Implemented",
IF(COUNTIF(AC!I64:I66,"Implemented")&gt;0,"Implemented",
"")))))</f>
        <v>Implemented</v>
      </c>
      <c r="F23" s="16" t="str">
        <f>IF(COUNTIF(AC!J64:J66,"Not Applicable")&gt;0,"Not Applicable",
IF(COUNTIF(AC!J64:J66,"NOT MET")&gt;0,"NOT MET",
IF(COUNTIF(AC!J64:J66,"MET")&gt;0,"MET",
"")))</f>
        <v>MET</v>
      </c>
      <c r="G23" s="14">
        <v>1</v>
      </c>
      <c r="H23" s="14">
        <v>1</v>
      </c>
    </row>
    <row r="24" spans="1:8" s="17" customFormat="1" ht="14.1" customHeight="1" x14ac:dyDescent="0.3">
      <c r="A24" s="5" t="s">
        <v>47</v>
      </c>
      <c r="B24" s="3" t="s">
        <v>158</v>
      </c>
      <c r="C24" s="224">
        <v>1</v>
      </c>
      <c r="D24" s="3" t="s">
        <v>166</v>
      </c>
      <c r="E24" s="14" t="str">
        <f>IF(COUNTIF(AC!I71,"Not Selected")&gt;0,"Not Selected",
IF(COUNTIF(AC!I71,"Planned")&gt;0,"Planned",
IF(COUNTIF(AC!I71,"Inherited")&gt;0,"Inherited",
IF(COUNTIF(AC!I71,"Partially Implemented")&gt;0,"Partially Implemented",
IF(COUNTIF(AC!I71,"Implemented")&gt;0,"Implemented",
"")))))</f>
        <v>Implemented</v>
      </c>
      <c r="F24" s="16" t="str">
        <f>IF(COUNTIF(AC!J71,"Not Applicable")&gt;0,"Not Applicable",
IF(COUNTIF(AC!J71,"NOT MET")&gt;0,"NOT MET",
IF(COUNTIF(AC!J71,"MET")&gt;0,"MET",
"")))</f>
        <v>MET</v>
      </c>
      <c r="G24" s="14">
        <v>1</v>
      </c>
      <c r="H24" s="14">
        <v>1</v>
      </c>
    </row>
    <row r="25" spans="1:8" ht="14.1" customHeight="1" x14ac:dyDescent="0.3">
      <c r="A25" s="21"/>
      <c r="B25" s="23"/>
      <c r="C25" s="21"/>
      <c r="D25" s="23" t="s">
        <v>52</v>
      </c>
      <c r="E25" s="24"/>
      <c r="F25" s="24"/>
      <c r="G25" s="24"/>
      <c r="H25" s="24"/>
    </row>
    <row r="26" spans="1:8" ht="14.1" customHeight="1" x14ac:dyDescent="0.3">
      <c r="A26" s="5" t="s">
        <v>53</v>
      </c>
      <c r="B26" s="3" t="s">
        <v>300</v>
      </c>
      <c r="C26" s="236">
        <v>2</v>
      </c>
      <c r="D26" s="4" t="s">
        <v>299</v>
      </c>
      <c r="E26" s="14" t="str">
        <f>IF(COUNTIF(AT!I2:I5,"Not Selected")&gt;0,"Not Selected",
IF(COUNTIF(AT!I2:I5,"Planned")&gt;0,"Planned",
IF(COUNTIF(AT!I2:I5,"Inherited")&gt;0,"Inherited",
IF(COUNTIF(AT!I2:I5,"Partially Implemented")&gt;0,"Partially Implemented",
IF(COUNTIF(AT!I2:I5,"Implemented")&gt;0,"Implemented",
"")))))</f>
        <v>Implemented</v>
      </c>
      <c r="F26" s="8" t="str">
        <f>IF(COUNTIF(AT!J2:J5,"Not Applicable")&gt;0,"Not Applicable",
IF(COUNTIF(AT!J2:J5,"NOT MET")&gt;0,"NOT MET",
IF(COUNTIF(AT!J2:J5,"Partially MET")&gt;0,"Partially MET",
IF(COUNTIF(AT!J2:J5,"MET")&gt;0,"MET",
""))))</f>
        <v>MET</v>
      </c>
      <c r="G26" s="7">
        <v>1</v>
      </c>
      <c r="H26" s="7">
        <v>5</v>
      </c>
    </row>
    <row r="27" spans="1:8" ht="14.1" customHeight="1" x14ac:dyDescent="0.3">
      <c r="A27" s="5" t="s">
        <v>53</v>
      </c>
      <c r="B27" s="3" t="s">
        <v>302</v>
      </c>
      <c r="C27" s="236">
        <v>2</v>
      </c>
      <c r="D27" s="4" t="s">
        <v>54</v>
      </c>
      <c r="E27" s="7" t="str">
        <f>IF(COUNTIF(AT!I6:I8,"Not Selected")&gt;0,"Not Selected",
IF(COUNTIF(AT!I6:I8,"Planned")&gt;0,"Planned",
IF(COUNTIF(AT!I6:I8,"Inherited")&gt;0,"Inherited",
IF(COUNTIF(AT!I6:I8,"Partially Implemented")&gt;0,"Partially Implemented",
IF(COUNTIF(AT!I6:I8,"Implemented")&gt;0,"Implemented",
"")))))</f>
        <v>Implemented</v>
      </c>
      <c r="F27" s="8" t="str">
        <f>IF(COUNTIF(AT!J6:J8,"Not Applicable")&gt;0,"Not Applicable",
IF(COUNTIF(AT!J6:J8,"NOT MET")&gt;0,"NOT MET",
IF(COUNTIF(AT!J6:J8,"Partially MET")&gt;0,"Partially MET",
IF(COUNTIF(AT!J6:J8,"MET")&gt;0,"MET",
""))))</f>
        <v>MET</v>
      </c>
      <c r="G27" s="7">
        <v>1</v>
      </c>
      <c r="H27" s="7">
        <v>5</v>
      </c>
    </row>
    <row r="28" spans="1:8" ht="14.1" customHeight="1" x14ac:dyDescent="0.3">
      <c r="A28" s="5" t="s">
        <v>53</v>
      </c>
      <c r="B28" s="3" t="s">
        <v>303</v>
      </c>
      <c r="C28" s="237">
        <v>2</v>
      </c>
      <c r="D28" s="4" t="s">
        <v>323</v>
      </c>
      <c r="E28" s="7" t="str">
        <f>IF(COUNTIF(AT!I9:I10,"Not Selected")&gt;0,"Not Selected",
IF(COUNTIF(AT!I9:I10,"Planned")&gt;0,"Planned",
IF(COUNTIF(AT!I9:I10,"Inherited")&gt;0,"Inherited",
IF(COUNTIF(AT!I9:I10,"Partially Implemented")&gt;0,"Partially Implemented",
IF(COUNTIF(AT!I9:I10,"Implemented")&gt;0,"Implemented",
"")))))</f>
        <v>Implemented</v>
      </c>
      <c r="F28" s="8" t="str">
        <f>IF(COUNTIF(AT!J9:J10,"Not Applicable")&gt;0,"Not Applicable",
IF(COUNTIF(AT!J9:J10,"NOT MET")&gt;0,"NOT MET",
IF(COUNTIF(AT!J9:J10,"Partially MET")&gt;0,"Partially MET",
IF(COUNTIF(AT!J9:J10,"MET")&gt;0,"MET",
""))))</f>
        <v>MET</v>
      </c>
      <c r="G28" s="7">
        <v>1</v>
      </c>
      <c r="H28" s="7">
        <v>1</v>
      </c>
    </row>
    <row r="29" spans="1:8" ht="14.1" customHeight="1" x14ac:dyDescent="0.3">
      <c r="A29" s="21"/>
      <c r="B29" s="23"/>
      <c r="C29" s="21"/>
      <c r="D29" s="23" t="s">
        <v>55</v>
      </c>
      <c r="E29" s="24"/>
      <c r="F29" s="24"/>
      <c r="G29" s="24"/>
      <c r="H29" s="24"/>
    </row>
    <row r="30" spans="1:8" ht="14.1" customHeight="1" x14ac:dyDescent="0.3">
      <c r="A30" s="5" t="s">
        <v>56</v>
      </c>
      <c r="B30" s="3" t="s">
        <v>331</v>
      </c>
      <c r="C30" s="5">
        <v>2</v>
      </c>
      <c r="D30" s="3" t="s">
        <v>333</v>
      </c>
      <c r="E30" s="14" t="str">
        <f>IF(COUNTIF(AU!I2:I7,"Not Selected")&gt;0,"Not Selected",
IF(COUNTIF(AU!I2:I7,"Planned")&gt;0,"Planned",
IF(COUNTIF(AU!I2:I7,"Inherited")&gt;0,"Inherited",
IF(COUNTIF(AU!I2:I7,"Partially Implemented")&gt;0,"Partially Implemented",
IF(COUNTIF(AU!I2:I7,"Implemented")&gt;0,"Implemented",
"")))))</f>
        <v>Implemented</v>
      </c>
      <c r="F30" s="8" t="str">
        <f>IF(COUNTIF(AU!J2:J7,"Not Applicable")&gt;0,"Not Applicable",
IF(COUNTIF(AU!J2:J7,"NOT MET")&gt;0,"NOT MET",
IF(COUNTIF(AU!J2:J7,"Partially MET")&gt;0,"Partially MET",
IF(COUNTIF(AU!J2:J7,"MET")&gt;0,"MET",
""))))</f>
        <v>MET</v>
      </c>
      <c r="G30" s="7">
        <v>1</v>
      </c>
      <c r="H30" s="7">
        <v>5</v>
      </c>
    </row>
    <row r="31" spans="1:8" ht="14.1" customHeight="1" x14ac:dyDescent="0.3">
      <c r="A31" s="5" t="s">
        <v>56</v>
      </c>
      <c r="B31" s="3" t="s">
        <v>342</v>
      </c>
      <c r="C31" s="5">
        <v>2</v>
      </c>
      <c r="D31" s="3" t="s">
        <v>351</v>
      </c>
      <c r="E31" s="7" t="str">
        <f>IF(COUNTIF(AU!I8:I9,"Not Selected")&gt;0,"Not Selected",
IF(COUNTIF(AU!I8:I9,"Planned")&gt;0,"Planned",
IF(COUNTIF(AU!I8:I9,"Inherited")&gt;0,"Inherited",
IF(COUNTIF(AU!I8:I9,"Partially Implemented")&gt;0,"Partially Implemented",
IF(COUNTIF(AU!I8:I9,"Implemented")&gt;0,"Implemented",
"")))))</f>
        <v>Implemented</v>
      </c>
      <c r="F31" s="8" t="str">
        <f>IF(COUNTIF(AU!J8:J9,"Not Applicable")&gt;0,"Not Applicable",
IF(COUNTIF(AU!J8:J9,"NOT MET")&gt;0,"NOT MET",
IF(COUNTIF(AU!J8:J9,"Partially MET")&gt;0,"Partially MET",
IF(COUNTIF(AU!J8:J9,"MET")&gt;0,"MET",
""))))</f>
        <v>MET</v>
      </c>
      <c r="G31" s="7">
        <v>1</v>
      </c>
      <c r="H31" s="7">
        <v>3</v>
      </c>
    </row>
    <row r="32" spans="1:8" ht="14.1" customHeight="1" x14ac:dyDescent="0.3">
      <c r="A32" s="5" t="s">
        <v>56</v>
      </c>
      <c r="B32" s="3" t="s">
        <v>352</v>
      </c>
      <c r="C32" s="5">
        <v>2</v>
      </c>
      <c r="D32" s="3" t="s">
        <v>358</v>
      </c>
      <c r="E32" s="7" t="str">
        <f>IF(COUNTIF(AU!I10:I12,"Not Selected")&gt;0,"Not Selected",
IF(COUNTIF(AU!I10:I12,"Planned")&gt;0,"Planned",
IF(COUNTIF(AU!I10:I12,"Inherited")&gt;0,"Inherited",
IF(COUNTIF(AU!I10:I12,"Partially Implemented")&gt;0,"Partially Implemented",
IF(COUNTIF(AU!I10:I12,"Implemented")&gt;0,"Implemented",
"")))))</f>
        <v>Implemented</v>
      </c>
      <c r="F32" s="8" t="str">
        <f>IF(COUNTIF(AU!J10:J12,"Not Applicable")&gt;0,"Not Applicable",
IF(COUNTIF(AU!J10:J12,"NOT MET")&gt;0,"NOT MET",
IF(COUNTIF(AU!J10:J12,"Partially MET")&gt;0,"Partially MET",
IF(COUNTIF(AU!J10:J12,"MET")&gt;0,"MET",
""))))</f>
        <v>MET</v>
      </c>
      <c r="G32" s="7">
        <v>1</v>
      </c>
      <c r="H32" s="7">
        <v>1</v>
      </c>
    </row>
    <row r="33" spans="1:8" ht="14.1" customHeight="1" x14ac:dyDescent="0.3">
      <c r="A33" s="5" t="s">
        <v>56</v>
      </c>
      <c r="B33" s="3" t="s">
        <v>362</v>
      </c>
      <c r="C33" s="6">
        <v>2</v>
      </c>
      <c r="D33" s="3" t="s">
        <v>760</v>
      </c>
      <c r="E33" s="7" t="str">
        <f>IF(COUNTIF(AU!I13:I15,"Not Selected")&gt;0,"Not Selected",
IF(COUNTIF(AU!I13:I15,"Planned")&gt;0,"Planned",
IF(COUNTIF(AU!I13:I15,"Inherited")&gt;0,"Inherited",
IF(COUNTIF(AU!I13:I15,"Partially Implemented")&gt;0,"Partially Implemented",
IF(COUNTIF(AU!I13:I15,"Implemented")&gt;0,"Implemented",
"")))))</f>
        <v>Implemented</v>
      </c>
      <c r="F33" s="8" t="str">
        <f>IF(COUNTIF(AU!J13:J15,"Not Applicable")&gt;0,"Not Applicable",
IF(COUNTIF(AU!J13:J15,"NOT MET")&gt;0,"NOT MET",
IF(COUNTIF(AU!J13:J15,"Partially MET")&gt;0,"Partially MET",
IF(COUNTIF(AU!J13:J15,"MET")&gt;0,"MET",
""))))</f>
        <v>MET</v>
      </c>
      <c r="G33" s="7">
        <v>1</v>
      </c>
      <c r="H33" s="7">
        <v>1</v>
      </c>
    </row>
    <row r="34" spans="1:8" ht="14.1" customHeight="1" x14ac:dyDescent="0.3">
      <c r="A34" s="5" t="s">
        <v>56</v>
      </c>
      <c r="B34" s="3" t="s">
        <v>377</v>
      </c>
      <c r="C34" s="5">
        <v>2</v>
      </c>
      <c r="D34" s="3" t="s">
        <v>376</v>
      </c>
      <c r="E34" s="7" t="str">
        <f>IF(COUNTIF(AU!I16:I17,"Not Selected")&gt;0,"Not Selected",
IF(COUNTIF(AU!I16:I17,"Planned")&gt;0,"Planned",
IF(COUNTIF(AU!I16:I17,"Inherited")&gt;0,"Inherited",
IF(COUNTIF(AU!I16:I17,"Partially Implemented")&gt;0,"Partially Implemented",
IF(COUNTIF(AU!I16:I17,"Implemented")&gt;0,"Implemented",
"")))))</f>
        <v>Implemented</v>
      </c>
      <c r="F34" s="8" t="str">
        <f>IF(COUNTIF(AU!J16:J17,"Not Applicable")&gt;0,"Not Applicable",
IF(COUNTIF(AU!J16:J17,"NOT MET")&gt;0,"NOT MET",
IF(COUNTIF(AU!J16:J17,"Partially MET")&gt;0,"Partially MET",
IF(COUNTIF(AU!J16:J17,"MET")&gt;0,"MET",
""))))</f>
        <v>MET</v>
      </c>
      <c r="G34" s="7">
        <v>1</v>
      </c>
      <c r="H34" s="7">
        <v>5</v>
      </c>
    </row>
    <row r="35" spans="1:8" ht="14.1" customHeight="1" x14ac:dyDescent="0.3">
      <c r="A35" s="5" t="s">
        <v>56</v>
      </c>
      <c r="B35" s="3" t="s">
        <v>386</v>
      </c>
      <c r="C35" s="5">
        <v>2</v>
      </c>
      <c r="D35" s="3" t="s">
        <v>385</v>
      </c>
      <c r="E35" s="7" t="str">
        <f>IF(COUNTIF(AU!I18:I19,"Not Selected")&gt;0,"Not Selected",
IF(COUNTIF(AU!I18:I19,"Planned")&gt;0,"Planned",
IF(COUNTIF(AU!I18:I19,"Inherited")&gt;0,"Inherited",
IF(COUNTIF(AU!I18:I19,"Partially Implemented")&gt;0,"Partially Implemented",
IF(COUNTIF(AU!I18:I19,"Implemented")&gt;0,"Implemented",
"")))))</f>
        <v>Implemented</v>
      </c>
      <c r="F35" s="8" t="str">
        <f>IF(COUNTIF(AU!J18:J19,"Not Applicable")&gt;0,"Not Applicable",
IF(COUNTIF(AU!J18:J19,"NOT MET")&gt;0,"NOT MET",
IF(COUNTIF(AU!J18:J19,"Partially MET")&gt;0,"Partially MET",
IF(COUNTIF(AU!J18:J19,"MET")&gt;0,"MET",
""))))</f>
        <v>MET</v>
      </c>
      <c r="G35" s="7">
        <v>1</v>
      </c>
      <c r="H35" s="7">
        <v>1</v>
      </c>
    </row>
    <row r="36" spans="1:8" ht="14.1" customHeight="1" x14ac:dyDescent="0.3">
      <c r="A36" s="5" t="s">
        <v>56</v>
      </c>
      <c r="B36" s="3" t="s">
        <v>394</v>
      </c>
      <c r="C36" s="5">
        <v>2</v>
      </c>
      <c r="D36" s="3" t="s">
        <v>398</v>
      </c>
      <c r="E36" s="7" t="str">
        <f>IF(COUNTIF(AU!I20:I22,"Not Selected")&gt;0,"Not Selected",
IF(COUNTIF(AU!I20:I22,"Planned")&gt;0,"Planned",
IF(COUNTIF(AU!I20:I22,"Inherited")&gt;0,"Inherited",
IF(COUNTIF(AU!I20:I22,"Partially Implemented")&gt;0,"Partially Implemented",
IF(COUNTIF(AU!I20:I22,"Implemented")&gt;0,"Implemented",
"")))))</f>
        <v>Implemented</v>
      </c>
      <c r="F36" s="8" t="str">
        <f>IF(COUNTIF(AU!J20:J22,"Not Applicable")&gt;0,"Not Applicable",
IF(COUNTIF(AU!J20:J22,"NOT MET")&gt;0,"NOT MET",
IF(COUNTIF(AU!J20:J22,"Partially MET")&gt;0,"Partially MET",
IF(COUNTIF(AU!J20:J22,"MET")&gt;0,"MET",
""))))</f>
        <v>MET</v>
      </c>
      <c r="G36" s="7">
        <v>1</v>
      </c>
      <c r="H36" s="7">
        <v>1</v>
      </c>
    </row>
    <row r="37" spans="1:8" ht="14.1" customHeight="1" x14ac:dyDescent="0.3">
      <c r="A37" s="5" t="s">
        <v>56</v>
      </c>
      <c r="B37" s="3" t="s">
        <v>406</v>
      </c>
      <c r="C37" s="6">
        <v>2</v>
      </c>
      <c r="D37" s="3" t="s">
        <v>405</v>
      </c>
      <c r="E37" s="7" t="str">
        <f>IF(COUNTIF(AU!I23:I28,"Not Selected")&gt;0,"Not Selected",
IF(COUNTIF(AU!I23:I28,"Planned")&gt;0,"Planned",
IF(COUNTIF(AU!I23:I28,"Inherited")&gt;0,"Inherited",
IF(COUNTIF(AU!I23:I28,"Partially Implemented")&gt;0,"Partially Implemented",
IF(COUNTIF(AU!I23:I28,"Implemented")&gt;0,"Implemented",
"")))))</f>
        <v>Implemented</v>
      </c>
      <c r="F37" s="8" t="str">
        <f>IF(COUNTIF(AU!J23:J28,"Not Applicable")&gt;0,"Not Applicable",
IF(COUNTIF(AU!J23:J28,"NOT MET")&gt;0,"NOT MET",
IF(COUNTIF(AU!J23:J28,"Partially MET")&gt;0,"Partially MET",
IF(COUNTIF(AU!J23:J28,"MET")&gt;0,"MET",
""))))</f>
        <v>MET</v>
      </c>
      <c r="G37" s="7">
        <v>1</v>
      </c>
      <c r="H37" s="7">
        <v>1</v>
      </c>
    </row>
    <row r="38" spans="1:8" ht="14.1" customHeight="1" x14ac:dyDescent="0.3">
      <c r="A38" s="5" t="s">
        <v>56</v>
      </c>
      <c r="B38" s="3" t="s">
        <v>422</v>
      </c>
      <c r="C38" s="6">
        <v>2</v>
      </c>
      <c r="D38" s="3" t="s">
        <v>421</v>
      </c>
      <c r="E38" s="7" t="str">
        <f>IF(COUNTIF(AU!I30,"Not Selected")&gt;0,"Not Selected",
IF(COUNTIF(AU!I30,"Planned")&gt;0,"Planned",
IF(COUNTIF(AU!I30,"Inherited")&gt;0,"Inherited",
IF(COUNTIF(AU!I30,"Partially Implemented")&gt;0,"Partially Implemented",
IF(COUNTIF(AU!I30,"Implemented")&gt;0,"Implemented",
"")))))</f>
        <v>Implemented</v>
      </c>
      <c r="F38" s="8" t="str">
        <f>IF(COUNTIF(AU!J30,"Not Applicable")&gt;0,"Not Applicable",
IF(COUNTIF(AU!J30,"NOT MET")&gt;0,"NOT MET",
IF(COUNTIF(AU!J30,"Partially MET")&gt;0,"Partially MET",
IF(COUNTIF(AU!J30,"MET")&gt;0,"MET",
""))))</f>
        <v>MET</v>
      </c>
      <c r="G38" s="7">
        <v>1</v>
      </c>
      <c r="H38" s="7">
        <v>1</v>
      </c>
    </row>
    <row r="39" spans="1:8" ht="14.1" customHeight="1" x14ac:dyDescent="0.3">
      <c r="A39" s="21"/>
      <c r="B39" s="23"/>
      <c r="C39" s="21"/>
      <c r="D39" s="23" t="s">
        <v>808</v>
      </c>
      <c r="E39" s="24"/>
      <c r="F39" s="24"/>
      <c r="G39" s="24"/>
      <c r="H39" s="24"/>
    </row>
    <row r="40" spans="1:8" ht="14.1" customHeight="1" x14ac:dyDescent="0.3">
      <c r="A40" s="5" t="s">
        <v>57</v>
      </c>
      <c r="B40" s="3" t="s">
        <v>763</v>
      </c>
      <c r="C40" s="5">
        <v>2</v>
      </c>
      <c r="D40" s="3" t="s">
        <v>761</v>
      </c>
      <c r="E40" s="14" t="str">
        <f>IF(COUNTIF(CA!I2:I3,"Not Selected")&gt;0,"Not Selected",
IF(COUNTIF(CA!I2:I3,"Planned")&gt;0,"Planned",
IF(COUNTIF(CA!I2:I3,"Inherited")&gt;0,"Inherited",
IF(COUNTIF(CA!I2:I3,"Partially Implemented")&gt;0,"Partially Implemented",
IF(COUNTIF(CA!I2:I3,"Implemented")&gt;0,"Implemented",
"")))))</f>
        <v>Implemented</v>
      </c>
      <c r="F40" s="8" t="str">
        <f>IF(COUNTIF(CA!J2:J3,"Not Applicable")&gt;0,"Not Applicable",
IF(COUNTIF(CA!J2:J3,"NOT MET")&gt;0,"NOT MET",
IF(COUNTIF(CA!J2:J3,"Partially MET")&gt;0,"Partially MET",
IF(COUNTIF(CA!J2:J3,"MET")&gt;0,"MET",
""))))</f>
        <v>MET</v>
      </c>
      <c r="G40" s="7">
        <v>1</v>
      </c>
      <c r="H40" s="7">
        <v>5</v>
      </c>
    </row>
    <row r="41" spans="1:8" ht="14.1" customHeight="1" x14ac:dyDescent="0.3">
      <c r="A41" s="5" t="s">
        <v>57</v>
      </c>
      <c r="B41" s="3" t="s">
        <v>764</v>
      </c>
      <c r="C41" s="5">
        <v>2</v>
      </c>
      <c r="D41" s="3" t="s">
        <v>1249</v>
      </c>
      <c r="E41" s="7" t="str">
        <f>IF(COUNTIF(CA!I4:I6,"Not Selected")&gt;0,"Not Selected",
IF(COUNTIF(CA!I4:I6,"Planned")&gt;0,"Planned",
IF(COUNTIF(CA!I4:I6,"Inherited")&gt;0,"Inherited",
IF(COUNTIF(CA!I4:I6,"Partially Implemented")&gt;0,"Partially Implemented",
IF(COUNTIF(CA!I4:I6,"Implemented")&gt;0,"Implemented",
"")))))</f>
        <v>Implemented</v>
      </c>
      <c r="F41" s="8" t="str">
        <f>IF(COUNTIF(CA!J4:J6,"Not Applicable")&gt;0,"Not Applicable",
IF(COUNTIF(CA!J4:J6,"NOT MET")&gt;0,"NOT MET",
IF(COUNTIF(CA!J4:J6,"Partially MET")&gt;0,"Partially MET",
IF(COUNTIF(CA!J4:J6,"MET")&gt;0,"MET",
""))))</f>
        <v>MET</v>
      </c>
      <c r="G41" s="7">
        <v>1</v>
      </c>
      <c r="H41" s="7">
        <v>3</v>
      </c>
    </row>
    <row r="42" spans="1:8" ht="14.1" customHeight="1" x14ac:dyDescent="0.3">
      <c r="A42" s="5" t="s">
        <v>57</v>
      </c>
      <c r="B42" s="3" t="s">
        <v>765</v>
      </c>
      <c r="C42" s="5">
        <v>2</v>
      </c>
      <c r="D42" s="3" t="s">
        <v>775</v>
      </c>
      <c r="E42" s="7" t="str">
        <f>IF(COUNTIF(CA!I7,"Not Selected")&gt;0,"Not Selected",
IF(COUNTIF(CA!I7,"Planned")&gt;0,"Planned",
IF(COUNTIF(CA!I7,"Inherited")&gt;0,"Inherited",
IF(COUNTIF(CA!I7,"Partially Implemented")&gt;0,"Partially Implemented",
IF(COUNTIF(CA!I7,"Implemented")&gt;0,"Implemented",
"")))))</f>
        <v>Implemented</v>
      </c>
      <c r="F42" s="8" t="str">
        <f>IF(COUNTIF(CA!J7,"Not Applicable")&gt;0,"Not Applicable",
IF(COUNTIF(CA!J7,"NOT MET")&gt;0,"NOT MET",
IF(COUNTIF(CA!J7,"Partially MET")&gt;0,"Partially MET",
IF(COUNTIF(CA!J7,"MET")&gt;0,"MET",
""))))</f>
        <v>MET</v>
      </c>
      <c r="G42" s="7">
        <v>1</v>
      </c>
      <c r="H42" s="7">
        <v>5</v>
      </c>
    </row>
    <row r="43" spans="1:8" ht="14.1" customHeight="1" x14ac:dyDescent="0.3">
      <c r="A43" s="5" t="s">
        <v>57</v>
      </c>
      <c r="B43" s="3" t="s">
        <v>766</v>
      </c>
      <c r="C43" s="5">
        <v>2</v>
      </c>
      <c r="D43" s="3" t="s">
        <v>776</v>
      </c>
      <c r="E43" s="7" t="str">
        <f>IF(COUNTIF(CA!I8:I15,"Not Selected")&gt;0,"Not Selected",
IF(COUNTIF(CA!I8:I15,"Planned")&gt;0,"Planned",
IF(COUNTIF(CA!I8:I15,"Inherited")&gt;0,"Inherited",
IF(COUNTIF(CA!I8:I15,"Partially Implemented")&gt;0,"Partially Implemented",
IF(COUNTIF(CA!I8:I15,"Implemented")&gt;0,"Implemented",
"")))))</f>
        <v>Implemented</v>
      </c>
      <c r="F43" s="8" t="str">
        <f>IF(COUNTIF(CA!J8:J15,"Not Applicable")&gt;0,"Not Applicable",
IF(COUNTIF(CA!J8:J15,"NOT MET")&gt;0,"NOT MET",
IF(COUNTIF(CA!J8:J15,"Partially MET")&gt;0,"Partially MET",
IF(COUNTIF(CA!J8:J15,"MET")&gt;0,"MET",
""))))</f>
        <v>MET</v>
      </c>
      <c r="G43" s="7">
        <v>1</v>
      </c>
      <c r="H43" s="7" t="s">
        <v>1251</v>
      </c>
    </row>
    <row r="44" spans="1:8" ht="14.1" customHeight="1" x14ac:dyDescent="0.3">
      <c r="A44" s="21"/>
      <c r="B44" s="23"/>
      <c r="C44" s="21"/>
      <c r="D44" s="23" t="s">
        <v>58</v>
      </c>
      <c r="E44" s="24"/>
      <c r="F44" s="24"/>
      <c r="G44" s="24"/>
      <c r="H44" s="24"/>
    </row>
    <row r="45" spans="1:8" ht="14.1" customHeight="1" x14ac:dyDescent="0.3">
      <c r="A45" s="5" t="s">
        <v>59</v>
      </c>
      <c r="B45" s="3" t="s">
        <v>430</v>
      </c>
      <c r="C45" s="5">
        <v>2</v>
      </c>
      <c r="D45" s="3" t="s">
        <v>429</v>
      </c>
      <c r="E45" s="14" t="str">
        <f>IF(COUNTIF(CM!I2:I7,"Not Selected")&gt;0,"Not Selected",
IF(COUNTIF(CM!I2:I7,"Planned")&gt;0,"Planned",
IF(COUNTIF(CM!I2:I7,"Inherited")&gt;0,"Inherited",
IF(COUNTIF(CM!I2:I7,"Partially Implemented")&gt;0,"Partially Implemented",
IF(COUNTIF(CM!I2:I7,"Implemented")&gt;0,"Implemented",
"")))))</f>
        <v>Implemented</v>
      </c>
      <c r="F45" s="8" t="str">
        <f>IF(COUNTIF(CM!J2:J7,"Not Applicable")&gt;0,"Not Applicable",
IF(COUNTIF(CM!J2:J7,"NOT MET")&gt;0,"NOT MET",
IF(COUNTIF(CM!J2:J7,"Partially MET")&gt;0,"Partially MET",
IF(COUNTIF(CM!J2:J7,"MET")&gt;0,"MET",
""))))</f>
        <v>MET</v>
      </c>
      <c r="G45" s="7">
        <v>1</v>
      </c>
      <c r="H45" s="7">
        <v>5</v>
      </c>
    </row>
    <row r="46" spans="1:8" ht="14.1" customHeight="1" x14ac:dyDescent="0.3">
      <c r="A46" s="5" t="s">
        <v>59</v>
      </c>
      <c r="B46" s="3" t="s">
        <v>451</v>
      </c>
      <c r="C46" s="5">
        <v>2</v>
      </c>
      <c r="D46" s="3" t="s">
        <v>431</v>
      </c>
      <c r="E46" s="7" t="str">
        <f>IF(COUNTIF(CM!I8:I9,"Not Selected")&gt;0,"Not Selected",
IF(COUNTIF(CM!I8:I9,"Planned")&gt;0,"Planned",
IF(COUNTIF(CM!I8:I9,"Inherited")&gt;0,"Inherited",
IF(COUNTIF(CM!I8:I9,"Partially Implemented")&gt;0,"Partially Implemented",
IF(COUNTIF(CM!I8:I9,"Implemented")&gt;0,"Implemented",
"")))))</f>
        <v>Implemented</v>
      </c>
      <c r="F46" s="8" t="str">
        <f>IF(COUNTIF(CM!J8:J9,"Not Applicable")&gt;0,"Not Applicable",
IF(COUNTIF(CM!J8:J9,"NOT MET")&gt;0,"NOT MET",
IF(COUNTIF(CM!J8:J9,"Partially MET")&gt;0,"Partially MET",
IF(COUNTIF(CM!J8:J9,"MET")&gt;0,"MET",
""))))</f>
        <v>MET</v>
      </c>
      <c r="G46" s="7">
        <v>1</v>
      </c>
      <c r="H46" s="7">
        <v>5</v>
      </c>
    </row>
    <row r="47" spans="1:8" s="17" customFormat="1" ht="14.1" customHeight="1" x14ac:dyDescent="0.3">
      <c r="A47" s="224" t="s">
        <v>59</v>
      </c>
      <c r="B47" s="3" t="s">
        <v>463</v>
      </c>
      <c r="C47" s="15">
        <v>2</v>
      </c>
      <c r="D47" s="3" t="s">
        <v>432</v>
      </c>
      <c r="E47" s="14" t="str">
        <f>IF(COUNTIF(CM!I10:I13,"Not Selected")&gt;0,"Not Selected",
IF(COUNTIF(CM!I10:I13,"Planned")&gt;0,"Planned",
IF(COUNTIF(CM!I10:I13,"Inherited")&gt;0,"Inherited",
IF(COUNTIF(CM!I10:I13,"Partially Implemented")&gt;0,"Partially Implemented",
IF(COUNTIF(CM!I10:I13,"Implemented")&gt;0,"Implemented",
"")))))</f>
        <v>Implemented</v>
      </c>
      <c r="F47" s="16" t="str">
        <f>IF(COUNTIF(CM!J10:J13,"Not Applicable")&gt;0,"Not Applicable",
IF(COUNTIF(CM!J10:J13,"NOT MET")&gt;0,"NOT MET",
IF(COUNTIF(CM!J10:J13,"Partially MET")&gt;0,"Partially MET",
IF(COUNTIF(CM!J10:J13,"MET")&gt;0,"MET",
""))))</f>
        <v>MET</v>
      </c>
      <c r="G47" s="14">
        <v>1</v>
      </c>
      <c r="H47" s="14">
        <v>1</v>
      </c>
    </row>
    <row r="48" spans="1:8" ht="14.1" customHeight="1" x14ac:dyDescent="0.3">
      <c r="A48" s="223" t="s">
        <v>59</v>
      </c>
      <c r="B48" s="3" t="s">
        <v>471</v>
      </c>
      <c r="C48" s="6">
        <v>2</v>
      </c>
      <c r="D48" s="3" t="s">
        <v>433</v>
      </c>
      <c r="E48" s="7" t="str">
        <f>IF(COUNTIF(CM!I14:I14,"Not Selected")&gt;0,"Not Selected",
IF(COUNTIF(CM!I14:I14,"Planned")&gt;0,"Planned",
IF(COUNTIF(CM!I14:I14,"Inherited")&gt;0,"Inherited",
IF(COUNTIF(CM!I14:I14,"Partially Implemented")&gt;0,"Partially Implemented",
IF(COUNTIF(CM!I14:I14,"Implemented")&gt;0,"Implemented",
"")))))</f>
        <v>Implemented</v>
      </c>
      <c r="F48" s="8" t="str">
        <f>IF(COUNTIF(CM!J14:J14,"Not Applicable")&gt;0,"Not Applicable",
IF(COUNTIF(CM!J14:J14,"NOT MET")&gt;0,"NOT MET",
IF(COUNTIF(CM!J14:J14,"Partially MET")&gt;0,"Partially MET",
IF(COUNTIF(CM!J14:J14,"MET")&gt;0,"MET",
""))))</f>
        <v>MET</v>
      </c>
      <c r="G48" s="7">
        <v>1</v>
      </c>
      <c r="H48" s="7">
        <v>1</v>
      </c>
    </row>
    <row r="49" spans="1:8" ht="14.1" customHeight="1" x14ac:dyDescent="0.3">
      <c r="A49" s="223" t="s">
        <v>59</v>
      </c>
      <c r="B49" s="3" t="s">
        <v>477</v>
      </c>
      <c r="C49" s="6">
        <v>2</v>
      </c>
      <c r="D49" s="3" t="s">
        <v>60</v>
      </c>
      <c r="E49" s="7" t="str">
        <f>IF(COUNTIF(CM!I15:I22,"Not Selected")&gt;0,"Not Selected",
IF(COUNTIF(CM!I15:I22,"Planned")&gt;0,"Planned",
IF(COUNTIF(CM!I15:I22,"Inherited")&gt;0,"Inherited",
IF(COUNTIF(CM!I15:I22,"Partially Implemented")&gt;0,"Partially Implemented",
IF(COUNTIF(CM!I15:I22,"Implemented")&gt;0,"Implemented",
"")))))</f>
        <v>Implemented</v>
      </c>
      <c r="F49" s="8" t="str">
        <f>IF(COUNTIF(CM!J15:J22,"Not Applicable")&gt;0,"Not Applicable",
IF(COUNTIF(CM!J15:J22,"NOT MET")&gt;0,"NOT MET",
IF(COUNTIF(CM!J15:J22,"Partially MET")&gt;0,"Partially MET",
IF(COUNTIF(CM!J15:J22,"MET")&gt;0,"MET",
""))))</f>
        <v>MET</v>
      </c>
      <c r="G49" s="7">
        <v>1</v>
      </c>
      <c r="H49" s="7">
        <v>5</v>
      </c>
    </row>
    <row r="50" spans="1:8" ht="14.1" customHeight="1" x14ac:dyDescent="0.3">
      <c r="A50" s="5" t="s">
        <v>59</v>
      </c>
      <c r="B50" s="3" t="s">
        <v>497</v>
      </c>
      <c r="C50" s="5">
        <v>2</v>
      </c>
      <c r="D50" s="3" t="s">
        <v>61</v>
      </c>
      <c r="E50" s="7" t="str">
        <f>IF(COUNTIF(CM!I23:I24,"Not Selected")&gt;0,"Not Selected",
IF(COUNTIF(CM!I23:I24,"Planned")&gt;0,"Planned",
IF(COUNTIF(CM!I23:I24,"Inherited")&gt;0,"Inherited",
IF(COUNTIF(CM!I23:I24,"Partially Implemented")&gt;0,"Partially Implemented",
IF(COUNTIF(CM!I23:I24,"Implemented")&gt;0,"Implemented",
"")))))</f>
        <v>Implemented</v>
      </c>
      <c r="F50" s="8" t="str">
        <f>IF(COUNTIF(CM!J23:J24,"Not Applicable")&gt;0,"Not Applicable",
IF(COUNTIF(CM!J23:J24,"NOT MET")&gt;0,"NOT MET",
IF(COUNTIF(CM!J23:J24,"Partially MET")&gt;0,"Partially MET",
IF(COUNTIF(CM!J23:J24,"MET")&gt;0,"MET",
""))))</f>
        <v>MET</v>
      </c>
      <c r="G50" s="7">
        <v>1</v>
      </c>
      <c r="H50" s="7">
        <v>5</v>
      </c>
    </row>
    <row r="51" spans="1:8" ht="14.1" customHeight="1" x14ac:dyDescent="0.3">
      <c r="A51" s="223" t="s">
        <v>59</v>
      </c>
      <c r="B51" s="3" t="s">
        <v>504</v>
      </c>
      <c r="C51" s="6">
        <v>2</v>
      </c>
      <c r="D51" s="3" t="s">
        <v>434</v>
      </c>
      <c r="E51" s="7" t="str">
        <f>IF(COUNTIF(CM!I25:I39,"Not Selected")&gt;0,"Not Selected",
IF(COUNTIF(CM!I25:I39,"Planned")&gt;0,"Planned",
IF(COUNTIF(CM!I25:I39,"Inherited")&gt;0,"Inherited",
IF(COUNTIF(CM!I25:I39,"Partially Implemented")&gt;0,"Partially Implemented",
IF(COUNTIF(CM!I25:I39,"Implemented")&gt;0,"Implemented",
"")))))</f>
        <v>Implemented</v>
      </c>
      <c r="F51" s="8" t="str">
        <f>IF(COUNTIF(CM!J25:J39,"Not Applicable")&gt;0,"Not Applicable",
IF(COUNTIF(CM!J25:J39,"NOT MET")&gt;0,"NOT MET",
IF(COUNTIF(CM!J25:J39,"Partially MET")&gt;0,"Partially MET",
IF(COUNTIF(CM!J25:J39,"MET")&gt;0,"MET",
""))))</f>
        <v>MET</v>
      </c>
      <c r="G51" s="7">
        <v>1</v>
      </c>
      <c r="H51" s="7">
        <v>5</v>
      </c>
    </row>
    <row r="52" spans="1:8" s="17" customFormat="1" ht="13.95" customHeight="1" x14ac:dyDescent="0.3">
      <c r="A52" s="224" t="s">
        <v>59</v>
      </c>
      <c r="B52" s="3" t="s">
        <v>538</v>
      </c>
      <c r="C52" s="15">
        <v>2</v>
      </c>
      <c r="D52" s="3" t="s">
        <v>435</v>
      </c>
      <c r="E52" s="14" t="str">
        <f>IF(COUNTIF(CM!I40:I42,"Not Selected")&gt;0,"Not Selected",
IF(COUNTIF(CM!I40:I42,"Planned")&gt;0,"Planned",
IF(COUNTIF(CM!I40:I42,"Inherited")&gt;0,"Inherited",
IF(COUNTIF(CM!I40:I42,"Partially Implemented")&gt;0,"Partially Implemented",
IF(COUNTIF(CM!I40:I42,"Implemented")&gt;0,"Implemented",
"")))))</f>
        <v>Implemented</v>
      </c>
      <c r="F52" s="16" t="str">
        <f>IF(COUNTIF(CM!J40:J42,"Not Applicable")&gt;0,"Not Applicable",
IF(COUNTIF(CM!J40:J42,"NOT MET")&gt;0,"NOT MET",
IF(COUNTIF(CM!J40:J42,"Partially MET")&gt;0,"Partially MET",
IF(COUNTIF(CM!J40:J42,"MET")&gt;0,"MET",
""))))</f>
        <v>MET</v>
      </c>
      <c r="G52" s="14">
        <v>1</v>
      </c>
      <c r="H52" s="14">
        <v>5</v>
      </c>
    </row>
    <row r="53" spans="1:8" s="17" customFormat="1" ht="14.1" customHeight="1" x14ac:dyDescent="0.3">
      <c r="A53" s="18" t="s">
        <v>59</v>
      </c>
      <c r="B53" s="3" t="s">
        <v>546</v>
      </c>
      <c r="C53" s="18">
        <v>2</v>
      </c>
      <c r="D53" s="19" t="s">
        <v>62</v>
      </c>
      <c r="E53" s="14" t="str">
        <f>IF(COUNTIF(CM!I43:I45,"Not Selected")&gt;0,"Not Selected",
IF(COUNTIF(CM!I43:I45,"Planned")&gt;0,"Planned",
IF(COUNTIF(CM!I43:I45,"Inherited")&gt;0,"Inherited",
IF(COUNTIF(CM!I43:I45,"Partially Implemented")&gt;0,"Partially Implemented",
IF(COUNTIF(CM!I43:I45,"Implemented")&gt;0,"Implemented",
"")))))</f>
        <v>Implemented</v>
      </c>
      <c r="F53" s="16" t="str">
        <f>IF(COUNTIF(CM!J43:J45,"Not Applicable")&gt;0,"Not Applicable",
IF(COUNTIF(CM!J43:J45,"NOT MET")&gt;0,"NOT MET",
IF(COUNTIF(CM!J43:J45,"Partially MET")&gt;0,"Partially MET",
IF(COUNTIF(CM!J43:J45,"MET")&gt;0,"MET",
""))))</f>
        <v>MET</v>
      </c>
      <c r="G53" s="14">
        <v>1</v>
      </c>
      <c r="H53" s="14">
        <v>1</v>
      </c>
    </row>
    <row r="54" spans="1:8" ht="14.1" customHeight="1" x14ac:dyDescent="0.3">
      <c r="A54" s="21"/>
      <c r="B54" s="23"/>
      <c r="C54" s="21"/>
      <c r="D54" s="23" t="s">
        <v>63</v>
      </c>
      <c r="E54" s="24"/>
      <c r="F54" s="24"/>
      <c r="G54" s="24"/>
      <c r="H54" s="24"/>
    </row>
    <row r="55" spans="1:8" ht="14.1" customHeight="1" x14ac:dyDescent="0.3">
      <c r="A55" s="5" t="s">
        <v>64</v>
      </c>
      <c r="B55" s="3" t="s">
        <v>567</v>
      </c>
      <c r="C55" s="5">
        <v>1</v>
      </c>
      <c r="D55" s="3" t="s">
        <v>556</v>
      </c>
      <c r="E55" s="14" t="str">
        <f>IF(COUNTIF(IA!I2:I4,"Not Selected")&gt;0,"Not Selected",
IF(COUNTIF(IA!I2:I4,"Planned")&gt;0,"Planned",
IF(COUNTIF(IA!I2:I4,"Inherited")&gt;0,"Inherited",
IF(COUNTIF(IA!I2:I4,"Partially Implemented")&gt;0,"Partially Implemented",
IF(COUNTIF(IA!I2:I4,"Implemented")&gt;0,"Implemented",
"")))))</f>
        <v>Implemented</v>
      </c>
      <c r="F55" s="8" t="str">
        <f>IF(COUNTIF(IA!J2:J4,"Not Applicable")&gt;0,"Not Applicable",
IF(COUNTIF(IA!J2:J4,"NOT MET")&gt;0,"NOT MET",
IF(COUNTIF(IA!J2:J4,"Partially MET")&gt;0,"Partially MET",
IF(COUNTIF(IA!J2:J4,"MET")&gt;0,"MET",
""))))</f>
        <v>MET</v>
      </c>
      <c r="G55" s="7">
        <v>1</v>
      </c>
      <c r="H55" s="7">
        <v>5</v>
      </c>
    </row>
    <row r="56" spans="1:8" ht="14.1" customHeight="1" x14ac:dyDescent="0.3">
      <c r="A56" s="5" t="s">
        <v>64</v>
      </c>
      <c r="B56" s="3" t="s">
        <v>577</v>
      </c>
      <c r="C56" s="5">
        <v>1</v>
      </c>
      <c r="D56" s="3" t="s">
        <v>557</v>
      </c>
      <c r="E56" s="7" t="str">
        <f>IF(COUNTIF(IA!I5:I7,"Not Selected")&gt;0,"Not Selected",
IF(COUNTIF(IA!I5:I7,"Planned")&gt;0,"Planned",
IF(COUNTIF(IA!I5:I7,"Inherited")&gt;0,"Inherited",
IF(COUNTIF(IA!I5:I7,"Partially Implemented")&gt;0,"Partially Implemented",
IF(COUNTIF(IA!I5:I7,"Implemented")&gt;0,"Implemented",
"")))))</f>
        <v>Implemented</v>
      </c>
      <c r="F56" s="8" t="str">
        <f>IF(COUNTIF(IA!J5:J7,"Not Applicable")&gt;0,"Not Applicable",
IF(COUNTIF(IA!J5:J7,"NOT MET")&gt;0,"NOT MET",
IF(COUNTIF(IA!J5:J7,"Partially MET")&gt;0,"Partially MET",
IF(COUNTIF(IA!J5:J7,"MET")&gt;0,"MET",
""))))</f>
        <v>MET</v>
      </c>
      <c r="G56" s="7">
        <v>1</v>
      </c>
      <c r="H56" s="7">
        <v>5</v>
      </c>
    </row>
    <row r="57" spans="1:8" ht="14.1" customHeight="1" x14ac:dyDescent="0.3">
      <c r="A57" s="223" t="s">
        <v>64</v>
      </c>
      <c r="B57" s="3" t="s">
        <v>587</v>
      </c>
      <c r="C57" s="6">
        <v>2</v>
      </c>
      <c r="D57" s="3" t="s">
        <v>558</v>
      </c>
      <c r="E57" s="7" t="str">
        <f>IF(COUNTIF(IA!I11,"Not Selected")&gt;0,"Not Selected",
IF(COUNTIF(IA!I11,"Planned")&gt;0,"Planned",
IF(COUNTIF(IA!I11,"Inherited")&gt;0,"Inherited",
IF(COUNTIF(IA!I11,"Partially Implemented")&gt;0,"Partially Implemented",
IF(COUNTIF(IA!I11,"Implemented")&gt;0,"Implemented",
"")))))</f>
        <v>Implemented</v>
      </c>
      <c r="F57" s="8" t="str">
        <f>IF(COUNTIF(IA!J11,"Not Applicable")&gt;0,"Not Applicable",
IF(COUNTIF(IA!J11,"NOT MET")&gt;0,"NOT MET",
IF(COUNTIF(IA!J11,"Partially MET")&gt;0,"Partially MET",
IF(COUNTIF(IA!J11,"MET")&gt;0,"MET",
""))))</f>
        <v>MET</v>
      </c>
      <c r="G57" s="7">
        <v>1</v>
      </c>
      <c r="H57" s="7">
        <v>5</v>
      </c>
    </row>
    <row r="58" spans="1:8" ht="14.1" customHeight="1" x14ac:dyDescent="0.3">
      <c r="A58" s="223" t="s">
        <v>64</v>
      </c>
      <c r="B58" s="3" t="s">
        <v>599</v>
      </c>
      <c r="C58" s="6">
        <v>2</v>
      </c>
      <c r="D58" s="3" t="s">
        <v>559</v>
      </c>
      <c r="E58" s="7" t="str">
        <f>IF(COUNTIF(IA!I12,"Not Selected")&gt;0,"Not Selected",
IF(COUNTIF(IA!I12,"Planned")&gt;0,"Planned",
IF(COUNTIF(IA!I12,"Inherited")&gt;0,"Inherited",
IF(COUNTIF(IA!I12,"Partially Implemented")&gt;0,"Partially Implemented",
IF(COUNTIF(IA!I12,"Implemented")&gt;0,"Implemented",
"")))))</f>
        <v>Implemented</v>
      </c>
      <c r="F58" s="8" t="str">
        <f>IF(COUNTIF(IA!J12,"Not Applicable")&gt;0,"Not Applicable",
IF(COUNTIF(IA!J12,"NOT MET")&gt;0,"NOT MET",
IF(COUNTIF(IA!J12,"Partially MET")&gt;0,"Partially MET",
IF(COUNTIF(IA!J12,"MET")&gt;0,"MET",
""))))</f>
        <v>MET</v>
      </c>
      <c r="G58" s="7">
        <v>1</v>
      </c>
      <c r="H58" s="7">
        <v>1</v>
      </c>
    </row>
    <row r="59" spans="1:8" ht="14.1" customHeight="1" x14ac:dyDescent="0.3">
      <c r="A59" s="223" t="s">
        <v>64</v>
      </c>
      <c r="B59" s="3" t="s">
        <v>603</v>
      </c>
      <c r="C59" s="6">
        <v>2</v>
      </c>
      <c r="D59" s="3" t="s">
        <v>560</v>
      </c>
      <c r="E59" s="7" t="str">
        <f>IF(COUNTIF(IA!I13:I14,"Not Selected")&gt;0,"Not Selected",
IF(COUNTIF(IA!I13:I14,"Planned")&gt;0,"Planned",
IF(COUNTIF(IA!I13:I14,"Inherited")&gt;0,"Inherited",
IF(COUNTIF(IA!I13:I14,"Partially Implemented")&gt;0,"Partially Implemented",
IF(COUNTIF(IA!I13:I14,"Implemented")&gt;0,"Implemented",
"")))))</f>
        <v>Implemented</v>
      </c>
      <c r="F59" s="8" t="str">
        <f>IF(COUNTIF(IA!J13:J14,"Not Applicable")&gt;0,"Not Applicable",
IF(COUNTIF(IA!J13:J14,"NOT MET")&gt;0,"NOT MET",
IF(COUNTIF(IA!J13:J14,"Partially MET")&gt;0,"Partially MET",
IF(COUNTIF(IA!J13:J14,"MET")&gt;0,"MET",
""))))</f>
        <v>MET</v>
      </c>
      <c r="G59" s="7">
        <v>1</v>
      </c>
      <c r="H59" s="7">
        <v>1</v>
      </c>
    </row>
    <row r="60" spans="1:8" s="17" customFormat="1" ht="14.1" customHeight="1" x14ac:dyDescent="0.3">
      <c r="A60" s="224" t="s">
        <v>64</v>
      </c>
      <c r="B60" s="3" t="s">
        <v>612</v>
      </c>
      <c r="C60" s="15">
        <v>2</v>
      </c>
      <c r="D60" s="3" t="s">
        <v>561</v>
      </c>
      <c r="E60" s="14" t="str">
        <f>IF(COUNTIF(IA!I16,"Not Selected")&gt;0,"Not Selected",
IF(COUNTIF(IA!I16,"Planned")&gt;0,"Planned",
IF(COUNTIF(IA!I16,"Inherited")&gt;0,"Inherited",
IF(COUNTIF(IA!I16,"Partially Implemented")&gt;0,"Partially Implemented",
IF(COUNTIF(IA!I16,"Implemented")&gt;0,"Implemented",
"")))))</f>
        <v>Implemented</v>
      </c>
      <c r="F60" s="16" t="str">
        <f>IF(COUNTIF(IA!J16,"Not Applicable")&gt;0,"Not Applicable",
IF(COUNTIF(IA!J16,"NOT MET")&gt;0,"NOT MET",
IF(COUNTIF(IA!J16,"Partially MET")&gt;0,"Partially MET",
IF(COUNTIF(IA!J16,"MET")&gt;0,"MET",
""))))</f>
        <v>MET</v>
      </c>
      <c r="G60" s="14">
        <v>1</v>
      </c>
      <c r="H60" s="14">
        <v>1</v>
      </c>
    </row>
    <row r="61" spans="1:8" ht="14.1" customHeight="1" x14ac:dyDescent="0.3">
      <c r="A61" s="5" t="s">
        <v>64</v>
      </c>
      <c r="B61" s="3" t="s">
        <v>617</v>
      </c>
      <c r="C61" s="5">
        <v>2</v>
      </c>
      <c r="D61" s="3" t="s">
        <v>562</v>
      </c>
      <c r="E61" s="7" t="str">
        <f>IF(COUNTIF(IA!I17:I20,"Not Selected")&gt;0,"Not Selected",
IF(COUNTIF(IA!I17:I20,"Planned")&gt;0,"Planned",
IF(COUNTIF(IA!I17:I20,"Inherited")&gt;0,"Inherited",
IF(COUNTIF(IA!I17:I20,"Partially Implemented")&gt;0,"Partially Implemented",
IF(COUNTIF(IA!I17:I20,"Implemented")&gt;0,"Implemented",
"")))))</f>
        <v>Implemented</v>
      </c>
      <c r="F61" s="8" t="str">
        <f>IF(COUNTIF(IA!J17:J20,"Not Applicable")&gt;0,"Not Applicable",
IF(COUNTIF(IA!J17:J20,"NOT MET")&gt;0,"NOT MET",
IF(COUNTIF(IA!J17:J20,"Partially MET")&gt;0,"Partially MET",
IF(COUNTIF(IA!J17:J20,"MET")&gt;0,"MET",
""))))</f>
        <v>MET</v>
      </c>
      <c r="G61" s="7">
        <v>1</v>
      </c>
      <c r="H61" s="7">
        <v>1</v>
      </c>
    </row>
    <row r="62" spans="1:8" ht="14.1" customHeight="1" x14ac:dyDescent="0.3">
      <c r="A62" s="5" t="s">
        <v>64</v>
      </c>
      <c r="B62" s="3" t="s">
        <v>629</v>
      </c>
      <c r="C62" s="5">
        <v>2</v>
      </c>
      <c r="D62" s="3" t="s">
        <v>563</v>
      </c>
      <c r="E62" s="7" t="str">
        <f>IF(COUNTIF(IA!I21:I22,"Not Selected")&gt;0,"Not Selected",
IF(COUNTIF(IA!I21:I22,"Planned")&gt;0,"Planned",
IF(COUNTIF(IA!I21:I22,"Inherited")&gt;0,"Inherited",
IF(COUNTIF(IA!I21:I22,"Partially Implemented")&gt;0,"Partially Implemented",
IF(COUNTIF(IA!I21:I22,"Implemented")&gt;0,"Implemented",
"")))))</f>
        <v>Implemented</v>
      </c>
      <c r="F62" s="8" t="str">
        <f>IF(COUNTIF(IA!J21:J22,"Not Applicable")&gt;0,"Not Applicable",
IF(COUNTIF(IA!J21:J22,"NOT MET")&gt;0,"NOT MET",
IF(COUNTIF(IA!J21:J22,"Partially MET")&gt;0,"Partially MET",
IF(COUNTIF(IA!J21:J22,"MET")&gt;0,"MET",
""))))</f>
        <v>MET</v>
      </c>
      <c r="G62" s="7">
        <v>1</v>
      </c>
      <c r="H62" s="7">
        <v>1</v>
      </c>
    </row>
    <row r="63" spans="1:8" s="17" customFormat="1" ht="14.1" customHeight="1" x14ac:dyDescent="0.3">
      <c r="A63" s="224" t="s">
        <v>64</v>
      </c>
      <c r="B63" s="3" t="s">
        <v>635</v>
      </c>
      <c r="C63" s="15">
        <v>2</v>
      </c>
      <c r="D63" s="3" t="s">
        <v>564</v>
      </c>
      <c r="E63" s="14" t="str">
        <f>IF(COUNTIF(IA!I23:I23,"Not Selected")&gt;0,"Not Selected",
IF(COUNTIF(IA!I23:I23,"Planned")&gt;0,"Planned",
IF(COUNTIF(IA!I23:I23,"Inherited")&gt;0,"Inherited",
IF(COUNTIF(IA!I23:I23,"Partially Implemented")&gt;0,"Partially Implemented",
IF(COUNTIF(IA!I23:I23,"Implemented")&gt;0,"Implemented",
"")))))</f>
        <v>Implemented</v>
      </c>
      <c r="F63" s="16" t="str">
        <f>IF(COUNTIF(IA!J23:J23,"Not Applicable")&gt;0,"Not Applicable",
IF(COUNTIF(IA!J23:J23,"NOT MET")&gt;0,"NOT MET",
IF(COUNTIF(IA!J23:J23,"Partially MET")&gt;0,"Partially MET",
IF(COUNTIF(IA!J23:J23,"MET")&gt;0,"MET",
""))))</f>
        <v>MET</v>
      </c>
      <c r="G63" s="14">
        <v>1</v>
      </c>
      <c r="H63" s="14">
        <v>1</v>
      </c>
    </row>
    <row r="64" spans="1:8" ht="14.1" customHeight="1" x14ac:dyDescent="0.3">
      <c r="A64" s="5" t="s">
        <v>64</v>
      </c>
      <c r="B64" s="3" t="s">
        <v>638</v>
      </c>
      <c r="C64" s="5">
        <v>2</v>
      </c>
      <c r="D64" s="3" t="s">
        <v>565</v>
      </c>
      <c r="E64" s="7" t="str">
        <f>IF(COUNTIF(IA!I24:I25,"Not Selected")&gt;0,"Not Selected",
IF(COUNTIF(IA!I24:I25,"Planned")&gt;0,"Planned",
IF(COUNTIF(IA!I24:I25,"Inherited")&gt;0,"Inherited",
IF(COUNTIF(IA!I24:I25,"Partially Implemented")&gt;0,"Partially Implemented",
IF(COUNTIF(IA!I24:I25,"Implemented")&gt;0,"Implemented",
"")))))</f>
        <v>Implemented</v>
      </c>
      <c r="F64" s="8" t="str">
        <f>IF(COUNTIF(IA!J24:J25,"Not Applicable")&gt;0,"Not Applicable",
IF(COUNTIF(IA!J24:J25,"NOT MET")&gt;0,"NOT MET",
IF(COUNTIF(IA!J24:J25,"Partially MET")&gt;0,"Partially MET",
IF(COUNTIF(IA!J24:J25,"MET")&gt;0,"MET",
""))))</f>
        <v>MET</v>
      </c>
      <c r="G64" s="7">
        <v>1</v>
      </c>
      <c r="H64" s="7">
        <v>5</v>
      </c>
    </row>
    <row r="65" spans="1:8" ht="14.1" customHeight="1" x14ac:dyDescent="0.3">
      <c r="A65" s="223" t="s">
        <v>64</v>
      </c>
      <c r="B65" s="3" t="s">
        <v>644</v>
      </c>
      <c r="C65" s="6">
        <v>2</v>
      </c>
      <c r="D65" s="3" t="s">
        <v>566</v>
      </c>
      <c r="E65" s="7" t="str">
        <f>IF(COUNTIF(IA!I26:I26,"Not Selected")&gt;0,"Not Selected",
IF(COUNTIF(IA!I26:I26,"Planned")&gt;0,"Planned",
IF(COUNTIF(IA!I26:I26,"Inherited")&gt;0,"Inherited",
IF(COUNTIF(IA!I26:I26,"Partially Implemented")&gt;0,"Partially Implemented",
IF(COUNTIF(IA!I26:I26,"Implemented")&gt;0,"Implemented",
"")))))</f>
        <v>Implemented</v>
      </c>
      <c r="F65" s="8" t="str">
        <f>IF(COUNTIF(IA!J26:J26,"Not Applicable")&gt;0,"Not Applicable",
IF(COUNTIF(IA!J26:J26,"NOT MET")&gt;0,"NOT MET",
IF(COUNTIF(IA!J26:J26,"Partially MET")&gt;0,"Partially MET",
IF(COUNTIF(IA!J26:J26,"MET")&gt;0,"MET",
""))))</f>
        <v>MET</v>
      </c>
      <c r="G65" s="7">
        <v>1</v>
      </c>
      <c r="H65" s="7">
        <v>1</v>
      </c>
    </row>
    <row r="66" spans="1:8" ht="14.1" customHeight="1" x14ac:dyDescent="0.3">
      <c r="A66" s="21"/>
      <c r="B66" s="23"/>
      <c r="C66" s="21"/>
      <c r="D66" s="23" t="s">
        <v>65</v>
      </c>
      <c r="E66" s="24"/>
      <c r="F66" s="24"/>
      <c r="G66" s="24"/>
      <c r="H66" s="24"/>
    </row>
    <row r="67" spans="1:8" ht="14.1" customHeight="1" x14ac:dyDescent="0.3">
      <c r="A67" s="5" t="s">
        <v>66</v>
      </c>
      <c r="B67" s="3" t="s">
        <v>648</v>
      </c>
      <c r="C67" s="5">
        <v>2</v>
      </c>
      <c r="D67" s="3" t="s">
        <v>68</v>
      </c>
      <c r="E67" s="14" t="str">
        <f>IF(COUNTIF(IR!I2:I8,"Not Selected")&gt;0,"Not Selected",
IF(COUNTIF(IR!I2:I8,"Planned")&gt;0,"Planned",
IF(COUNTIF(IR!I2:I8,"Inherited")&gt;0,"Inherited",
IF(COUNTIF(IR!I2:I8,"Partially Implemented")&gt;0,"Partially Implemented",
IF(COUNTIF(IR!I2:I8,"Implemented")&gt;0,"Implemented",
"")))))</f>
        <v>Implemented</v>
      </c>
      <c r="F67" s="8" t="str">
        <f>IF(COUNTIF(IR!J2:J8,"Not Applicable")&gt;0,"Not Applicable",
IF(COUNTIF(IR!J2:J8,"NOT MET")&gt;0,"NOT MET",
IF(COUNTIF(IR!J2:J8,"Partially MET")&gt;0,"Partially MET",
IF(COUNTIF(IR!J2:J8,"MET")&gt;0,"MET",
""))))</f>
        <v>MET</v>
      </c>
      <c r="G67" s="7">
        <v>1</v>
      </c>
      <c r="H67" s="7">
        <v>5</v>
      </c>
    </row>
    <row r="68" spans="1:8" ht="14.1" customHeight="1" x14ac:dyDescent="0.3">
      <c r="A68" s="5" t="s">
        <v>66</v>
      </c>
      <c r="B68" s="3" t="s">
        <v>666</v>
      </c>
      <c r="C68" s="5">
        <v>2</v>
      </c>
      <c r="D68" s="3" t="s">
        <v>69</v>
      </c>
      <c r="E68" s="7" t="str">
        <f>IF(COUNTIF(IR!I9:I14,"Not Selected")&gt;0,"Not Selected",
IF(COUNTIF(IR!I9:I14,"Planned")&gt;0,"Planned",
IF(COUNTIF(IR!I9:I14,"Inherited")&gt;0,"Inherited",
IF(COUNTIF(IR!I9:I14,"Partially Implemented")&gt;0,"Partially Implemented",
IF(COUNTIF(IR!I9:I14,"Implemented")&gt;0,"Implemented",
"")))))</f>
        <v>Implemented</v>
      </c>
      <c r="F68" s="8" t="str">
        <f>IF(COUNTIF(IR!J9:J14,"Not Applicable")&gt;0,"Not Applicable",
IF(COUNTIF(IR!J9:J14,"NOT MET")&gt;0,"NOT MET",
IF(COUNTIF(IR!J9:J14,"Partially MET")&gt;0,"Partially MET",
IF(COUNTIF(IR!J9:J14,"MET")&gt;0,"MET",
""))))</f>
        <v>MET</v>
      </c>
      <c r="G68" s="7">
        <v>1</v>
      </c>
      <c r="H68" s="7">
        <v>5</v>
      </c>
    </row>
    <row r="69" spans="1:8" ht="14.1" customHeight="1" x14ac:dyDescent="0.3">
      <c r="A69" s="5" t="s">
        <v>66</v>
      </c>
      <c r="B69" s="3" t="s">
        <v>682</v>
      </c>
      <c r="C69" s="5">
        <v>2</v>
      </c>
      <c r="D69" s="3" t="s">
        <v>67</v>
      </c>
      <c r="E69" s="7" t="str">
        <f>IF(COUNTIF(IR!I15:I15,"Not Selected")&gt;0,"Not Selected",
IF(COUNTIF(IR!I15:I15,"Planned")&gt;0,"Planned",
IF(COUNTIF(IR!I15:I15,"Inherited")&gt;0,"Inherited",
IF(COUNTIF(IR!I15:I15,"Partially Implemented")&gt;0,"Partially Implemented",
IF(COUNTIF(IR!I15:I15,"Implemented")&gt;0,"Implemented",
"")))))</f>
        <v>Implemented</v>
      </c>
      <c r="F69" s="8" t="str">
        <f>IF(COUNTIF(IR!J15:J15,"Not Applicable")&gt;0,"Not Applicable",
IF(COUNTIF(IR!J15:J15,"NOT MET")&gt;0,"NOT MET",
IF(COUNTIF(IR!J15:J15,"Partially MET")&gt;0,"Partially MET",
IF(COUNTIF(IR!J15:J15,"MET")&gt;0,"MET",
""))))</f>
        <v>MET</v>
      </c>
      <c r="G69" s="7">
        <v>1</v>
      </c>
      <c r="H69" s="7">
        <v>1</v>
      </c>
    </row>
    <row r="70" spans="1:8" ht="14.1" customHeight="1" x14ac:dyDescent="0.3">
      <c r="A70" s="21"/>
      <c r="B70" s="23"/>
      <c r="C70" s="21"/>
      <c r="D70" s="23" t="s">
        <v>70</v>
      </c>
      <c r="E70" s="24"/>
      <c r="F70" s="24"/>
      <c r="G70" s="24"/>
      <c r="H70" s="24"/>
    </row>
    <row r="71" spans="1:8" ht="14.1" customHeight="1" x14ac:dyDescent="0.3">
      <c r="A71" s="5" t="s">
        <v>71</v>
      </c>
      <c r="B71" s="3" t="s">
        <v>810</v>
      </c>
      <c r="C71" s="5">
        <v>2</v>
      </c>
      <c r="D71" s="3" t="s">
        <v>1248</v>
      </c>
      <c r="E71" s="14" t="str">
        <f>IF(COUNTIF(MA!I2:I2,"Not Selected")&gt;0,"Not Selected",
IF(COUNTIF(MA!I2:I2,"Planned")&gt;0,"Planned",
IF(COUNTIF(MA!I2:I2,"Inherited")&gt;0,"Inherited",
IF(COUNTIF(MA!I2:I2,"Partially Implemented")&gt;0,"Partially Implemented",
IF(COUNTIF(MA!I2:I2,"Implemented")&gt;0,"Implemented",
"")))))</f>
        <v>Inherited</v>
      </c>
      <c r="F71" s="8" t="str">
        <f>IF(COUNTIF(MA!J2:J2,"Not Applicable")&gt;0,"Not Applicable",
IF(COUNTIF(MA!J2:J2,"NOT MET")&gt;0,"NOT MET",
IF(COUNTIF(MA!J2:J2,"Partially MET")&gt;0,"Partially MET",
IF(COUNTIF(MA!J2:J2,"MET")&gt;0,"MET",
""))))</f>
        <v>MET</v>
      </c>
      <c r="G71" s="7">
        <v>1</v>
      </c>
      <c r="H71" s="7">
        <v>3</v>
      </c>
    </row>
    <row r="72" spans="1:8" ht="14.1" customHeight="1" x14ac:dyDescent="0.3">
      <c r="A72" s="5" t="s">
        <v>71</v>
      </c>
      <c r="B72" s="3" t="s">
        <v>812</v>
      </c>
      <c r="C72" s="5">
        <v>2</v>
      </c>
      <c r="D72" s="3" t="s">
        <v>821</v>
      </c>
      <c r="E72" s="7" t="str">
        <f>IF(COUNTIF(MA!I3:I6,"Not Selected")&gt;0,"Not Selected",
IF(COUNTIF(MA!I3:I6,"Planned")&gt;0,"Planned",
IF(COUNTIF(MA!I3:I6,"Inherited")&gt;0,"Inherited",
IF(COUNTIF(MA!I3:I6,"Partially Implemented")&gt;0,"Partially Implemented",
IF(COUNTIF(MA!I3:I6,"Implemented")&gt;0,"Implemented",
"")))))</f>
        <v>Inherited</v>
      </c>
      <c r="F72" s="8" t="str">
        <f>IF(COUNTIF(MA!J3:J6,"Not Applicable")&gt;0,"Not Applicable",
IF(COUNTIF(MA!J3:J6,"NOT MET")&gt;0,"NOT MET",
IF(COUNTIF(MA!J3:J6,"Partially MET")&gt;0,"Partially MET",
IF(COUNTIF(MA!J3:J6,"MET")&gt;0,"MET",
""))))</f>
        <v>MET</v>
      </c>
      <c r="G72" s="7">
        <v>1</v>
      </c>
      <c r="H72" s="7">
        <v>5</v>
      </c>
    </row>
    <row r="73" spans="1:8" ht="14.1" customHeight="1" x14ac:dyDescent="0.3">
      <c r="A73" s="5" t="s">
        <v>71</v>
      </c>
      <c r="B73" s="3" t="s">
        <v>823</v>
      </c>
      <c r="C73" s="5">
        <v>2</v>
      </c>
      <c r="D73" s="3" t="s">
        <v>822</v>
      </c>
      <c r="E73" s="7" t="str">
        <f>IF(COUNTIF(MA!I7:I7,"Not Selected")&gt;0,"Not Selected",
IF(COUNTIF(MA!I7:I7,"Planned")&gt;0,"Planned",
IF(COUNTIF(MA!I7:I7,"Inherited")&gt;0,"Inherited",
IF(COUNTIF(MA!I7:I7,"Partially Implemented")&gt;0,"Partially Implemented",
IF(COUNTIF(MA!I7:I7,"Implemented")&gt;0,"Implemented",
"")))))</f>
        <v>Inherited</v>
      </c>
      <c r="F73" s="8" t="str">
        <f>IF(COUNTIF(MA!J7:J7,"Not Applicable")&gt;0,"Not Applicable",
IF(COUNTIF(MA!J7:J7,"NOT MET")&gt;0,"NOT MET",
IF(COUNTIF(MA!J7:J7,"Partially MET")&gt;0,"Partially MET",
IF(COUNTIF(MA!J7:J7,"MET")&gt;0,"MET",
""))))</f>
        <v>MET</v>
      </c>
      <c r="G73" s="7">
        <v>1</v>
      </c>
      <c r="H73" s="7">
        <v>1</v>
      </c>
    </row>
    <row r="74" spans="1:8" s="17" customFormat="1" ht="14.1" customHeight="1" x14ac:dyDescent="0.3">
      <c r="A74" s="5" t="s">
        <v>71</v>
      </c>
      <c r="B74" s="3" t="s">
        <v>825</v>
      </c>
      <c r="C74" s="15">
        <v>2</v>
      </c>
      <c r="D74" s="3" t="s">
        <v>824</v>
      </c>
      <c r="E74" s="14" t="str">
        <f>IF(COUNTIF(MA!I8:I8,"Not Selected")&gt;0,"Not Selected",
IF(COUNTIF(MA!I8:I8,"Planned")&gt;0,"Planned",
IF(COUNTIF(MA!I8:I8,"Inherited")&gt;0,"Inherited",
IF(COUNTIF(MA!I8:I8,"Partially Implemented")&gt;0,"Partially Implemented",
IF(COUNTIF(MA!I8:I8,"Implemented")&gt;0,"Implemented",
"")))))</f>
        <v>Inherited</v>
      </c>
      <c r="F74" s="8" t="str">
        <f>IF(COUNTIF(MA!J8:J8,"Not Applicable")&gt;0,"Not Applicable",
IF(COUNTIF(MA!J8:J8,"NOT MET")&gt;0,"NOT MET",
IF(COUNTIF(MA!J8:J8,"Partially MET")&gt;0,"Partially MET",
IF(COUNTIF(MA!J8:J8,"MET")&gt;0,"MET",
""))))</f>
        <v>MET</v>
      </c>
      <c r="G74" s="7">
        <v>1</v>
      </c>
      <c r="H74" s="14">
        <v>3</v>
      </c>
    </row>
    <row r="75" spans="1:8" ht="14.1" customHeight="1" x14ac:dyDescent="0.3">
      <c r="A75" s="5" t="s">
        <v>71</v>
      </c>
      <c r="B75" s="3" t="s">
        <v>826</v>
      </c>
      <c r="C75" s="5">
        <v>2</v>
      </c>
      <c r="D75" s="3" t="s">
        <v>72</v>
      </c>
      <c r="E75" s="7" t="str">
        <f>IF(COUNTIF(MA!I9:I10,"Not Selected")&gt;0,"Not Selected",
IF(COUNTIF(MA!I9:I10,"Planned")&gt;0,"Planned",
IF(COUNTIF(MA!I9:I10,"Inherited")&gt;0,"Inherited",
IF(COUNTIF(MA!I9:I10,"Partially Implemented")&gt;0,"Partially Implemented",
IF(COUNTIF(MA!I9:I10,"Implemented")&gt;0,"Implemented",
"")))))</f>
        <v>Inherited</v>
      </c>
      <c r="F75" s="8" t="str">
        <f>IF(COUNTIF(MA!J9:J10,"Not Applicable")&gt;0,"Not Applicable",
IF(COUNTIF(MA!J9:J10,"NOT MET")&gt;0,"NOT MET",
IF(COUNTIF(MA!J9:J10,"Partially MET")&gt;0,"Partially MET",
IF(COUNTIF(MA!J9:J10,"MET")&gt;0,"MET",
""))))</f>
        <v>MET</v>
      </c>
      <c r="G75" s="7">
        <v>1</v>
      </c>
      <c r="H75" s="7">
        <v>5</v>
      </c>
    </row>
    <row r="76" spans="1:8" ht="14.1" customHeight="1" x14ac:dyDescent="0.3">
      <c r="A76" s="5" t="s">
        <v>71</v>
      </c>
      <c r="B76" s="3" t="s">
        <v>827</v>
      </c>
      <c r="C76" s="5">
        <v>2</v>
      </c>
      <c r="D76" s="3" t="s">
        <v>73</v>
      </c>
      <c r="E76" s="7" t="str">
        <f>IF(COUNTIF(MA!I11:I11,"Not Selected")&gt;0,"Not Selected",
IF(COUNTIF(MA!I11:I11,"Planned")&gt;0,"Planned",
IF(COUNTIF(MA!I11:I11,"Inherited")&gt;0,"Inherited",
IF(COUNTIF(MA!I11:I11,"Partially Implemented")&gt;0,"Partially Implemented",
IF(COUNTIF(MA!I11:I11,"Implemented")&gt;0,"Implemented",
"")))))</f>
        <v>Inherited</v>
      </c>
      <c r="F76" s="8" t="str">
        <f>IF(COUNTIF(MA!J11:J11,"Not Applicable")&gt;0,"Not Applicable",
IF(COUNTIF(MA!J11:J11,"NOT MET")&gt;0,"NOT MET",
IF(COUNTIF(MA!J11:J11,"Partially MET")&gt;0,"Partially MET",
IF(COUNTIF(MA!J11:J11,"MET")&gt;0,"MET",
""))))</f>
        <v>MET</v>
      </c>
      <c r="G76" s="7">
        <v>1</v>
      </c>
      <c r="H76" s="7">
        <v>1</v>
      </c>
    </row>
    <row r="77" spans="1:8" ht="14.1" customHeight="1" x14ac:dyDescent="0.3">
      <c r="A77" s="25"/>
      <c r="B77" s="23"/>
      <c r="C77" s="21"/>
      <c r="D77" s="23" t="s">
        <v>74</v>
      </c>
      <c r="E77" s="24"/>
      <c r="F77" s="24"/>
      <c r="G77" s="24"/>
      <c r="H77" s="24"/>
    </row>
    <row r="78" spans="1:8" ht="14.1" customHeight="1" x14ac:dyDescent="0.3">
      <c r="A78" s="5" t="s">
        <v>75</v>
      </c>
      <c r="B78" s="3" t="s">
        <v>853</v>
      </c>
      <c r="C78" s="5">
        <v>2</v>
      </c>
      <c r="D78" s="3" t="s">
        <v>852</v>
      </c>
      <c r="E78" s="14" t="str">
        <f>IF(COUNTIF(MP!I2:I5,"Not Selected")&gt;0,"Not Selected",
IF(COUNTIF(MP!I2:I5,"Planned")&gt;0,"Planned",
IF(COUNTIF(MP!I2:I5,"Inherited")&gt;0,"Inherited",
IF(COUNTIF(MP!I2:I5,"Partially Implemented")&gt;0,"Partially Implemented",
IF(COUNTIF(MP!I2:I5,"Implemented")&gt;0,"Implemented",
"")))))</f>
        <v>Inherited</v>
      </c>
      <c r="F78" s="8" t="str">
        <f>IF(COUNTIF(MP!J2:J5,"Not Applicable")&gt;0,"Not Applicable",
IF(COUNTIF(MP!J2:J5,"NOT MET")&gt;0,"NOT MET",
IF(COUNTIF(MP!J2:J5,"Partially MET")&gt;0,"Partially MET",
IF(COUNTIF(MP!J2:J5,"MET")&gt;0,"MET",
""))))</f>
        <v>MET</v>
      </c>
      <c r="G78" s="7">
        <v>1</v>
      </c>
      <c r="H78" s="7">
        <v>3</v>
      </c>
    </row>
    <row r="79" spans="1:8" ht="14.1" customHeight="1" x14ac:dyDescent="0.3">
      <c r="A79" s="5" t="s">
        <v>75</v>
      </c>
      <c r="B79" s="3" t="s">
        <v>854</v>
      </c>
      <c r="C79" s="5">
        <v>2</v>
      </c>
      <c r="D79" s="3" t="s">
        <v>76</v>
      </c>
      <c r="E79" s="7" t="str">
        <f>IF(COUNTIF(MP!I6:I6,"Not Selected")&gt;0,"Not Selected",
IF(COUNTIF(MP!I6:I6,"Planned")&gt;0,"Planned",
IF(COUNTIF(MP!I6:I6,"Inherited")&gt;0,"Inherited",
IF(COUNTIF(MP!I6:I6,"Partially Implemented")&gt;0,"Partially Implemented",
IF(COUNTIF(MP!I6:I6,"Implemented")&gt;0,"Implemented",
"")))))</f>
        <v>Inherited</v>
      </c>
      <c r="F79" s="8" t="str">
        <f>IF(COUNTIF(MP!J6:J6,"Not Applicable")&gt;0,"Not Applicable",
IF(COUNTIF(MP!J6:J6,"NOT MET")&gt;0,"NOT MET",
IF(COUNTIF(MP!J6:J6,"Partially MET")&gt;0,"Partially MET",
IF(COUNTIF(MP!J6:J6,"MET")&gt;0,"MET",
""))))</f>
        <v>MET</v>
      </c>
      <c r="G79" s="7">
        <v>1</v>
      </c>
      <c r="H79" s="7">
        <v>3</v>
      </c>
    </row>
    <row r="80" spans="1:8" ht="14.1" customHeight="1" x14ac:dyDescent="0.3">
      <c r="A80" s="5" t="s">
        <v>75</v>
      </c>
      <c r="B80" s="3" t="s">
        <v>856</v>
      </c>
      <c r="C80" s="5">
        <v>1</v>
      </c>
      <c r="D80" s="3" t="s">
        <v>855</v>
      </c>
      <c r="E80" s="7" t="str">
        <f>IF(COUNTIF(MP!I7:I8,"Not Selected")&gt;0,"Not Selected",
IF(COUNTIF(MP!I7:I8,"Planned")&gt;0,"Planned",
IF(COUNTIF(MP!I7:I8,"Inherited")&gt;0,"Inherited",
IF(COUNTIF(MP!I7:I8,"Partially Implemented")&gt;0,"Partially Implemented",
IF(COUNTIF(MP!I7:I8,"Implemented")&gt;0,"Implemented",
"")))))</f>
        <v>Inherited</v>
      </c>
      <c r="F80" s="8" t="str">
        <f>IF(COUNTIF(MP!J7:J8,"Not Applicable")&gt;0,"Not Applicable",
IF(COUNTIF(MP!J7:J8,"NOT MET")&gt;0,"NOT MET",
IF(COUNTIF(MP!J7:J8,"Partially MET")&gt;0,"Partially MET",
IF(COUNTIF(MP!J7:J8,"MET")&gt;0,"MET",
""))))</f>
        <v>MET</v>
      </c>
      <c r="G80" s="7">
        <v>1</v>
      </c>
      <c r="H80" s="7">
        <v>5</v>
      </c>
    </row>
    <row r="81" spans="1:8" ht="14.1" customHeight="1" x14ac:dyDescent="0.3">
      <c r="A81" s="5" t="s">
        <v>75</v>
      </c>
      <c r="B81" s="3" t="s">
        <v>857</v>
      </c>
      <c r="C81" s="5">
        <v>2</v>
      </c>
      <c r="D81" s="3" t="s">
        <v>858</v>
      </c>
      <c r="E81" s="7" t="str">
        <f>IF(COUNTIF(MP!I9:I10,"Not Selected")&gt;0,"Not Selected",
IF(COUNTIF(MP!I9:I10,"Planned")&gt;0,"Planned",
IF(COUNTIF(MP!I9:I10,"Inherited")&gt;0,"Inherited",
IF(COUNTIF(MP!I9:I10,"Partially Implemented")&gt;0,"Partially Implemented",
IF(COUNTIF(MP!I9:I10,"Implemented")&gt;0,"Implemented",
"")))))</f>
        <v>Inherited</v>
      </c>
      <c r="F81" s="8" t="str">
        <f>IF(COUNTIF(MP!J9:J10,"Not Applicable")&gt;0,"Not Applicable",
IF(COUNTIF(MP!J9:J10,"NOT MET")&gt;0,"NOT MET",
IF(COUNTIF(MP!J9:J10,"Partially MET")&gt;0,"Partially MET",
IF(COUNTIF(MP!J9:J10,"MET")&gt;0,"MET",
""))))</f>
        <v>MET</v>
      </c>
      <c r="G81" s="7">
        <v>1</v>
      </c>
      <c r="H81" s="7">
        <v>1</v>
      </c>
    </row>
    <row r="82" spans="1:8" ht="14.1" customHeight="1" x14ac:dyDescent="0.3">
      <c r="A82" s="5" t="s">
        <v>75</v>
      </c>
      <c r="B82" s="3" t="s">
        <v>860</v>
      </c>
      <c r="C82" s="5">
        <v>2</v>
      </c>
      <c r="D82" s="3" t="s">
        <v>859</v>
      </c>
      <c r="E82" s="7" t="str">
        <f>IF(COUNTIF(MP!I11:I12,"Not Selected")&gt;0,"Not Selected",
IF(COUNTIF(MP!I11:I12,"Planned")&gt;0,"Planned",
IF(COUNTIF(MP!I11:I12,"Inherited")&gt;0,"Inherited",
IF(COUNTIF(MP!I11:I12,"Partially Implemented")&gt;0,"Partially Implemented",
IF(COUNTIF(MP!I11:I12,"Implemented")&gt;0,"Implemented",
"")))))</f>
        <v>Inherited</v>
      </c>
      <c r="F82" s="8" t="str">
        <f>IF(COUNTIF(MP!J11:J12,"Not Applicable")&gt;0,"Not Applicable",
IF(COUNTIF(MP!J11:J12,"NOT MET")&gt;0,"NOT MET",
IF(COUNTIF(MP!J11:J12,"Partially MET")&gt;0,"Partially MET",
IF(COUNTIF(MP!J11:J12,"MET")&gt;0,"MET",
""))))</f>
        <v>MET</v>
      </c>
      <c r="G82" s="7">
        <v>1</v>
      </c>
      <c r="H82" s="7">
        <v>1</v>
      </c>
    </row>
    <row r="83" spans="1:8" ht="14.1" customHeight="1" x14ac:dyDescent="0.3">
      <c r="A83" s="5" t="s">
        <v>75</v>
      </c>
      <c r="B83" s="3" t="s">
        <v>862</v>
      </c>
      <c r="C83" s="5">
        <v>2</v>
      </c>
      <c r="D83" s="3" t="s">
        <v>861</v>
      </c>
      <c r="E83" s="7" t="str">
        <f>IF(COUNTIF(MP!I13:I13,"Not Selected")&gt;0,"Not Selected",
IF(COUNTIF(MP!I13:I13,"Planned")&gt;0,"Planned",
IF(COUNTIF(MP!I13:I13,"Inherited")&gt;0,"Inherited",
IF(COUNTIF(MP!I13:I13,"Partially Implemented")&gt;0,"Partially Implemented",
IF(COUNTIF(MP!I13:I13,"Implemented")&gt;0,"Implemented",
"")))))</f>
        <v>Inherited</v>
      </c>
      <c r="F83" s="8" t="str">
        <f>IF(COUNTIF(MP!J13:J13,"Not Applicable")&gt;0,"Not Applicable",
IF(COUNTIF(MP!J13:J13,"NOT MET")&gt;0,"NOT MET",
IF(COUNTIF(MP!J13:J13,"Partially MET")&gt;0,"Partially MET",
IF(COUNTIF(MP!J13:J13,"MET")&gt;0,"MET",
""))))</f>
        <v>MET</v>
      </c>
      <c r="G83" s="7">
        <v>1</v>
      </c>
      <c r="H83" s="7">
        <v>1</v>
      </c>
    </row>
    <row r="84" spans="1:8" ht="14.1" customHeight="1" x14ac:dyDescent="0.3">
      <c r="A84" s="5" t="s">
        <v>75</v>
      </c>
      <c r="B84" s="3" t="s">
        <v>864</v>
      </c>
      <c r="C84" s="5">
        <v>2</v>
      </c>
      <c r="D84" s="3" t="s">
        <v>863</v>
      </c>
      <c r="E84" s="7" t="str">
        <f>IF(COUNTIF(MP!I14:I14,"Not Selected")&gt;0,"Not Selected",
IF(COUNTIF(MP!I14:I14,"Planned")&gt;0,"Planned",
IF(COUNTIF(MP!I14:I14,"Inherited")&gt;0,"Inherited",
IF(COUNTIF(MP!I14:I14,"Partially Implemented")&gt;0,"Partially Implemented",
IF(COUNTIF(MP!I14:I14,"Implemented")&gt;0,"Implemented",
"")))))</f>
        <v>Inherited</v>
      </c>
      <c r="F84" s="8" t="str">
        <f>IF(COUNTIF(MP!J14:J14,"Not Applicable")&gt;0,"Not Applicable",
IF(COUNTIF(MP!J14:J14,"NOT MET")&gt;0,"NOT MET",
IF(COUNTIF(MP!J14:J14,"Partially MET")&gt;0,"Partially MET",
IF(COUNTIF(MP!J14:J14,"MET")&gt;0,"MET",
""))))</f>
        <v>MET</v>
      </c>
      <c r="G84" s="7">
        <v>1</v>
      </c>
      <c r="H84" s="7">
        <v>5</v>
      </c>
    </row>
    <row r="85" spans="1:8" ht="14.1" customHeight="1" x14ac:dyDescent="0.3">
      <c r="A85" s="5" t="s">
        <v>75</v>
      </c>
      <c r="B85" s="3" t="s">
        <v>866</v>
      </c>
      <c r="C85" s="5">
        <v>2</v>
      </c>
      <c r="D85" s="3" t="s">
        <v>865</v>
      </c>
      <c r="E85" s="7" t="str">
        <f>IF(COUNTIF(MP!I15:I15,"Not Selected")&gt;0,"Not Selected",
IF(COUNTIF(MP!I15:I15,"Planned")&gt;0,"Planned",
IF(COUNTIF(MP!I15:I15,"Inherited")&gt;0,"Inherited",
IF(COUNTIF(MP!I15:I15,"Partially Implemented")&gt;0,"Partially Implemented",
IF(COUNTIF(MP!I15:I15,"Implemented")&gt;0,"Implemented",
"")))))</f>
        <v>Inherited</v>
      </c>
      <c r="F85" s="8" t="str">
        <f>IF(COUNTIF(MP!J15:J15,"Not Applicable")&gt;0,"Not Applicable",
IF(COUNTIF(MP!J15:J15,"NOT MET")&gt;0,"NOT MET",
IF(COUNTIF(MP!J15:J15,"Partially MET")&gt;0,"Partially MET",
IF(COUNTIF(MP!J15:J15,"MET")&gt;0,"MET",
""))))</f>
        <v>MET</v>
      </c>
      <c r="G85" s="244">
        <v>1</v>
      </c>
      <c r="H85" s="244">
        <v>3</v>
      </c>
    </row>
    <row r="86" spans="1:8" ht="14.1" customHeight="1" x14ac:dyDescent="0.3">
      <c r="A86" s="5" t="s">
        <v>75</v>
      </c>
      <c r="B86" s="3" t="s">
        <v>868</v>
      </c>
      <c r="C86" s="5">
        <v>2</v>
      </c>
      <c r="D86" s="3" t="s">
        <v>867</v>
      </c>
      <c r="E86" s="7" t="str">
        <f>IF(COUNTIF(MP!I16:I16,"Not Selected")&gt;0,"Not Selected",
IF(COUNTIF(MP!I16:I16,"Planned")&gt;0,"Planned",
IF(COUNTIF(MP!I16:I16,"Inherited")&gt;0,"Inherited",
IF(COUNTIF(MP!I16:I16,"Partially Implemented")&gt;0,"Partially Implemented",
IF(COUNTIF(MP!I16:I16,"Implemented")&gt;0,"Implemented",
"")))))</f>
        <v>Inherited</v>
      </c>
      <c r="F86" s="8" t="str">
        <f>IF(COUNTIF(MP!J16:J16,"Not Applicable")&gt;0,"Not Applicable",
IF(COUNTIF(MP!J16:J16,"NOT MET")&gt;0,"NOT MET",
IF(COUNTIF(MP!J16:J16,"Partially MET")&gt;0,"Partially MET",
IF(COUNTIF(MP!J16:J16,"MET")&gt;0,"MET",
""))))</f>
        <v>MET</v>
      </c>
      <c r="G86" s="244">
        <v>1</v>
      </c>
      <c r="H86" s="244">
        <v>1</v>
      </c>
    </row>
    <row r="87" spans="1:8" ht="14.1" customHeight="1" x14ac:dyDescent="0.3">
      <c r="A87" s="25"/>
      <c r="B87" s="23"/>
      <c r="C87" s="21"/>
      <c r="D87" s="23" t="s">
        <v>77</v>
      </c>
      <c r="E87" s="24"/>
      <c r="F87" s="24"/>
      <c r="G87" s="24"/>
      <c r="H87" s="24"/>
    </row>
    <row r="88" spans="1:8" ht="14.1" customHeight="1" x14ac:dyDescent="0.3">
      <c r="A88" s="5" t="s">
        <v>78</v>
      </c>
      <c r="B88" s="3" t="s">
        <v>943</v>
      </c>
      <c r="C88" s="5">
        <v>1</v>
      </c>
      <c r="D88" s="3" t="s">
        <v>942</v>
      </c>
      <c r="E88" s="14" t="str">
        <f>IF(COUNTIF(PE!I2:I5,"Not Selected")&gt;0,"Not Selected",
IF(COUNTIF(PE!I2:I5,"Planned")&gt;0,"Planned",
IF(COUNTIF(PE!I2:I5,"Inherited")&gt;0,"Inherited",
IF(COUNTIF(PE!I2:I5,"Partially Implemented")&gt;0,"Partially Implemented",
IF(COUNTIF(PE!I2:I5,"Implemented")&gt;0,"Implemented",
"")))))</f>
        <v>Inherited</v>
      </c>
      <c r="F88" s="8" t="str">
        <f>IF(COUNTIF(PE!J2:J5,"Not Applicable")&gt;0,"Not Applicable",
IF(COUNTIF(PE!J2:J5,"NOT MET")&gt;0,"NOT MET",
IF(COUNTIF(PE!J2:J5,"Partially MET")&gt;0,"Partially MET",
IF(COUNTIF(PE!J2:J5,"MET")&gt;0,"MET",
""))))</f>
        <v>MET</v>
      </c>
      <c r="G88" s="7">
        <v>1</v>
      </c>
      <c r="H88" s="7">
        <v>5</v>
      </c>
    </row>
    <row r="89" spans="1:8" ht="14.1" customHeight="1" x14ac:dyDescent="0.3">
      <c r="A89" s="5" t="s">
        <v>78</v>
      </c>
      <c r="B89" s="3" t="s">
        <v>945</v>
      </c>
      <c r="C89" s="5">
        <v>2</v>
      </c>
      <c r="D89" s="3" t="s">
        <v>944</v>
      </c>
      <c r="E89" s="7" t="str">
        <f>IF(COUNTIF(PE!I6:I9,"Not Selected")&gt;0,"Not Selected",
IF(COUNTIF(PE!I6:I9,"Planned")&gt;0,"Planned",
IF(COUNTIF(PE!I6:I9,"Inherited")&gt;0,"Inherited",
IF(COUNTIF(PE!I6:I9,"Partially Implemented")&gt;0,"Partially Implemented",
IF(COUNTIF(PE!I6:I9,"Implemented")&gt;0,"Implemented",
"")))))</f>
        <v>Inherited</v>
      </c>
      <c r="F89" s="8" t="str">
        <f>IF(COUNTIF(PE!J6:J9,"Not Applicable")&gt;0,"Not Applicable",
IF(COUNTIF(PE!J6:J9,"NOT MET")&gt;0,"NOT MET",
IF(COUNTIF(PE!J6:J9,"Partially MET")&gt;0,"Partially MET",
IF(COUNTIF(PE!J6:J9,"MET")&gt;0,"MET",
""))))</f>
        <v>MET</v>
      </c>
      <c r="G89" s="7">
        <v>1</v>
      </c>
      <c r="H89" s="7">
        <v>5</v>
      </c>
    </row>
    <row r="90" spans="1:8" ht="14.1" customHeight="1" x14ac:dyDescent="0.3">
      <c r="A90" s="5" t="s">
        <v>78</v>
      </c>
      <c r="B90" s="3" t="s">
        <v>947</v>
      </c>
      <c r="C90" s="5">
        <v>1</v>
      </c>
      <c r="D90" s="3" t="s">
        <v>946</v>
      </c>
      <c r="E90" s="7" t="str">
        <f>IF(COUNTIF(PE!I10:I11,"Not Selected")&gt;0,"Not Selected",
IF(COUNTIF(PE!I10:I11,"Planned")&gt;0,"Planned",
IF(COUNTIF(PE!I10:I11,"Inherited")&gt;0,"Inherited",
IF(COUNTIF(PE!I10:I11,"Partially Implemented")&gt;0,"Partially Implemented",
IF(COUNTIF(PE!I10:I11,"Implemented")&gt;0,"Implemented",
"")))))</f>
        <v>Inherited</v>
      </c>
      <c r="F90" s="8" t="str">
        <f>IF(COUNTIF(PE!J10:J11,"Not Applicable")&gt;0,"Not Applicable",
IF(COUNTIF(PE!J10:J11,"NOT MET")&gt;0,"NOT MET",
IF(COUNTIF(PE!J10:J11,"Partially MET")&gt;0,"Partially MET",
IF(COUNTIF(PE!J10:J11,"MET")&gt;0,"MET",
""))))</f>
        <v>MET</v>
      </c>
      <c r="G90" s="7">
        <v>1</v>
      </c>
      <c r="H90" s="7">
        <v>1</v>
      </c>
    </row>
    <row r="91" spans="1:8" ht="14.1" customHeight="1" x14ac:dyDescent="0.3">
      <c r="A91" s="5" t="s">
        <v>78</v>
      </c>
      <c r="B91" s="3" t="s">
        <v>949</v>
      </c>
      <c r="C91" s="5">
        <v>1</v>
      </c>
      <c r="D91" s="3" t="s">
        <v>948</v>
      </c>
      <c r="E91" s="7" t="str">
        <f>IF(COUNTIF(PE!I12:I12,"Not Selected")&gt;0,"Not Selected",
IF(COUNTIF(PE!I12:I12,"Planned")&gt;0,"Planned",
IF(COUNTIF(PE!I12:I12,"Inherited")&gt;0,"Inherited",
IF(COUNTIF(PE!I12:I12,"Partially Implemented")&gt;0,"Partially Implemented",
IF(COUNTIF(PE!I12:I12,"Implemented")&gt;0,"Implemented",
"")))))</f>
        <v>Inherited</v>
      </c>
      <c r="F91" s="8" t="str">
        <f>IF(COUNTIF(PE!J12:J12,"Not Applicable")&gt;0,"Not Applicable",
IF(COUNTIF(PE!J12:J12,"NOT MET")&gt;0,"NOT MET",
IF(COUNTIF(PE!J12:J12,"Partially MET")&gt;0,"Partially MET",
IF(COUNTIF(PE!J12:J12,"MET")&gt;0,"MET",
""))))</f>
        <v>MET</v>
      </c>
      <c r="G91" s="7">
        <v>1</v>
      </c>
      <c r="H91" s="7">
        <v>1</v>
      </c>
    </row>
    <row r="92" spans="1:8" ht="14.1" customHeight="1" x14ac:dyDescent="0.3">
      <c r="A92" s="5" t="s">
        <v>78</v>
      </c>
      <c r="B92" s="3" t="s">
        <v>951</v>
      </c>
      <c r="C92" s="5">
        <v>1</v>
      </c>
      <c r="D92" s="3" t="s">
        <v>950</v>
      </c>
      <c r="E92" s="7" t="str">
        <f>IF(COUNTIF(PE!I13:I15,"Not Selected")&gt;0,"Not Selected",
IF(COUNTIF(PE!I13:I15,"Planned")&gt;0,"Planned",
IF(COUNTIF(PE!I13:I15,"Inherited")&gt;0,"Inherited",
IF(COUNTIF(PE!I13:I15,"Partially Implemented")&gt;0,"Partially Implemented",
IF(COUNTIF(PE!I13:I15,"Implemented")&gt;0,"Implemented",
"")))))</f>
        <v>Inherited</v>
      </c>
      <c r="F92" s="8" t="str">
        <f>IF(COUNTIF(PE!J13:J15,"Not Applicable")&gt;0,"Not Applicable",
IF(COUNTIF(PE!J13:J15,"NOT MET")&gt;0,"NOT MET",
IF(COUNTIF(PE!J13:J15,"Partially MET")&gt;0,"Partially MET",
IF(COUNTIF(PE!J13:J15,"MET")&gt;0,"MET",
""))))</f>
        <v>MET</v>
      </c>
      <c r="G92" s="7">
        <v>1</v>
      </c>
      <c r="H92" s="7">
        <v>1</v>
      </c>
    </row>
    <row r="93" spans="1:8" ht="14.1" customHeight="1" x14ac:dyDescent="0.3">
      <c r="A93" s="5" t="s">
        <v>78</v>
      </c>
      <c r="B93" s="3" t="s">
        <v>953</v>
      </c>
      <c r="C93" s="5">
        <v>2</v>
      </c>
      <c r="D93" s="3" t="s">
        <v>952</v>
      </c>
      <c r="E93" s="7" t="str">
        <f>IF(COUNTIF(PE!I16:I17,"Not Selected")&gt;0,"Not Selected",
IF(COUNTIF(PE!I16:I17,"Planned")&gt;0,"Planned",
IF(COUNTIF(PE!I16:I17,"Inherited")&gt;0,"Inherited",
IF(COUNTIF(PE!I16:I17,"Partially Implemented")&gt;0,"Partially Implemented",
IF(COUNTIF(PE!I16:I17,"Implemented")&gt;0,"Implemented",
"")))))</f>
        <v>Inherited</v>
      </c>
      <c r="F93" s="8" t="str">
        <f>IF(COUNTIF(PE!J16:J17,"Not Applicable")&gt;0,"Not Applicable",
IF(COUNTIF(PE!J16:J17,"NOT MET")&gt;0,"NOT MET",
IF(COUNTIF(PE!J16:J17,"Partially MET")&gt;0,"Partially MET",
IF(COUNTIF(PE!J16:J17,"MET")&gt;0,"MET",
""))))</f>
        <v>MET</v>
      </c>
      <c r="G93" s="7">
        <v>1</v>
      </c>
      <c r="H93" s="7">
        <v>1</v>
      </c>
    </row>
    <row r="94" spans="1:8" ht="14.1" customHeight="1" x14ac:dyDescent="0.3">
      <c r="A94" s="25"/>
      <c r="B94" s="23"/>
      <c r="C94" s="21"/>
      <c r="D94" s="23" t="s">
        <v>79</v>
      </c>
      <c r="E94" s="24"/>
      <c r="F94" s="24"/>
      <c r="G94" s="24"/>
      <c r="H94" s="24"/>
    </row>
    <row r="95" spans="1:8" ht="14.1" customHeight="1" x14ac:dyDescent="0.3">
      <c r="A95" s="5" t="s">
        <v>80</v>
      </c>
      <c r="B95" s="3" t="s">
        <v>925</v>
      </c>
      <c r="C95" s="236">
        <v>2</v>
      </c>
      <c r="D95" s="4" t="s">
        <v>924</v>
      </c>
      <c r="E95" s="14" t="str">
        <f>IF(COUNTIF(PS!I2:I2,"Not Selected")&gt;0,"Not Selected",
IF(COUNTIF(PS!I2:I2,"Planned")&gt;0,"Planned",
IF(COUNTIF(PS!I2:I2,"Inherited")&gt;0,"Inherited",
IF(COUNTIF(PS!I2:I2,"Partially Implemented")&gt;0,"Partially Implemented",
IF(COUNTIF(PS!I2:I2,"Implemented")&gt;0,"Implemented",
"")))))</f>
        <v>Implemented</v>
      </c>
      <c r="F95" s="8" t="str">
        <f>IF(COUNTIF(PS!J2:J2,"Not Applicable")&gt;0,"Not Applicable",
IF(COUNTIF(PS!J2:J2,"NOT MET")&gt;0,"NOT MET",
IF(COUNTIF(PS!J2:J2,"Partially MET")&gt;0,"Partially MET",
IF(COUNTIF(PS!J2:J2,"MET")&gt;0,"MET",
""))))</f>
        <v>MET</v>
      </c>
      <c r="G95" s="7">
        <v>1</v>
      </c>
      <c r="H95" s="7">
        <v>3</v>
      </c>
    </row>
    <row r="96" spans="1:8" ht="14.1" customHeight="1" x14ac:dyDescent="0.3">
      <c r="A96" s="5" t="s">
        <v>80</v>
      </c>
      <c r="B96" s="3" t="s">
        <v>927</v>
      </c>
      <c r="C96" s="236">
        <v>2</v>
      </c>
      <c r="D96" s="4" t="s">
        <v>926</v>
      </c>
      <c r="E96" s="7" t="str">
        <f>IF(COUNTIF(PS!I3:I5,"Not Selected")&gt;0,"Not Selected",
IF(COUNTIF(PS!I3:I5,"Planned")&gt;0,"Planned",
IF(COUNTIF(PS!I3:I5,"Inherited")&gt;0,"Inherited",
IF(COUNTIF(PS!I3:I5,"Partially Implemented")&gt;0,"Partially Implemented",
IF(COUNTIF(PS!I3:I5,"Implemented")&gt;0,"Implemented",
"")))))</f>
        <v>Implemented</v>
      </c>
      <c r="F96" s="8" t="str">
        <f>IF(COUNTIF(PS!J3:J5,"Not Applicable")&gt;0,"Not Applicable",
IF(COUNTIF(PS!J3:J5,"NOT MET")&gt;0,"NOT MET",
IF(COUNTIF(PS!J3:J5,"Partially MET")&gt;0,"Partially MET",
IF(COUNTIF(PS!J3:J5,"MET")&gt;0,"MET",
""))))</f>
        <v>MET</v>
      </c>
      <c r="G96" s="7">
        <v>1</v>
      </c>
      <c r="H96" s="7">
        <v>5</v>
      </c>
    </row>
    <row r="97" spans="1:8" ht="14.1" customHeight="1" x14ac:dyDescent="0.3">
      <c r="A97" s="25"/>
      <c r="B97" s="23"/>
      <c r="C97" s="21"/>
      <c r="D97" s="23" t="s">
        <v>81</v>
      </c>
      <c r="E97" s="24"/>
      <c r="F97" s="24"/>
      <c r="G97" s="24"/>
      <c r="H97" s="24"/>
    </row>
    <row r="98" spans="1:8" ht="14.1" customHeight="1" x14ac:dyDescent="0.3">
      <c r="A98" s="5" t="s">
        <v>82</v>
      </c>
      <c r="B98" s="3" t="s">
        <v>998</v>
      </c>
      <c r="C98" s="236">
        <v>2</v>
      </c>
      <c r="D98" s="4" t="s">
        <v>997</v>
      </c>
      <c r="E98" s="14" t="str">
        <f>IF(COUNTIF(RA!I2:I3,"Not Selected")&gt;0,"Not Selected",
IF(COUNTIF(RA!I2:I3,"Planned")&gt;0,"Planned",
IF(COUNTIF(RA!I2:I3,"Inherited")&gt;0,"Inherited",
IF(COUNTIF(RA!I2:I3,"Partially Implemented")&gt;0,"Partially Implemented",
IF(COUNTIF(RA!I2:I3,"Implemented")&gt;0,"Implemented",
"")))))</f>
        <v>Implemented</v>
      </c>
      <c r="F98" s="8" t="str">
        <f>IF(COUNTIF(RA!J2:J3,"Not Applicable")&gt;0,"Not Applicable",
IF(COUNTIF(RA!J2:J3,"NOT MET")&gt;0,"NOT MET",
IF(COUNTIF(RA!J2:J3,"Partially MET")&gt;0,"Partially MET",
IF(COUNTIF(RA!J2:J3,"MET")&gt;0,"MET",
""))))</f>
        <v>MET</v>
      </c>
      <c r="G98" s="7">
        <v>1</v>
      </c>
      <c r="H98" s="7">
        <v>3</v>
      </c>
    </row>
    <row r="99" spans="1:8" ht="14.1" customHeight="1" x14ac:dyDescent="0.3">
      <c r="A99" s="5" t="s">
        <v>82</v>
      </c>
      <c r="B99" s="3" t="s">
        <v>1000</v>
      </c>
      <c r="C99" s="236">
        <v>2</v>
      </c>
      <c r="D99" s="4" t="s">
        <v>999</v>
      </c>
      <c r="E99" s="7" t="str">
        <f>IF(COUNTIF(RA!I4:I8,"Not Selected")&gt;0,"Not Selected",
IF(COUNTIF(RA!I4:I8,"Planned")&gt;0,"Planned",
IF(COUNTIF(RA!I4:I8,"Inherited")&gt;0,"Inherited",
IF(COUNTIF(RA!I4:I8,"Partially Implemented")&gt;0,"Partially Implemented",
IF(COUNTIF(RA!I4:I8,"Implemented")&gt;0,"Implemented",
"")))))</f>
        <v>Implemented</v>
      </c>
      <c r="F99" s="8" t="str">
        <f>IF(COUNTIF(RA!J4:J8,"Not Applicable")&gt;0,"Not Applicable",
IF(COUNTIF(RA!J4:J8,"NOT MET")&gt;0,"NOT MET",
IF(COUNTIF(RA!J4:J8,"Partially MET")&gt;0,"Partially MET",
IF(COUNTIF(RA!J4:J8,"MET")&gt;0,"MET",
""))))</f>
        <v>MET</v>
      </c>
      <c r="G99" s="7">
        <v>1</v>
      </c>
      <c r="H99" s="7">
        <v>5</v>
      </c>
    </row>
    <row r="100" spans="1:8" ht="14.1" customHeight="1" x14ac:dyDescent="0.3">
      <c r="A100" s="5" t="s">
        <v>82</v>
      </c>
      <c r="B100" s="3" t="s">
        <v>1002</v>
      </c>
      <c r="C100" s="236">
        <v>2</v>
      </c>
      <c r="D100" s="4" t="s">
        <v>1001</v>
      </c>
      <c r="E100" s="7" t="str">
        <f>IF(COUNTIF(RA!I9:I10,"Not Selected")&gt;0,"Not Selected",
IF(COUNTIF(RA!I9:I10,"Planned")&gt;0,"Planned",
IF(COUNTIF(RA!I9:I10,"Inherited")&gt;0,"Inherited",
IF(COUNTIF(RA!I9:I10,"Partially Implemented")&gt;0,"Partially Implemented",
IF(COUNTIF(RA!I9:I10,"Implemented")&gt;0,"Implemented",
"")))))</f>
        <v>Implemented</v>
      </c>
      <c r="F100" s="8" t="str">
        <f>IF(COUNTIF(RA!J9:J10,"Not Applicable")&gt;0,"Not Applicable",
IF(COUNTIF(RA!J9:J10,"NOT MET")&gt;0,"NOT MET",
IF(COUNTIF(RA!J9:J10,"Partially MET")&gt;0,"Partially MET",
IF(COUNTIF(RA!J9:J10,"MET")&gt;0,"MET",
""))))</f>
        <v>MET</v>
      </c>
      <c r="G100" s="7">
        <v>1</v>
      </c>
      <c r="H100" s="7">
        <v>1</v>
      </c>
    </row>
    <row r="101" spans="1:8" ht="14.1" customHeight="1" x14ac:dyDescent="0.3">
      <c r="A101" s="25"/>
      <c r="B101" s="23"/>
      <c r="C101" s="222"/>
      <c r="D101" s="26" t="s">
        <v>83</v>
      </c>
      <c r="E101" s="24"/>
      <c r="F101" s="24"/>
      <c r="G101" s="24"/>
      <c r="H101" s="24"/>
    </row>
    <row r="102" spans="1:8" ht="14.1" customHeight="1" x14ac:dyDescent="0.3">
      <c r="A102" s="5" t="s">
        <v>84</v>
      </c>
      <c r="B102" s="3" t="s">
        <v>1028</v>
      </c>
      <c r="C102" s="5">
        <v>1</v>
      </c>
      <c r="D102" s="3" t="s">
        <v>85</v>
      </c>
      <c r="E102" s="14" t="str">
        <f>IF(COUNTIF(SC!I2:I9,"Not Selected")&gt;0,"Not Selected",
IF(COUNTIF(SC!I2:I9,"Planned")&gt;0,"Planned",
IF(COUNTIF(SC!I2:I9,"Inherited")&gt;0,"Inherited",
IF(COUNTIF(SC!I2:I9,"Partially Implemented")&gt;0,"Partially Implemented",
IF(COUNTIF(SC!I2:I9,"Implemented")&gt;0,"Implemented",
"")))))</f>
        <v>Implemented</v>
      </c>
      <c r="F102" s="8" t="str">
        <f>IF(COUNTIF(SC!J2:J9,"Not Applicable")&gt;0,"Not Applicable",
IF(COUNTIF(SC!J2:J9,"NOT MET")&gt;0,"NOT MET",
IF(COUNTIF(SC!J2:J9,"Partially MET")&gt;0,"Partially MET",
IF(COUNTIF(SC!J2:J9,"MET")&gt;0,"MET",
""))))</f>
        <v>MET</v>
      </c>
      <c r="G102" s="7">
        <v>1</v>
      </c>
      <c r="H102" s="7">
        <v>5</v>
      </c>
    </row>
    <row r="103" spans="1:8" ht="14.1" customHeight="1" x14ac:dyDescent="0.3">
      <c r="A103" s="5" t="s">
        <v>84</v>
      </c>
      <c r="B103" s="3" t="s">
        <v>1030</v>
      </c>
      <c r="C103" s="5">
        <v>2</v>
      </c>
      <c r="D103" s="3" t="s">
        <v>1029</v>
      </c>
      <c r="E103" s="7" t="str">
        <f>IF(COUNTIF(SC!I10:I15,"Not Selected")&gt;0,"Not Selected",
IF(COUNTIF(SC!I10:I15,"Planned")&gt;0,"Planned",
IF(COUNTIF(SC!I10:I15,"Inherited")&gt;0,"Inherited",
IF(COUNTIF(SC!I10:I15,"Partially Implemented")&gt;0,"Partially Implemented",
IF(COUNTIF(SC!I10:I15,"Implemented")&gt;0,"Implemented",
"")))))</f>
        <v>Implemented</v>
      </c>
      <c r="F103" s="8" t="str">
        <f>IF(COUNTIF(SC!J10:J15,"Not Applicable")&gt;0,"Not Applicable",
IF(COUNTIF(SC!J10:J15,"NOT MET")&gt;0,"NOT MET",
IF(COUNTIF(SC!J10:J15,"Partially MET")&gt;0,"Partially MET",
IF(COUNTIF(SC!J10:J15,"MET")&gt;0,"MET",
""))))</f>
        <v>MET</v>
      </c>
      <c r="G103" s="7">
        <v>1</v>
      </c>
      <c r="H103" s="7">
        <v>5</v>
      </c>
    </row>
    <row r="104" spans="1:8" ht="14.1" customHeight="1" x14ac:dyDescent="0.3">
      <c r="A104" s="5" t="s">
        <v>84</v>
      </c>
      <c r="B104" s="3" t="s">
        <v>1090</v>
      </c>
      <c r="C104" s="5">
        <v>2</v>
      </c>
      <c r="D104" s="3" t="s">
        <v>1031</v>
      </c>
      <c r="E104" s="7" t="str">
        <f>IF(COUNTIF(SC!I16:I18,"Not Selected")&gt;0,"Not Selected",
IF(COUNTIF(SC!I16:I18,"Planned")&gt;0,"Planned",
IF(COUNTIF(SC!I16:I18,"Inherited")&gt;0,"Inherited",
IF(COUNTIF(SC!I16:I18,"Partially Implemented")&gt;0,"Partially Implemented",
IF(COUNTIF(SC!I16:I18,"Implemented")&gt;0,"Implemented",
"")))))</f>
        <v>Implemented</v>
      </c>
      <c r="F104" s="8" t="str">
        <f>IF(COUNTIF(SC!J16:J18,"Not Applicable")&gt;0,"Not Applicable",
IF(COUNTIF(SC!J16:J18,"NOT MET")&gt;0,"NOT MET",
IF(COUNTIF(SC!J16:J18,"Partially MET")&gt;0,"Partially MET",
IF(COUNTIF(SC!J16:J18,"MET")&gt;0,"MET",
""))))</f>
        <v>MET</v>
      </c>
      <c r="G104" s="7">
        <v>1</v>
      </c>
      <c r="H104" s="7">
        <v>1</v>
      </c>
    </row>
    <row r="105" spans="1:8" ht="14.1" customHeight="1" x14ac:dyDescent="0.3">
      <c r="A105" s="5" t="s">
        <v>84</v>
      </c>
      <c r="B105" s="3" t="s">
        <v>1108</v>
      </c>
      <c r="C105" s="5">
        <v>2</v>
      </c>
      <c r="D105" s="3" t="s">
        <v>1032</v>
      </c>
      <c r="E105" s="7" t="str">
        <f>IF(COUNTIF(SC!I19:I19,"Not Selected")&gt;0,"Not Selected",
IF(COUNTIF(SC!I19:I19,"Planned")&gt;0,"Planned",
IF(COUNTIF(SC!I19:I19,"Inherited")&gt;0,"Inherited",
IF(COUNTIF(SC!I19:I19,"Partially Implemented")&gt;0,"Partially Implemented",
IF(COUNTIF(SC!I19:I19,"Implemented")&gt;0,"Implemented",
"")))))</f>
        <v>Implemented</v>
      </c>
      <c r="F105" s="8" t="str">
        <f>IF(COUNTIF(SC!J19:J19,"Not Applicable")&gt;0,"Not Applicable",
IF(COUNTIF(SC!J19:J19,"NOT MET")&gt;0,"NOT MET",
IF(COUNTIF(SC!J19:J19,"Partially MET")&gt;0,"Partially MET",
IF(COUNTIF(SC!J19:J19,"MET")&gt;0,"MET",
""))))</f>
        <v>MET</v>
      </c>
      <c r="G105" s="7">
        <v>1</v>
      </c>
      <c r="H105" s="7">
        <v>1</v>
      </c>
    </row>
    <row r="106" spans="1:8" ht="14.1" customHeight="1" x14ac:dyDescent="0.3">
      <c r="A106" s="5" t="s">
        <v>84</v>
      </c>
      <c r="B106" s="3" t="s">
        <v>1034</v>
      </c>
      <c r="C106" s="6">
        <v>1</v>
      </c>
      <c r="D106" s="3" t="s">
        <v>1033</v>
      </c>
      <c r="E106" s="7" t="str">
        <f>IF(COUNTIF(SC!I21,"Not Selected")&gt;0,"Not Selected",
IF(COUNTIF(SC!I21,"Planned")&gt;0,"Planned",
IF(COUNTIF(SC!I21,"Inherited")&gt;0,"Inherited",
IF(COUNTIF(SC!I21,"Partially Implemented")&gt;0,"Partially Implemented",
IF(COUNTIF(SC!I21,"Implemented")&gt;0,"Implemented",
"")))))</f>
        <v>Implemented</v>
      </c>
      <c r="F106" s="8" t="str">
        <f>IF(COUNTIF(SC!J21,"Not Applicable")&gt;0,"Not Applicable",
IF(COUNTIF(SC!J21,"NOT MET")&gt;0,"NOT MET",
IF(COUNTIF(SC!J21,"Partially MET")&gt;0,"Partially MET",
IF(COUNTIF(SC!J21,"MET")&gt;0,"MET",
""))))</f>
        <v>MET</v>
      </c>
      <c r="G106" s="7">
        <v>1</v>
      </c>
      <c r="H106" s="7">
        <v>5</v>
      </c>
    </row>
    <row r="107" spans="1:8" ht="14.1" customHeight="1" x14ac:dyDescent="0.3">
      <c r="A107" s="5" t="s">
        <v>84</v>
      </c>
      <c r="B107" s="3" t="s">
        <v>1036</v>
      </c>
      <c r="C107" s="6">
        <v>2</v>
      </c>
      <c r="D107" s="3" t="s">
        <v>1035</v>
      </c>
      <c r="E107" s="7" t="str">
        <f>IF(COUNTIF(SC!I22:I23,"Not Selected")&gt;0,"Not Selected",
IF(COUNTIF(SC!I22:I23,"Planned")&gt;0,"Planned",
IF(COUNTIF(SC!I22:I23,"Inherited")&gt;0,"Inherited",
IF(COUNTIF(SC!I22:I23,"Partially Implemented")&gt;0,"Partially Implemented",
IF(COUNTIF(SC!I22:I23,"Implemented")&gt;0,"Implemented",
"")))))</f>
        <v>Implemented</v>
      </c>
      <c r="F107" s="8" t="str">
        <f>IF(COUNTIF(SC!J22:J23,"Not Applicable")&gt;0,"Not Applicable",
IF(COUNTIF(SC!J22:J23,"NOT MET")&gt;0,"NOT MET",
IF(COUNTIF(SC!J22:J23,"Partially MET")&gt;0,"Partially MET",
IF(COUNTIF(SC!J22:J23,"MET")&gt;0,"MET",
""))))</f>
        <v>MET</v>
      </c>
      <c r="G107" s="7">
        <v>1</v>
      </c>
      <c r="H107" s="7">
        <v>5</v>
      </c>
    </row>
    <row r="108" spans="1:8" ht="14.1" customHeight="1" x14ac:dyDescent="0.3">
      <c r="A108" s="5" t="s">
        <v>84</v>
      </c>
      <c r="B108" s="3" t="s">
        <v>1038</v>
      </c>
      <c r="C108" s="6">
        <v>2</v>
      </c>
      <c r="D108" s="3" t="s">
        <v>1037</v>
      </c>
      <c r="E108" s="7" t="str">
        <f>IF(COUNTIF(SC!I24:I24,"Not Selected")&gt;0,"Not Selected",
IF(COUNTIF(SC!I24:I24,"Planned")&gt;0,"Planned",
IF(COUNTIF(SC!I24:I24,"Inherited")&gt;0,"Inherited",
IF(COUNTIF(SC!I24:I24,"Partially Implemented")&gt;0,"Partially Implemented",
IF(COUNTIF(SC!I24:I24,"Implemented")&gt;0,"Implemented",
"")))))</f>
        <v>Not Selected</v>
      </c>
      <c r="F108" s="8" t="str">
        <f>IF(COUNTIF(SC!J24:J24,"Not Applicable")&gt;0,"Not Applicable",
IF(COUNTIF(SC!J24:J24,"NOT MET")&gt;0,"NOT MET",
IF(COUNTIF(SC!J24:J24,"Partially MET")&gt;0,"Partially MET",
IF(COUNTIF(SC!J24:J24,"MET")&gt;0,"MET",
""))))</f>
        <v>MET</v>
      </c>
      <c r="G108" s="7">
        <v>1</v>
      </c>
      <c r="H108" s="7">
        <v>1</v>
      </c>
    </row>
    <row r="109" spans="1:8" ht="14.1" customHeight="1" x14ac:dyDescent="0.3">
      <c r="A109" s="5" t="s">
        <v>84</v>
      </c>
      <c r="B109" s="3" t="s">
        <v>1040</v>
      </c>
      <c r="C109" s="6">
        <v>2</v>
      </c>
      <c r="D109" s="3" t="s">
        <v>1039</v>
      </c>
      <c r="E109" s="7" t="str">
        <f>IF(COUNTIF(SC!I25:I27,"Not Selected")&gt;0,"Not Selected",
IF(COUNTIF(SC!I25:I27,"Planned")&gt;0,"Planned",
IF(COUNTIF(SC!I25:I27,"Inherited")&gt;0,"Inherited",
IF(COUNTIF(SC!I25:I27,"Partially Implemented")&gt;0,"Partially Implemented",
IF(COUNTIF(SC!I25:I27,"Implemented")&gt;0,"Implemented",
"")))))</f>
        <v>Implemented</v>
      </c>
      <c r="F109" s="8" t="str">
        <f>IF(COUNTIF(SC!J25:J27,"Not Applicable")&gt;0,"Not Applicable",
IF(COUNTIF(SC!J25:J27,"NOT MET")&gt;0,"NOT MET",
IF(COUNTIF(SC!J25:J27,"Partially MET")&gt;0,"Partially MET",
IF(COUNTIF(SC!J25:J27,"MET")&gt;0,"MET",
""))))</f>
        <v>MET</v>
      </c>
      <c r="G109" s="7">
        <v>1</v>
      </c>
      <c r="H109" s="7">
        <v>3</v>
      </c>
    </row>
    <row r="110" spans="1:8" s="17" customFormat="1" ht="14.1" customHeight="1" x14ac:dyDescent="0.3">
      <c r="A110" s="5" t="s">
        <v>84</v>
      </c>
      <c r="B110" s="3" t="s">
        <v>1042</v>
      </c>
      <c r="C110" s="15">
        <v>2</v>
      </c>
      <c r="D110" s="3" t="s">
        <v>1041</v>
      </c>
      <c r="E110" s="14" t="str">
        <f>IF(COUNTIF(SC!I28:I30,"Not Selected")&gt;0,"Not Selected",
IF(COUNTIF(SC!I28:I30,"Planned")&gt;0,"Planned",
IF(COUNTIF(SC!I28:I30,"Inherited")&gt;0,"Inherited",
IF(COUNTIF(SC!I28:I30,"Partially Implemented")&gt;0,"Partially Implemented",
IF(COUNTIF(SC!I28:I30,"Implemented")&gt;0,"Implemented",
"")))))</f>
        <v>Implemented</v>
      </c>
      <c r="F110" s="16" t="str">
        <f>IF(COUNTIF(SC!J28:J30,"Not Applicable")&gt;0,"Not Applicable",
IF(COUNTIF(SC!J28:J30,"NOT MET")&gt;0,"NOT MET",
IF(COUNTIF(SC!J28:J30,"Partially MET")&gt;0,"Partially MET",
IF(COUNTIF(SC!J28:J30,"MET")&gt;0,"MET",
""))))</f>
        <v>MET</v>
      </c>
      <c r="G110" s="14">
        <v>1</v>
      </c>
      <c r="H110" s="14">
        <v>1</v>
      </c>
    </row>
    <row r="111" spans="1:8" ht="14.1" customHeight="1" x14ac:dyDescent="0.3">
      <c r="A111" s="5" t="s">
        <v>84</v>
      </c>
      <c r="B111" s="3" t="s">
        <v>1044</v>
      </c>
      <c r="C111" s="5">
        <v>2</v>
      </c>
      <c r="D111" s="3" t="s">
        <v>1043</v>
      </c>
      <c r="E111" s="7" t="str">
        <f>IF(COUNTIF(SC!I31:I32,"Not Selected")&gt;0,"Not Selected",
IF(COUNTIF(SC!I31:I32,"Planned")&gt;0,"Planned",
IF(COUNTIF(SC!I31:I32,"Inherited")&gt;0,"Inherited",
IF(COUNTIF(SC!I31:I32,"Partially Implemented")&gt;0,"Partially Implemented",
IF(COUNTIF(SC!I31:I32,"Implemented")&gt;0,"Implemented",
"")))))</f>
        <v>Implemented</v>
      </c>
      <c r="F111" s="8" t="str">
        <f>IF(COUNTIF(SC!J31:J32,"Not Applicable")&gt;0,"Not Applicable",
IF(COUNTIF(SC!J31:J32,"NOT MET")&gt;0,"NOT MET",
IF(COUNTIF(SC!J31:J32,"Partially MET")&gt;0,"Partially MET",
IF(COUNTIF(SC!J31:J32,"MET")&gt;0,"MET",
""))))</f>
        <v>MET</v>
      </c>
      <c r="G111" s="7">
        <v>1</v>
      </c>
      <c r="H111" s="7">
        <v>1</v>
      </c>
    </row>
    <row r="112" spans="1:8" ht="14.1" customHeight="1" x14ac:dyDescent="0.3">
      <c r="A112" s="5" t="s">
        <v>84</v>
      </c>
      <c r="B112" s="3" t="s">
        <v>1046</v>
      </c>
      <c r="C112" s="6">
        <v>2</v>
      </c>
      <c r="D112" s="3" t="s">
        <v>1045</v>
      </c>
      <c r="E112" s="7" t="str">
        <f>IF(COUNTIF(SC!I33:I33,"Not Selected")&gt;0,"Not Selected",
IF(COUNTIF(SC!I33:I33,"Planned")&gt;0,"Planned",
IF(COUNTIF(SC!I33:I33,"Inherited")&gt;0,"Inherited",
IF(COUNTIF(SC!I33:I33,"Partially Implemented")&gt;0,"Partially Implemented",
IF(COUNTIF(SC!I33:I33,"Implemented")&gt;0,"Implemented",
"")))))</f>
        <v>Implemented</v>
      </c>
      <c r="F112" s="8" t="str">
        <f>IF(COUNTIF(SC!J33:J33,"Not Applicable")&gt;0,"Not Applicable",
IF(COUNTIF(SC!J33:J33,"NOT MET")&gt;0,"NOT MET",
IF(COUNTIF(SC!J33:J33,"Partially MET")&gt;0,"Partially MET",
IF(COUNTIF(SC!J33:J33,"MET")&gt;0,"MET",
""))))</f>
        <v>MET</v>
      </c>
      <c r="G112" s="7">
        <v>1</v>
      </c>
      <c r="H112" s="245" t="s">
        <v>1252</v>
      </c>
    </row>
    <row r="113" spans="1:8" ht="14.1" customHeight="1" x14ac:dyDescent="0.3">
      <c r="A113" s="5" t="s">
        <v>84</v>
      </c>
      <c r="B113" s="3" t="s">
        <v>1048</v>
      </c>
      <c r="C113" s="5">
        <v>2</v>
      </c>
      <c r="D113" s="3" t="s">
        <v>1047</v>
      </c>
      <c r="E113" s="7" t="str">
        <f>IF(COUNTIF(SC!I34:I36,"Not Selected")&gt;0,"Not Selected",
IF(COUNTIF(SC!I34:I36,"Planned")&gt;0,"Planned",
IF(COUNTIF(SC!I34:I36,"Inherited")&gt;0,"Inherited",
IF(COUNTIF(SC!I34:I36,"Partially Implemented")&gt;0,"Partially Implemented",
IF(COUNTIF(SC!I34:I36,"Implemented")&gt;0,"Implemented",
"")))))</f>
        <v>Implemented</v>
      </c>
      <c r="F113" s="8" t="str">
        <f>IF(COUNTIF(SC!J34:J36,"Not Applicable")&gt;0,"Not Applicable",
IF(COUNTIF(SC!J34:J36,"NOT MET")&gt;0,"NOT MET",
IF(COUNTIF(SC!J34:J36,"Partially MET")&gt;0,"Partially MET",
IF(COUNTIF(SC!J34:J36,"MET")&gt;0,"MET",
""))))</f>
        <v>MET</v>
      </c>
      <c r="G113" s="7">
        <v>1</v>
      </c>
      <c r="H113" s="7">
        <v>1</v>
      </c>
    </row>
    <row r="114" spans="1:8" ht="14.1" customHeight="1" x14ac:dyDescent="0.3">
      <c r="A114" s="5" t="s">
        <v>84</v>
      </c>
      <c r="B114" s="3" t="s">
        <v>1049</v>
      </c>
      <c r="C114" s="5">
        <v>2</v>
      </c>
      <c r="D114" s="3" t="s">
        <v>86</v>
      </c>
      <c r="E114" s="7" t="str">
        <f>IF(COUNTIF(SC!I37:I38,"Not Selected")&gt;0,"Not Selected",
IF(COUNTIF(SC!I37:I38,"Planned")&gt;0,"Planned",
IF(COUNTIF(SC!I37:I38,"Inherited")&gt;0,"Inherited",
IF(COUNTIF(SC!I37:I38,"Partially Implemented")&gt;0,"Partially Implemented",
IF(COUNTIF(SC!I37:I38,"Implemented")&gt;0,"Implemented",
"")))))</f>
        <v>Implemented</v>
      </c>
      <c r="F114" s="8" t="str">
        <f>IF(COUNTIF(SC!J37:J38,"Not Applicable")&gt;0,"Not Applicable",
IF(COUNTIF(SC!J37:J38,"NOT MET")&gt;0,"NOT MET",
IF(COUNTIF(SC!J37:J38,"Partially MET")&gt;0,"Partially MET",
IF(COUNTIF(SC!J37:J38,"MET")&gt;0,"MET",
""))))</f>
        <v>MET</v>
      </c>
      <c r="G114" s="7">
        <v>1</v>
      </c>
      <c r="H114" s="7">
        <v>1</v>
      </c>
    </row>
    <row r="115" spans="1:8" ht="14.1" customHeight="1" x14ac:dyDescent="0.3">
      <c r="A115" s="5" t="s">
        <v>84</v>
      </c>
      <c r="B115" s="3" t="s">
        <v>1051</v>
      </c>
      <c r="C115" s="5">
        <v>2</v>
      </c>
      <c r="D115" s="3" t="s">
        <v>1050</v>
      </c>
      <c r="E115" s="7" t="str">
        <f>IF(COUNTIF(SC!I39:I40,"Not Selected")&gt;0,"Not Selected",
IF(COUNTIF(SC!I39:I40,"Planned")&gt;0,"Planned",
IF(COUNTIF(SC!I39:I40,"Inherited")&gt;0,"Inherited",
IF(COUNTIF(SC!I39:I40,"Partially Implemented")&gt;0,"Partially Implemented",
IF(COUNTIF(SC!I39:I40,"Implemented")&gt;0,"Implemented",
"")))))</f>
        <v>Implemented</v>
      </c>
      <c r="F115" s="8" t="str">
        <f>IF(COUNTIF(SC!J39:J40,"Not Applicable")&gt;0,"Not Applicable",
IF(COUNTIF(SC!J39:J40,"NOT MET")&gt;0,"NOT MET",
IF(COUNTIF(SC!J39:J40,"Partially MET")&gt;0,"Partially MET",
IF(COUNTIF(SC!J39:J40,"MET")&gt;0,"MET",
""))))</f>
        <v>MET</v>
      </c>
      <c r="G115" s="7">
        <v>1</v>
      </c>
      <c r="H115" s="7">
        <v>1</v>
      </c>
    </row>
    <row r="116" spans="1:8" s="17" customFormat="1" ht="14.1" customHeight="1" x14ac:dyDescent="0.3">
      <c r="A116" s="18" t="s">
        <v>84</v>
      </c>
      <c r="B116" s="3" t="s">
        <v>1053</v>
      </c>
      <c r="C116" s="18">
        <v>2</v>
      </c>
      <c r="D116" s="19" t="s">
        <v>1052</v>
      </c>
      <c r="E116" s="14" t="str">
        <f>IF(COUNTIF(SC!I41:I41,"Not Selected")&gt;0,"Not Selected",
IF(COUNTIF(SC!I41:I41,"Planned")&gt;0,"Planned",
IF(COUNTIF(SC!I41:I41,"Inherited")&gt;0,"Inherited",
IF(COUNTIF(SC!I41:I41,"Partially Implemented")&gt;0,"Partially Implemented",
IF(COUNTIF(SC!I41:I41,"Implemented")&gt;0,"Implemented",
"")))))</f>
        <v>Implemented</v>
      </c>
      <c r="F116" s="16" t="str">
        <f>IF(COUNTIF(SC!J41:J41,"Not Applicable")&gt;0,"Not Applicable",
IF(COUNTIF(SC!J41:J41,"NOT MET")&gt;0,"NOT MET",
IF(COUNTIF(SC!J41:J41,"Partially MET")&gt;0,"Partially MET",
IF(COUNTIF(SC!J41:J41,"MET")&gt;0,"MET",
""))))</f>
        <v>MET</v>
      </c>
      <c r="G116" s="14">
        <v>1</v>
      </c>
      <c r="H116" s="14">
        <v>5</v>
      </c>
    </row>
    <row r="117" spans="1:8" ht="14.1" customHeight="1" x14ac:dyDescent="0.3">
      <c r="A117" s="5" t="s">
        <v>84</v>
      </c>
      <c r="B117" s="3" t="s">
        <v>1055</v>
      </c>
      <c r="C117" s="5">
        <v>2</v>
      </c>
      <c r="D117" s="3" t="s">
        <v>1054</v>
      </c>
      <c r="E117" s="7" t="str">
        <f>IF(COUNTIF(SC!I42:I42,"Not Selected")&gt;0,"Not Selected",
IF(COUNTIF(SC!I42:I42,"Planned")&gt;0,"Planned",
IF(COUNTIF(SC!I42:I42,"Inherited")&gt;0,"Inherited",
IF(COUNTIF(SC!I42:I42,"Partially Implemented")&gt;0,"Partially Implemented",
IF(COUNTIF(SC!I42:I42,"Implemented")&gt;0,"Implemented",
"")))))</f>
        <v>Implemented</v>
      </c>
      <c r="F117" s="8" t="str">
        <f>IF(COUNTIF(SC!J42:J42,"Not Applicable")&gt;0,"Not Applicable",
IF(COUNTIF(SC!J42:J42,"NOT MET")&gt;0,"NOT MET",
IF(COUNTIF(SC!J42:J42,"Partially MET")&gt;0,"Partially MET",
IF(COUNTIF(SC!J42:J42,"MET")&gt;0,"MET",
""))))</f>
        <v>MET</v>
      </c>
      <c r="G117" s="7">
        <v>1</v>
      </c>
      <c r="H117" s="7">
        <v>1</v>
      </c>
    </row>
    <row r="118" spans="1:8" x14ac:dyDescent="0.3">
      <c r="A118" s="25"/>
      <c r="B118" s="23"/>
      <c r="C118" s="222"/>
      <c r="D118" s="26" t="s">
        <v>87</v>
      </c>
      <c r="E118" s="24"/>
      <c r="F118" s="24"/>
      <c r="G118" s="24"/>
      <c r="H118" s="24"/>
    </row>
    <row r="119" spans="1:8" x14ac:dyDescent="0.3">
      <c r="A119" s="5" t="s">
        <v>88</v>
      </c>
      <c r="B119" s="3" t="s">
        <v>1179</v>
      </c>
      <c r="C119" s="5">
        <v>1</v>
      </c>
      <c r="D119" s="3" t="s">
        <v>89</v>
      </c>
      <c r="E119" s="14" t="str">
        <f>IF(COUNTIF(SI!I2:I7,"Not Selected")&gt;0,"Not Selected",
IF(COUNTIF(SI!I2:I7,"Planned")&gt;0,"Planned",
IF(COUNTIF(SI!I2:I7,"Inherited")&gt;0,"Inherited",
IF(COUNTIF(SI!I2:I7,"Partially Implemented")&gt;0,"Partially Implemented",
IF(COUNTIF(SI!I2:I7,"Implemented")&gt;0,"Implemented",
"")))))</f>
        <v>Implemented</v>
      </c>
      <c r="F119" s="8" t="str">
        <f>IF(COUNTIF(SI!J2:J7,"Not Applicable")&gt;0,"Not Applicable",
IF(COUNTIF(SI!J2:J7,"NOT MET")&gt;0,"NOT MET",
IF(COUNTIF(SI!J2:J7,"Partially MET")&gt;0,"Partially MET",
IF(COUNTIF(SI!J2:J7,"MET")&gt;0,"MET",
""))))</f>
        <v>MET</v>
      </c>
      <c r="G119" s="7">
        <v>1</v>
      </c>
      <c r="H119" s="7">
        <v>5</v>
      </c>
    </row>
    <row r="120" spans="1:8" x14ac:dyDescent="0.3">
      <c r="A120" s="5" t="s">
        <v>88</v>
      </c>
      <c r="B120" s="3" t="s">
        <v>1180</v>
      </c>
      <c r="C120" s="5">
        <v>1</v>
      </c>
      <c r="D120" s="3" t="s">
        <v>90</v>
      </c>
      <c r="E120" s="7" t="str">
        <f>IF(COUNTIF(SI!I8:I9,"Not Selected")&gt;0,"Not Selected",
IF(COUNTIF(SI!I8:I9,"Planned")&gt;0,"Planned",
IF(COUNTIF(SI!I8:I9,"Inherited")&gt;0,"Inherited",
IF(COUNTIF(SI!I8:I9,"Partially Implemented")&gt;0,"Partially Implemented",
IF(COUNTIF(SI!I8:I9,"Implemented")&gt;0,"Implemented",
"")))))</f>
        <v>Implemented</v>
      </c>
      <c r="F120" s="8" t="str">
        <f>IF(COUNTIF(SI!J8:J9,"Not Applicable")&gt;0,"Not Applicable",
IF(COUNTIF(SI!J8:J9,"NOT MET")&gt;0,"NOT MET",
IF(COUNTIF(SI!J8:J9,"Partially MET")&gt;0,"Partially MET",
IF(COUNTIF(SI!J8:J9,"MET")&gt;0,"MET",
""))))</f>
        <v>MET</v>
      </c>
      <c r="G120" s="7">
        <v>1</v>
      </c>
      <c r="H120" s="7">
        <v>5</v>
      </c>
    </row>
    <row r="121" spans="1:8" x14ac:dyDescent="0.3">
      <c r="A121" s="5" t="s">
        <v>88</v>
      </c>
      <c r="B121" s="3" t="s">
        <v>1182</v>
      </c>
      <c r="C121" s="6">
        <v>2</v>
      </c>
      <c r="D121" s="3" t="s">
        <v>1181</v>
      </c>
      <c r="E121" s="7" t="str">
        <f>IF(COUNTIF(SI!I10:I12,"Not Selected")&gt;0,"Not Selected",
IF(COUNTIF(SI!I10:I12,"Planned")&gt;0,"Planned",
IF(COUNTIF(SI!I10:I12,"Inherited")&gt;0,"Inherited",
IF(COUNTIF(SI!I10:I12,"Partially Implemented")&gt;0,"Partially Implemented",
IF(COUNTIF(SI!I10:I12,"Implemented")&gt;0,"Implemented",
"")))))</f>
        <v>Implemented</v>
      </c>
      <c r="F121" s="8" t="str">
        <f>IF(COUNTIF(SI!J10:J12,"Not Applicable")&gt;0,"Not Applicable",
IF(COUNTIF(SI!J10:J12,"NOT MET")&gt;0,"NOT MET",
IF(COUNTIF(SI!J10:J12,"Partially MET")&gt;0,"Partially MET",
IF(COUNTIF(SI!J10:J12,"MET")&gt;0,"MET",
""))))</f>
        <v>MET</v>
      </c>
      <c r="G121" s="7">
        <v>1</v>
      </c>
      <c r="H121" s="7">
        <v>5</v>
      </c>
    </row>
    <row r="122" spans="1:8" x14ac:dyDescent="0.3">
      <c r="A122" s="5" t="s">
        <v>88</v>
      </c>
      <c r="B122" s="3" t="s">
        <v>1184</v>
      </c>
      <c r="C122" s="5">
        <v>1</v>
      </c>
      <c r="D122" s="3" t="s">
        <v>1183</v>
      </c>
      <c r="E122" s="7" t="str">
        <f>IF(COUNTIF(SI!I13:I13,"Not Selected")&gt;0,"Not Selected",
IF(COUNTIF(SI!I13:I13,"Planned")&gt;0,"Planned",
IF(COUNTIF(SI!I13:I13,"Inherited")&gt;0,"Inherited",
IF(COUNTIF(SI!I13:I13,"Partially Implemented")&gt;0,"Partially Implemented",
IF(COUNTIF(SI!I13:I13,"Implemented")&gt;0,"Implemented",
"")))))</f>
        <v>Implemented</v>
      </c>
      <c r="F122" s="8" t="str">
        <f>IF(COUNTIF(SI!J13:J13,"Not Applicable")&gt;0,"Not Applicable",
IF(COUNTIF(SI!J13:J13,"NOT MET")&gt;0,"NOT MET",
IF(COUNTIF(SI!J13:J13,"Partially MET")&gt;0,"Partially MET",
IF(COUNTIF(SI!J13:J13,"MET")&gt;0,"MET",
""))))</f>
        <v>MET</v>
      </c>
      <c r="G122" s="7">
        <v>1</v>
      </c>
      <c r="H122" s="7">
        <v>5</v>
      </c>
    </row>
    <row r="123" spans="1:8" x14ac:dyDescent="0.3">
      <c r="A123" s="5" t="s">
        <v>88</v>
      </c>
      <c r="B123" s="3" t="s">
        <v>1186</v>
      </c>
      <c r="C123" s="5">
        <v>1</v>
      </c>
      <c r="D123" s="3" t="s">
        <v>1185</v>
      </c>
      <c r="E123" s="7" t="str">
        <f>IF(COUNTIF(SI!I14:I16,"Not Selected")&gt;0,"Not Selected",
IF(COUNTIF(SI!I14:I16,"Planned")&gt;0,"Planned",
IF(COUNTIF(SI!I14:I16,"Inherited")&gt;0,"Inherited",
IF(COUNTIF(SI!I14:I16,"Partially Implemented")&gt;0,"Partially Implemented",
IF(COUNTIF(SI!I14:I16,"Implemented")&gt;0,"Implemented",
"")))))</f>
        <v>Implemented</v>
      </c>
      <c r="F123" s="8" t="str">
        <f>IF(COUNTIF(SI!J14:J16,"Not Applicable")&gt;0,"Not Applicable",
IF(COUNTIF(SI!J14:J16,"NOT MET")&gt;0,"NOT MET",
IF(COUNTIF(SI!J14:J16,"Partially MET")&gt;0,"Partially MET",
IF(COUNTIF(SI!J14:J16,"MET")&gt;0,"MET",
""))))</f>
        <v>MET</v>
      </c>
      <c r="G123" s="7">
        <v>1</v>
      </c>
      <c r="H123" s="7">
        <v>3</v>
      </c>
    </row>
    <row r="124" spans="1:8" x14ac:dyDescent="0.3">
      <c r="A124" s="5" t="s">
        <v>88</v>
      </c>
      <c r="B124" s="3" t="s">
        <v>1188</v>
      </c>
      <c r="C124" s="6">
        <v>2</v>
      </c>
      <c r="D124" s="3" t="s">
        <v>1187</v>
      </c>
      <c r="E124" s="7" t="str">
        <f>IF(COUNTIF(SI!I19,"Not Selected")&gt;0,"Not Selected",
IF(COUNTIF(SI!I19,"Planned")&gt;0,"Planned",
IF(COUNTIF(SI!I19,"Inherited")&gt;0,"Inherited",
IF(COUNTIF(SI!I19,"Partially Implemented")&gt;0,"Partially Implemented",
IF(COUNTIF(SI!I19,"Implemented")&gt;0,"Implemented",
"")))))</f>
        <v>Implemented</v>
      </c>
      <c r="F124" s="8" t="str">
        <f>IF(COUNTIF(SI!J19,"Not Applicable")&gt;0,"Not Applicable",
IF(COUNTIF(SI!J19,"NOT MET")&gt;0,"NOT MET",
IF(COUNTIF(SI!J19,"Partially MET")&gt;0,"Partially MET",
IF(COUNTIF(SI!J19,"MET")&gt;0,"MET",
""))))</f>
        <v>MET</v>
      </c>
      <c r="G124" s="7">
        <v>1</v>
      </c>
      <c r="H124" s="7">
        <v>5</v>
      </c>
    </row>
    <row r="125" spans="1:8" x14ac:dyDescent="0.3">
      <c r="A125" s="5" t="s">
        <v>88</v>
      </c>
      <c r="B125" s="3" t="s">
        <v>1190</v>
      </c>
      <c r="C125" s="6">
        <v>2</v>
      </c>
      <c r="D125" s="3" t="s">
        <v>1189</v>
      </c>
      <c r="E125" s="7" t="str">
        <f>IF(COUNTIF(SI!I20:I21,"Not Selected")&gt;0,"Not Selected",
IF(COUNTIF(SI!I20:I21,"Planned")&gt;0,"Planned",
IF(COUNTIF(SI!I20:I21,"Inherited")&gt;0,"Inherited",
IF(COUNTIF(SI!I20:I21,"Partially Implemented")&gt;0,"Partially Implemented",
IF(COUNTIF(SI!I20:I21,"Implemented")&gt;0,"Implemented",
"")))))</f>
        <v>Implemented</v>
      </c>
      <c r="F125" s="8" t="str">
        <f>IF(COUNTIF(SI!J20:J21,"Not Applicable")&gt;0,"Not Applicable",
IF(COUNTIF(SI!J20:J21,"NOT MET")&gt;0,"NOT MET",
IF(COUNTIF(SI!J20:J21,"Partially MET")&gt;0,"Partially MET",
IF(COUNTIF(SI!J20:J21,"MET")&gt;0,"MET",
""))))</f>
        <v>MET</v>
      </c>
      <c r="G125" s="7">
        <v>1</v>
      </c>
      <c r="H125" s="7">
        <v>3</v>
      </c>
    </row>
  </sheetData>
  <autoFilter ref="A1:H125" xr:uid="{00000000-0001-0000-0100-000000000000}"/>
  <dataConsolidate/>
  <phoneticPr fontId="57" type="noConversion"/>
  <conditionalFormatting sqref="C1:C1048576">
    <cfRule type="cellIs" dxfId="221" priority="3" operator="equal">
      <formula>1</formula>
    </cfRule>
    <cfRule type="cellIs" dxfId="220" priority="4" operator="equal">
      <formula>2</formula>
    </cfRule>
  </conditionalFormatting>
  <conditionalFormatting sqref="E1:E1048576">
    <cfRule type="cellIs" dxfId="219" priority="8" operator="equal">
      <formula>"Partially Implemented"</formula>
    </cfRule>
    <cfRule type="cellIs" dxfId="218" priority="9" operator="equal">
      <formula>"Not Selected"</formula>
    </cfRule>
    <cfRule type="containsText" dxfId="217" priority="17" operator="containsText" text="Inherited">
      <formula>NOT(ISERROR(SEARCH("Inherited",E1)))</formula>
    </cfRule>
    <cfRule type="containsText" dxfId="216" priority="18" operator="containsText" text="Implemented">
      <formula>NOT(ISERROR(SEARCH("Implemented",E1)))</formula>
    </cfRule>
    <cfRule type="containsText" dxfId="215" priority="19" operator="containsText" text="Planned">
      <formula>NOT(ISERROR(SEARCH("Planned",E1)))</formula>
    </cfRule>
  </conditionalFormatting>
  <conditionalFormatting sqref="E1:F1048576">
    <cfRule type="containsText" dxfId="214" priority="13" operator="containsText" text="Not Applicable">
      <formula>NOT(ISERROR(SEARCH("Not Applicable",E1)))</formula>
    </cfRule>
  </conditionalFormatting>
  <conditionalFormatting sqref="F1:F1048576">
    <cfRule type="cellIs" dxfId="213" priority="1" operator="equal">
      <formula>"NOT MET"</formula>
    </cfRule>
    <cfRule type="cellIs" dxfId="212" priority="2" operator="equal">
      <formula>"MET"</formula>
    </cfRule>
    <cfRule type="cellIs" dxfId="211" priority="7" operator="equal">
      <formula>"Partially Satisfied"</formula>
    </cfRule>
    <cfRule type="containsText" dxfId="210" priority="11" operator="containsText" text="Other Than Satisfied">
      <formula>NOT(ISERROR(SEARCH("Other Than Satisfied",F1)))</formula>
    </cfRule>
    <cfRule type="containsText" dxfId="209" priority="20" operator="containsText" text="Partially Satisfied">
      <formula>NOT(ISERROR(SEARCH("Partially Satisfied",F1)))</formula>
    </cfRule>
    <cfRule type="containsText" dxfId="208" priority="21" operator="containsText" text="Satisfied">
      <formula>NOT(ISERROR(SEARCH("Satisfied",F1)))</formula>
    </cfRule>
    <cfRule type="containsText" dxfId="207" priority="22" operator="containsText" text="Other Than Satisfied">
      <formula>NOT(ISERROR(SEARCH("Other Than Satisfied",F1)))</formula>
    </cfRule>
  </conditionalFormatting>
  <conditionalFormatting sqref="G1:G1048576">
    <cfRule type="cellIs" dxfId="206" priority="5" operator="equal">
      <formula>"None"</formula>
    </cfRule>
    <cfRule type="containsText" dxfId="205" priority="14" operator="containsText" text="High">
      <formula>NOT(ISERROR(SEARCH("High",G1)))</formula>
    </cfRule>
    <cfRule type="containsText" dxfId="204" priority="15" operator="containsText" text="Moderate">
      <formula>NOT(ISERROR(SEARCH("Moderate",G1)))</formula>
    </cfRule>
    <cfRule type="containsText" dxfId="203" priority="16" operator="containsText" text="Low">
      <formula>NOT(ISERROR(SEARCH("Low",G1)))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811E7-D22F-45E3-9BF0-BBF3DFBBB7EC}">
  <sheetPr>
    <tabColor rgb="FF0070C0"/>
  </sheetPr>
  <dimension ref="A1:K71"/>
  <sheetViews>
    <sheetView showGridLines="0" zoomScale="70" zoomScaleNormal="70" workbookViewId="0">
      <pane ySplit="1" topLeftCell="A29" activePane="bottomLeft" state="frozen"/>
      <selection activeCell="D181" sqref="D181"/>
      <selection pane="bottomLeft" activeCell="B4" sqref="B4"/>
    </sheetView>
  </sheetViews>
  <sheetFormatPr defaultColWidth="8.6640625" defaultRowHeight="50.1" customHeight="1" x14ac:dyDescent="0.3"/>
  <cols>
    <col min="1" max="1" width="22.109375" style="76" customWidth="1"/>
    <col min="2" max="3" width="16.88671875" style="44" customWidth="1"/>
    <col min="4" max="4" width="56.44140625" style="44" customWidth="1"/>
    <col min="5" max="5" width="48.44140625" style="44" hidden="1" customWidth="1"/>
    <col min="6" max="6" width="57" style="44" hidden="1" customWidth="1"/>
    <col min="7" max="7" width="35" style="44" hidden="1" customWidth="1"/>
    <col min="8" max="8" width="74.44140625" style="44" customWidth="1"/>
    <col min="9" max="9" width="42.5546875" style="77" customWidth="1"/>
    <col min="10" max="10" width="42.109375" style="77" customWidth="1"/>
    <col min="11" max="11" width="42.88671875" style="44" customWidth="1"/>
    <col min="12" max="16384" width="8.6640625" style="44"/>
  </cols>
  <sheetData>
    <row r="1" spans="1:11" ht="50.1" customHeight="1" thickBot="1" x14ac:dyDescent="0.35">
      <c r="A1" s="20" t="s">
        <v>125</v>
      </c>
      <c r="B1" s="20" t="s">
        <v>762</v>
      </c>
      <c r="C1" s="20" t="s">
        <v>93</v>
      </c>
      <c r="D1" s="20" t="s">
        <v>94</v>
      </c>
      <c r="E1" s="20" t="s">
        <v>95</v>
      </c>
      <c r="F1" s="20" t="s">
        <v>96</v>
      </c>
      <c r="G1" s="20" t="s">
        <v>97</v>
      </c>
      <c r="H1" s="20" t="s">
        <v>98</v>
      </c>
      <c r="I1" s="20" t="s">
        <v>44</v>
      </c>
      <c r="J1" s="20" t="s">
        <v>45</v>
      </c>
      <c r="K1" s="20" t="s">
        <v>99</v>
      </c>
    </row>
    <row r="2" spans="1:11" ht="50.1" customHeight="1" x14ac:dyDescent="0.3">
      <c r="A2" s="303" t="s">
        <v>127</v>
      </c>
      <c r="B2" s="49" t="s">
        <v>128</v>
      </c>
      <c r="C2" s="49" t="s">
        <v>129</v>
      </c>
      <c r="D2" s="49" t="s">
        <v>691</v>
      </c>
      <c r="E2" s="50" t="s">
        <v>247</v>
      </c>
      <c r="F2" s="51" t="s">
        <v>248</v>
      </c>
      <c r="G2" s="58" t="s">
        <v>259</v>
      </c>
      <c r="H2" s="121" t="s">
        <v>1260</v>
      </c>
      <c r="I2" s="52" t="s">
        <v>29</v>
      </c>
      <c r="J2" s="52" t="s">
        <v>111</v>
      </c>
      <c r="K2" s="202" t="s">
        <v>1259</v>
      </c>
    </row>
    <row r="3" spans="1:11" ht="50.1" customHeight="1" x14ac:dyDescent="0.3">
      <c r="A3" s="304"/>
      <c r="B3" s="53" t="s">
        <v>128</v>
      </c>
      <c r="C3" s="53" t="s">
        <v>130</v>
      </c>
      <c r="D3" s="53" t="s">
        <v>692</v>
      </c>
      <c r="E3" s="54"/>
      <c r="F3" s="54"/>
      <c r="G3" s="54"/>
      <c r="H3" s="122" t="s">
        <v>1261</v>
      </c>
      <c r="I3" s="48" t="s">
        <v>29</v>
      </c>
      <c r="J3" s="48" t="s">
        <v>111</v>
      </c>
      <c r="K3" s="47" t="s">
        <v>1263</v>
      </c>
    </row>
    <row r="4" spans="1:11" ht="50.1" customHeight="1" x14ac:dyDescent="0.3">
      <c r="A4" s="304"/>
      <c r="B4" s="53" t="s">
        <v>128</v>
      </c>
      <c r="C4" s="53" t="s">
        <v>131</v>
      </c>
      <c r="D4" s="53" t="s">
        <v>693</v>
      </c>
      <c r="E4" s="54"/>
      <c r="F4" s="54"/>
      <c r="G4" s="54"/>
      <c r="H4" s="122" t="s">
        <v>1264</v>
      </c>
      <c r="I4" s="48" t="s">
        <v>29</v>
      </c>
      <c r="J4" s="48" t="s">
        <v>111</v>
      </c>
      <c r="K4" s="47" t="s">
        <v>1265</v>
      </c>
    </row>
    <row r="5" spans="1:11" ht="50.1" customHeight="1" x14ac:dyDescent="0.3">
      <c r="A5" s="304"/>
      <c r="B5" s="53" t="s">
        <v>128</v>
      </c>
      <c r="C5" s="53" t="s">
        <v>132</v>
      </c>
      <c r="D5" s="53" t="s">
        <v>694</v>
      </c>
      <c r="E5" s="54"/>
      <c r="F5" s="54"/>
      <c r="G5" s="54"/>
      <c r="H5" s="122" t="s">
        <v>1267</v>
      </c>
      <c r="I5" s="48" t="s">
        <v>29</v>
      </c>
      <c r="J5" s="48" t="s">
        <v>111</v>
      </c>
      <c r="K5" s="47" t="s">
        <v>1268</v>
      </c>
    </row>
    <row r="6" spans="1:11" ht="50.1" customHeight="1" x14ac:dyDescent="0.3">
      <c r="A6" s="304"/>
      <c r="B6" s="53" t="s">
        <v>128</v>
      </c>
      <c r="C6" s="53" t="s">
        <v>133</v>
      </c>
      <c r="D6" s="53" t="s">
        <v>695</v>
      </c>
      <c r="E6" s="54"/>
      <c r="F6" s="54"/>
      <c r="G6" s="54"/>
      <c r="H6" s="122" t="s">
        <v>1266</v>
      </c>
      <c r="I6" s="48" t="s">
        <v>29</v>
      </c>
      <c r="J6" s="48" t="s">
        <v>111</v>
      </c>
      <c r="K6" s="47" t="s">
        <v>1269</v>
      </c>
    </row>
    <row r="7" spans="1:11" ht="50.1" customHeight="1" thickBot="1" x14ac:dyDescent="0.35">
      <c r="A7" s="305"/>
      <c r="B7" s="53" t="s">
        <v>128</v>
      </c>
      <c r="C7" s="53" t="s">
        <v>134</v>
      </c>
      <c r="D7" s="53" t="s">
        <v>696</v>
      </c>
      <c r="E7" s="54"/>
      <c r="F7" s="54"/>
      <c r="G7" s="54"/>
      <c r="H7" s="122" t="s">
        <v>1304</v>
      </c>
      <c r="I7" s="48" t="s">
        <v>29</v>
      </c>
      <c r="J7" s="48" t="s">
        <v>111</v>
      </c>
      <c r="K7" s="203" t="s">
        <v>1270</v>
      </c>
    </row>
    <row r="8" spans="1:11" ht="50.1" customHeight="1" x14ac:dyDescent="0.3">
      <c r="A8" s="303" t="s">
        <v>135</v>
      </c>
      <c r="B8" s="49" t="s">
        <v>136</v>
      </c>
      <c r="C8" s="49" t="s">
        <v>137</v>
      </c>
      <c r="D8" s="49" t="s">
        <v>697</v>
      </c>
      <c r="E8" s="50" t="s">
        <v>298</v>
      </c>
      <c r="F8" s="51" t="s">
        <v>249</v>
      </c>
      <c r="G8" s="58" t="s">
        <v>258</v>
      </c>
      <c r="H8" s="121" t="s">
        <v>1271</v>
      </c>
      <c r="I8" s="52" t="s">
        <v>29</v>
      </c>
      <c r="J8" s="52" t="s">
        <v>111</v>
      </c>
      <c r="K8" s="202" t="s">
        <v>1273</v>
      </c>
    </row>
    <row r="9" spans="1:11" ht="50.1" customHeight="1" thickBot="1" x14ac:dyDescent="0.35">
      <c r="A9" s="305"/>
      <c r="B9" s="53" t="s">
        <v>136</v>
      </c>
      <c r="C9" s="55" t="s">
        <v>138</v>
      </c>
      <c r="D9" s="55" t="s">
        <v>698</v>
      </c>
      <c r="E9" s="59"/>
      <c r="F9" s="54"/>
      <c r="G9" s="54"/>
      <c r="H9" s="122" t="s">
        <v>1303</v>
      </c>
      <c r="I9" s="48" t="s">
        <v>29</v>
      </c>
      <c r="J9" s="48" t="s">
        <v>111</v>
      </c>
      <c r="K9" s="210" t="s">
        <v>1272</v>
      </c>
    </row>
    <row r="10" spans="1:11" ht="50.1" customHeight="1" x14ac:dyDescent="0.3">
      <c r="A10" s="303" t="s">
        <v>172</v>
      </c>
      <c r="B10" s="211" t="s">
        <v>139</v>
      </c>
      <c r="C10" s="49" t="s">
        <v>186</v>
      </c>
      <c r="D10" s="211" t="s">
        <v>699</v>
      </c>
      <c r="E10" s="212" t="s">
        <v>246</v>
      </c>
      <c r="F10" s="213" t="s">
        <v>250</v>
      </c>
      <c r="G10" s="214" t="s">
        <v>257</v>
      </c>
      <c r="H10" s="192" t="s">
        <v>1277</v>
      </c>
      <c r="I10" s="215" t="s">
        <v>29</v>
      </c>
      <c r="J10" s="215" t="s">
        <v>111</v>
      </c>
      <c r="K10" s="202" t="s">
        <v>1273</v>
      </c>
    </row>
    <row r="11" spans="1:11" ht="50.1" customHeight="1" x14ac:dyDescent="0.3">
      <c r="A11" s="304"/>
      <c r="B11" s="53" t="s">
        <v>139</v>
      </c>
      <c r="C11" s="53" t="s">
        <v>187</v>
      </c>
      <c r="D11" s="53" t="s">
        <v>700</v>
      </c>
      <c r="E11" s="59"/>
      <c r="F11" s="59"/>
      <c r="G11" s="59"/>
      <c r="H11" s="122" t="s">
        <v>1274</v>
      </c>
      <c r="I11" s="48" t="s">
        <v>29</v>
      </c>
      <c r="J11" s="48" t="s">
        <v>111</v>
      </c>
      <c r="K11" s="47" t="s">
        <v>1262</v>
      </c>
    </row>
    <row r="12" spans="1:11" ht="50.1" customHeight="1" x14ac:dyDescent="0.3">
      <c r="A12" s="304"/>
      <c r="B12" s="53" t="s">
        <v>139</v>
      </c>
      <c r="C12" s="53" t="s">
        <v>188</v>
      </c>
      <c r="D12" s="53" t="s">
        <v>701</v>
      </c>
      <c r="E12" s="59"/>
      <c r="F12" s="59"/>
      <c r="G12" s="59"/>
      <c r="H12" s="122" t="s">
        <v>1275</v>
      </c>
      <c r="I12" s="48" t="s">
        <v>29</v>
      </c>
      <c r="J12" s="48" t="s">
        <v>111</v>
      </c>
      <c r="K12" s="47" t="s">
        <v>1262</v>
      </c>
    </row>
    <row r="13" spans="1:11" ht="50.1" customHeight="1" x14ac:dyDescent="0.3">
      <c r="A13" s="304"/>
      <c r="B13" s="53" t="s">
        <v>139</v>
      </c>
      <c r="C13" s="53" t="s">
        <v>189</v>
      </c>
      <c r="D13" s="53" t="s">
        <v>702</v>
      </c>
      <c r="E13" s="59"/>
      <c r="F13" s="59"/>
      <c r="G13" s="59"/>
      <c r="H13" s="122" t="s">
        <v>1276</v>
      </c>
      <c r="I13" s="48" t="s">
        <v>29</v>
      </c>
      <c r="J13" s="48" t="s">
        <v>111</v>
      </c>
      <c r="K13" s="47" t="s">
        <v>1278</v>
      </c>
    </row>
    <row r="14" spans="1:11" ht="50.1" customHeight="1" thickBot="1" x14ac:dyDescent="0.35">
      <c r="A14" s="305"/>
      <c r="B14" s="207" t="s">
        <v>139</v>
      </c>
      <c r="C14" s="53" t="s">
        <v>190</v>
      </c>
      <c r="D14" s="207" t="s">
        <v>703</v>
      </c>
      <c r="E14" s="216"/>
      <c r="F14" s="217"/>
      <c r="G14" s="217"/>
      <c r="H14" s="196" t="s">
        <v>1279</v>
      </c>
      <c r="I14" s="208" t="s">
        <v>29</v>
      </c>
      <c r="J14" s="208" t="s">
        <v>111</v>
      </c>
      <c r="K14" s="204" t="s">
        <v>1278</v>
      </c>
    </row>
    <row r="15" spans="1:11" ht="50.1" customHeight="1" x14ac:dyDescent="0.3">
      <c r="A15" s="303" t="s">
        <v>48</v>
      </c>
      <c r="B15" s="49" t="s">
        <v>140</v>
      </c>
      <c r="C15" s="49" t="s">
        <v>191</v>
      </c>
      <c r="D15" s="49" t="s">
        <v>704</v>
      </c>
      <c r="E15" s="50" t="s">
        <v>245</v>
      </c>
      <c r="F15" s="51" t="s">
        <v>251</v>
      </c>
      <c r="G15" s="58" t="s">
        <v>256</v>
      </c>
      <c r="H15" s="246" t="s">
        <v>1280</v>
      </c>
      <c r="I15" s="215" t="s">
        <v>29</v>
      </c>
      <c r="J15" s="215" t="s">
        <v>111</v>
      </c>
      <c r="K15" s="202" t="s">
        <v>1273</v>
      </c>
    </row>
    <row r="16" spans="1:11" ht="50.1" customHeight="1" x14ac:dyDescent="0.3">
      <c r="A16" s="304"/>
      <c r="B16" s="53" t="s">
        <v>140</v>
      </c>
      <c r="C16" s="53" t="s">
        <v>192</v>
      </c>
      <c r="D16" s="53" t="s">
        <v>706</v>
      </c>
      <c r="E16" s="59"/>
      <c r="F16" s="54"/>
      <c r="G16" s="54"/>
      <c r="H16" s="47" t="s">
        <v>1281</v>
      </c>
      <c r="I16" s="48" t="s">
        <v>29</v>
      </c>
      <c r="J16" s="48" t="s">
        <v>111</v>
      </c>
      <c r="K16" s="47" t="s">
        <v>1262</v>
      </c>
    </row>
    <row r="17" spans="1:11" ht="50.1" customHeight="1" thickBot="1" x14ac:dyDescent="0.35">
      <c r="A17" s="305"/>
      <c r="B17" s="55" t="s">
        <v>140</v>
      </c>
      <c r="C17" s="55" t="s">
        <v>193</v>
      </c>
      <c r="D17" s="55" t="s">
        <v>705</v>
      </c>
      <c r="E17" s="60"/>
      <c r="F17" s="56"/>
      <c r="G17" s="56"/>
      <c r="H17" s="204" t="s">
        <v>1282</v>
      </c>
      <c r="I17" s="208" t="s">
        <v>29</v>
      </c>
      <c r="J17" s="208" t="s">
        <v>111</v>
      </c>
      <c r="K17" s="204" t="s">
        <v>1340</v>
      </c>
    </row>
    <row r="18" spans="1:11" ht="50.1" customHeight="1" x14ac:dyDescent="0.3">
      <c r="A18" s="303" t="s">
        <v>49</v>
      </c>
      <c r="B18" s="61" t="s">
        <v>141</v>
      </c>
      <c r="C18" s="49" t="s">
        <v>194</v>
      </c>
      <c r="D18" s="61" t="s">
        <v>707</v>
      </c>
      <c r="E18" s="62" t="s">
        <v>244</v>
      </c>
      <c r="F18" s="63" t="s">
        <v>252</v>
      </c>
      <c r="G18" s="64" t="s">
        <v>255</v>
      </c>
      <c r="H18" s="202" t="s">
        <v>1283</v>
      </c>
      <c r="I18" s="74" t="s">
        <v>29</v>
      </c>
      <c r="J18" s="74" t="s">
        <v>111</v>
      </c>
      <c r="K18" s="203" t="s">
        <v>1273</v>
      </c>
    </row>
    <row r="19" spans="1:11" ht="50.1" customHeight="1" x14ac:dyDescent="0.3">
      <c r="A19" s="304"/>
      <c r="B19" s="53" t="s">
        <v>141</v>
      </c>
      <c r="C19" s="53" t="s">
        <v>195</v>
      </c>
      <c r="D19" s="53" t="s">
        <v>708</v>
      </c>
      <c r="E19" s="59"/>
      <c r="F19" s="54"/>
      <c r="G19" s="54"/>
      <c r="H19" s="47" t="s">
        <v>1284</v>
      </c>
      <c r="I19" s="48" t="s">
        <v>29</v>
      </c>
      <c r="J19" s="48" t="s">
        <v>111</v>
      </c>
      <c r="K19" s="47" t="s">
        <v>1273</v>
      </c>
    </row>
    <row r="20" spans="1:11" ht="50.1" customHeight="1" x14ac:dyDescent="0.3">
      <c r="A20" s="304"/>
      <c r="B20" s="53" t="s">
        <v>141</v>
      </c>
      <c r="C20" s="53" t="s">
        <v>196</v>
      </c>
      <c r="D20" s="53" t="s">
        <v>709</v>
      </c>
      <c r="E20" s="59"/>
      <c r="F20" s="54"/>
      <c r="G20" s="54"/>
      <c r="H20" s="247" t="s">
        <v>1286</v>
      </c>
      <c r="I20" s="48" t="s">
        <v>29</v>
      </c>
      <c r="J20" s="48" t="s">
        <v>111</v>
      </c>
      <c r="K20" s="47" t="s">
        <v>1273</v>
      </c>
    </row>
    <row r="21" spans="1:11" ht="50.1" customHeight="1" thickBot="1" x14ac:dyDescent="0.35">
      <c r="A21" s="305"/>
      <c r="B21" s="53" t="s">
        <v>141</v>
      </c>
      <c r="C21" s="53" t="s">
        <v>197</v>
      </c>
      <c r="D21" s="53" t="s">
        <v>710</v>
      </c>
      <c r="E21" s="59"/>
      <c r="F21" s="54"/>
      <c r="G21" s="54"/>
      <c r="H21" s="203" t="s">
        <v>1285</v>
      </c>
      <c r="I21" s="65" t="s">
        <v>29</v>
      </c>
      <c r="J21" s="65" t="s">
        <v>111</v>
      </c>
      <c r="K21" s="203" t="s">
        <v>1273</v>
      </c>
    </row>
    <row r="22" spans="1:11" ht="50.1" customHeight="1" x14ac:dyDescent="0.3">
      <c r="A22" s="303" t="s">
        <v>173</v>
      </c>
      <c r="B22" s="49" t="s">
        <v>142</v>
      </c>
      <c r="C22" s="49" t="s">
        <v>199</v>
      </c>
      <c r="D22" s="49" t="s">
        <v>711</v>
      </c>
      <c r="E22" s="50" t="s">
        <v>237</v>
      </c>
      <c r="F22" s="51" t="s">
        <v>253</v>
      </c>
      <c r="G22" s="58" t="s">
        <v>254</v>
      </c>
      <c r="H22" s="202" t="s">
        <v>1305</v>
      </c>
      <c r="I22" s="215" t="s">
        <v>29</v>
      </c>
      <c r="J22" s="215" t="s">
        <v>111</v>
      </c>
      <c r="K22" s="202" t="s">
        <v>1273</v>
      </c>
    </row>
    <row r="23" spans="1:11" ht="50.1" customHeight="1" thickBot="1" x14ac:dyDescent="0.35">
      <c r="A23" s="305"/>
      <c r="B23" s="55" t="s">
        <v>142</v>
      </c>
      <c r="C23" s="55" t="s">
        <v>198</v>
      </c>
      <c r="D23" s="55" t="s">
        <v>712</v>
      </c>
      <c r="E23" s="60"/>
      <c r="F23" s="56"/>
      <c r="G23" s="56"/>
      <c r="H23" s="210" t="s">
        <v>1306</v>
      </c>
      <c r="I23" s="57" t="s">
        <v>29</v>
      </c>
      <c r="J23" s="57" t="s">
        <v>111</v>
      </c>
      <c r="K23" s="210" t="s">
        <v>1309</v>
      </c>
    </row>
    <row r="24" spans="1:11" ht="50.1" customHeight="1" x14ac:dyDescent="0.3">
      <c r="A24" s="303" t="s">
        <v>174</v>
      </c>
      <c r="B24" s="70" t="s">
        <v>143</v>
      </c>
      <c r="C24" s="49" t="s">
        <v>200</v>
      </c>
      <c r="D24" s="70" t="s">
        <v>713</v>
      </c>
      <c r="E24" s="71" t="s">
        <v>241</v>
      </c>
      <c r="F24" s="72" t="s">
        <v>242</v>
      </c>
      <c r="G24" s="58" t="s">
        <v>243</v>
      </c>
      <c r="H24" s="120" t="s">
        <v>1307</v>
      </c>
      <c r="I24" s="74" t="s">
        <v>29</v>
      </c>
      <c r="J24" s="74" t="s">
        <v>111</v>
      </c>
      <c r="K24" s="203" t="s">
        <v>1262</v>
      </c>
    </row>
    <row r="25" spans="1:11" ht="50.1" customHeight="1" x14ac:dyDescent="0.3">
      <c r="A25" s="304"/>
      <c r="B25" s="53" t="s">
        <v>143</v>
      </c>
      <c r="C25" s="53" t="s">
        <v>201</v>
      </c>
      <c r="D25" s="53" t="s">
        <v>714</v>
      </c>
      <c r="E25" s="59"/>
      <c r="F25" s="59"/>
      <c r="G25" s="218"/>
      <c r="H25" s="122" t="s">
        <v>1308</v>
      </c>
      <c r="I25" s="48" t="s">
        <v>29</v>
      </c>
      <c r="J25" s="48" t="s">
        <v>111</v>
      </c>
      <c r="K25" s="47" t="s">
        <v>1310</v>
      </c>
    </row>
    <row r="26" spans="1:11" ht="50.1" customHeight="1" x14ac:dyDescent="0.3">
      <c r="A26" s="304"/>
      <c r="B26" s="53" t="s">
        <v>143</v>
      </c>
      <c r="C26" s="53" t="s">
        <v>202</v>
      </c>
      <c r="D26" s="53" t="s">
        <v>715</v>
      </c>
      <c r="E26" s="59"/>
      <c r="F26" s="59"/>
      <c r="G26" s="218"/>
      <c r="H26" s="122" t="s">
        <v>1311</v>
      </c>
      <c r="I26" s="48" t="s">
        <v>29</v>
      </c>
      <c r="J26" s="48" t="s">
        <v>111</v>
      </c>
      <c r="K26" s="47" t="s">
        <v>1312</v>
      </c>
    </row>
    <row r="27" spans="1:11" ht="50.1" customHeight="1" thickBot="1" x14ac:dyDescent="0.35">
      <c r="A27" s="304"/>
      <c r="B27" s="70" t="s">
        <v>143</v>
      </c>
      <c r="C27" s="66" t="s">
        <v>203</v>
      </c>
      <c r="D27" s="70" t="s">
        <v>716</v>
      </c>
      <c r="E27" s="205"/>
      <c r="F27" s="206"/>
      <c r="G27" s="206"/>
      <c r="H27" s="120" t="s">
        <v>1313</v>
      </c>
      <c r="I27" s="74" t="s">
        <v>29</v>
      </c>
      <c r="J27" s="74" t="s">
        <v>111</v>
      </c>
      <c r="K27" s="203" t="s">
        <v>1314</v>
      </c>
    </row>
    <row r="28" spans="1:11" ht="50.1" customHeight="1" x14ac:dyDescent="0.3">
      <c r="A28" s="303" t="s">
        <v>50</v>
      </c>
      <c r="B28" s="49" t="s">
        <v>144</v>
      </c>
      <c r="C28" s="49" t="s">
        <v>204</v>
      </c>
      <c r="D28" s="49" t="s">
        <v>717</v>
      </c>
      <c r="E28" s="50" t="s">
        <v>238</v>
      </c>
      <c r="F28" s="51" t="s">
        <v>239</v>
      </c>
      <c r="G28" s="58" t="s">
        <v>240</v>
      </c>
      <c r="H28" s="209" t="s">
        <v>1315</v>
      </c>
      <c r="I28" s="52" t="s">
        <v>29</v>
      </c>
      <c r="J28" s="52" t="s">
        <v>111</v>
      </c>
      <c r="K28" s="209" t="s">
        <v>1273</v>
      </c>
    </row>
    <row r="29" spans="1:11" ht="50.1" customHeight="1" thickBot="1" x14ac:dyDescent="0.35">
      <c r="A29" s="305"/>
      <c r="B29" s="55" t="s">
        <v>144</v>
      </c>
      <c r="C29" s="55" t="s">
        <v>205</v>
      </c>
      <c r="D29" s="55" t="s">
        <v>718</v>
      </c>
      <c r="E29" s="60"/>
      <c r="F29" s="56"/>
      <c r="G29" s="56"/>
      <c r="H29" s="210" t="s">
        <v>1316</v>
      </c>
      <c r="I29" s="57" t="s">
        <v>29</v>
      </c>
      <c r="J29" s="57" t="s">
        <v>111</v>
      </c>
      <c r="K29" s="210" t="s">
        <v>1317</v>
      </c>
    </row>
    <row r="30" spans="1:11" ht="50.1" customHeight="1" x14ac:dyDescent="0.3">
      <c r="A30" s="303" t="s">
        <v>175</v>
      </c>
      <c r="B30" s="70" t="s">
        <v>145</v>
      </c>
      <c r="C30" s="211" t="s">
        <v>206</v>
      </c>
      <c r="D30" s="70" t="s">
        <v>719</v>
      </c>
      <c r="E30" s="219" t="s">
        <v>260</v>
      </c>
      <c r="F30" s="51" t="s">
        <v>261</v>
      </c>
      <c r="G30" s="58" t="s">
        <v>262</v>
      </c>
      <c r="H30" s="203" t="s">
        <v>1318</v>
      </c>
      <c r="I30" s="74" t="s">
        <v>29</v>
      </c>
      <c r="J30" s="74" t="s">
        <v>111</v>
      </c>
      <c r="K30" s="203" t="s">
        <v>1273</v>
      </c>
    </row>
    <row r="31" spans="1:11" ht="50.1" customHeight="1" thickBot="1" x14ac:dyDescent="0.35">
      <c r="A31" s="305"/>
      <c r="B31" s="55" t="s">
        <v>145</v>
      </c>
      <c r="C31" s="55" t="s">
        <v>207</v>
      </c>
      <c r="D31" s="55" t="s">
        <v>720</v>
      </c>
      <c r="E31" s="60"/>
      <c r="F31" s="60"/>
      <c r="G31" s="60"/>
      <c r="H31" s="123" t="s">
        <v>1319</v>
      </c>
      <c r="I31" s="57" t="s">
        <v>29</v>
      </c>
      <c r="J31" s="57" t="s">
        <v>111</v>
      </c>
      <c r="K31" s="123" t="s">
        <v>1320</v>
      </c>
    </row>
    <row r="32" spans="1:11" ht="50.1" customHeight="1" x14ac:dyDescent="0.3">
      <c r="A32" s="303" t="s">
        <v>176</v>
      </c>
      <c r="B32" s="49" t="s">
        <v>146</v>
      </c>
      <c r="C32" s="49" t="s">
        <v>208</v>
      </c>
      <c r="D32" s="49" t="s">
        <v>721</v>
      </c>
      <c r="E32" s="50" t="s">
        <v>263</v>
      </c>
      <c r="F32" s="51" t="s">
        <v>250</v>
      </c>
      <c r="G32" s="58" t="s">
        <v>264</v>
      </c>
      <c r="H32" s="202" t="s">
        <v>1321</v>
      </c>
      <c r="I32" s="215" t="s">
        <v>29</v>
      </c>
      <c r="J32" s="215" t="s">
        <v>111</v>
      </c>
      <c r="K32" s="202" t="s">
        <v>1273</v>
      </c>
    </row>
    <row r="33" spans="1:11" ht="50.1" customHeight="1" x14ac:dyDescent="0.3">
      <c r="A33" s="304"/>
      <c r="B33" s="70" t="s">
        <v>146</v>
      </c>
      <c r="C33" s="53" t="s">
        <v>209</v>
      </c>
      <c r="D33" s="70" t="s">
        <v>722</v>
      </c>
      <c r="E33" s="205"/>
      <c r="F33" s="205"/>
      <c r="G33" s="205"/>
      <c r="H33" s="47" t="s">
        <v>1322</v>
      </c>
      <c r="I33" s="48" t="s">
        <v>29</v>
      </c>
      <c r="J33" s="48" t="s">
        <v>111</v>
      </c>
      <c r="K33" s="47" t="s">
        <v>1326</v>
      </c>
    </row>
    <row r="34" spans="1:11" ht="50.1" customHeight="1" thickBot="1" x14ac:dyDescent="0.35">
      <c r="A34" s="305"/>
      <c r="B34" s="55" t="s">
        <v>146</v>
      </c>
      <c r="C34" s="53" t="s">
        <v>210</v>
      </c>
      <c r="D34" s="55" t="s">
        <v>723</v>
      </c>
      <c r="E34" s="60"/>
      <c r="F34" s="56"/>
      <c r="G34" s="56"/>
      <c r="H34" s="204" t="s">
        <v>1323</v>
      </c>
      <c r="I34" s="208" t="s">
        <v>29</v>
      </c>
      <c r="J34" s="208" t="s">
        <v>111</v>
      </c>
      <c r="K34" s="204" t="s">
        <v>1326</v>
      </c>
    </row>
    <row r="35" spans="1:11" ht="50.1" customHeight="1" x14ac:dyDescent="0.3">
      <c r="A35" s="303" t="s">
        <v>51</v>
      </c>
      <c r="B35" s="61" t="s">
        <v>147</v>
      </c>
      <c r="C35" s="49" t="s">
        <v>211</v>
      </c>
      <c r="D35" s="61" t="s">
        <v>724</v>
      </c>
      <c r="E35" s="62" t="s">
        <v>265</v>
      </c>
      <c r="F35" s="63" t="s">
        <v>250</v>
      </c>
      <c r="G35" s="64" t="s">
        <v>266</v>
      </c>
      <c r="H35" s="209" t="s">
        <v>1324</v>
      </c>
      <c r="I35" s="65" t="s">
        <v>29</v>
      </c>
      <c r="J35" s="65" t="s">
        <v>111</v>
      </c>
      <c r="K35" s="209" t="s">
        <v>1273</v>
      </c>
    </row>
    <row r="36" spans="1:11" ht="50.1" customHeight="1" thickBot="1" x14ac:dyDescent="0.35">
      <c r="A36" s="304"/>
      <c r="B36" s="66" t="s">
        <v>147</v>
      </c>
      <c r="C36" s="66" t="s">
        <v>212</v>
      </c>
      <c r="D36" s="66" t="s">
        <v>725</v>
      </c>
      <c r="E36" s="67"/>
      <c r="F36" s="68"/>
      <c r="G36" s="68"/>
      <c r="H36" s="203" t="s">
        <v>1325</v>
      </c>
      <c r="I36" s="69" t="s">
        <v>29</v>
      </c>
      <c r="J36" s="69" t="s">
        <v>111</v>
      </c>
      <c r="K36" s="203" t="s">
        <v>1326</v>
      </c>
    </row>
    <row r="37" spans="1:11" ht="50.1" customHeight="1" x14ac:dyDescent="0.3">
      <c r="A37" s="303" t="s">
        <v>177</v>
      </c>
      <c r="B37" s="211" t="s">
        <v>148</v>
      </c>
      <c r="C37" s="49" t="s">
        <v>213</v>
      </c>
      <c r="D37" s="211" t="s">
        <v>726</v>
      </c>
      <c r="E37" s="50" t="s">
        <v>267</v>
      </c>
      <c r="F37" s="51" t="s">
        <v>268</v>
      </c>
      <c r="G37" s="58" t="s">
        <v>269</v>
      </c>
      <c r="H37" s="202" t="s">
        <v>1327</v>
      </c>
      <c r="I37" s="215" t="s">
        <v>29</v>
      </c>
      <c r="J37" s="215" t="s">
        <v>111</v>
      </c>
      <c r="K37" s="202" t="s">
        <v>1273</v>
      </c>
    </row>
    <row r="38" spans="1:11" ht="50.1" customHeight="1" x14ac:dyDescent="0.3">
      <c r="A38" s="304"/>
      <c r="B38" s="53" t="s">
        <v>148</v>
      </c>
      <c r="C38" s="53" t="s">
        <v>214</v>
      </c>
      <c r="D38" s="53" t="s">
        <v>727</v>
      </c>
      <c r="E38" s="220"/>
      <c r="F38" s="221"/>
      <c r="G38" s="221"/>
      <c r="H38" s="47" t="s">
        <v>1328</v>
      </c>
      <c r="I38" s="48" t="s">
        <v>29</v>
      </c>
      <c r="J38" s="48" t="s">
        <v>111</v>
      </c>
      <c r="K38" s="47" t="s">
        <v>1273</v>
      </c>
    </row>
    <row r="39" spans="1:11" ht="50.1" customHeight="1" x14ac:dyDescent="0.3">
      <c r="A39" s="304"/>
      <c r="B39" s="53" t="s">
        <v>148</v>
      </c>
      <c r="C39" s="53" t="s">
        <v>215</v>
      </c>
      <c r="D39" s="53" t="s">
        <v>728</v>
      </c>
      <c r="E39" s="59"/>
      <c r="F39" s="54"/>
      <c r="G39" s="54"/>
      <c r="H39" s="47" t="s">
        <v>1329</v>
      </c>
      <c r="I39" s="48" t="s">
        <v>29</v>
      </c>
      <c r="J39" s="48" t="s">
        <v>111</v>
      </c>
      <c r="K39" s="47" t="s">
        <v>1341</v>
      </c>
    </row>
    <row r="40" spans="1:11" ht="50.1" customHeight="1" thickBot="1" x14ac:dyDescent="0.35">
      <c r="A40" s="305"/>
      <c r="B40" s="207" t="s">
        <v>148</v>
      </c>
      <c r="C40" s="55" t="s">
        <v>216</v>
      </c>
      <c r="D40" s="207" t="s">
        <v>729</v>
      </c>
      <c r="E40" s="216"/>
      <c r="F40" s="216"/>
      <c r="G40" s="216"/>
      <c r="H40" s="196" t="s">
        <v>1330</v>
      </c>
      <c r="I40" s="208" t="s">
        <v>29</v>
      </c>
      <c r="J40" s="208" t="s">
        <v>111</v>
      </c>
      <c r="K40" s="196" t="s">
        <v>1341</v>
      </c>
    </row>
    <row r="41" spans="1:11" ht="50.1" customHeight="1" x14ac:dyDescent="0.3">
      <c r="A41" s="303" t="s">
        <v>178</v>
      </c>
      <c r="B41" s="61" t="s">
        <v>149</v>
      </c>
      <c r="C41" s="49" t="s">
        <v>217</v>
      </c>
      <c r="D41" s="61" t="s">
        <v>730</v>
      </c>
      <c r="E41" s="62" t="s">
        <v>270</v>
      </c>
      <c r="F41" s="63" t="s">
        <v>250</v>
      </c>
      <c r="G41" s="64" t="s">
        <v>271</v>
      </c>
      <c r="H41" s="306" t="s">
        <v>1342</v>
      </c>
      <c r="I41" s="65" t="s">
        <v>29</v>
      </c>
      <c r="J41" s="65" t="s">
        <v>111</v>
      </c>
      <c r="K41" s="306" t="s">
        <v>1343</v>
      </c>
    </row>
    <row r="42" spans="1:11" ht="50.1" customHeight="1" thickBot="1" x14ac:dyDescent="0.35">
      <c r="A42" s="305"/>
      <c r="B42" s="53" t="s">
        <v>149</v>
      </c>
      <c r="C42" s="66" t="s">
        <v>218</v>
      </c>
      <c r="D42" s="53" t="s">
        <v>731</v>
      </c>
      <c r="E42" s="59"/>
      <c r="F42" s="54"/>
      <c r="G42" s="54"/>
      <c r="H42" s="307"/>
      <c r="I42" s="48" t="s">
        <v>29</v>
      </c>
      <c r="J42" s="48" t="s">
        <v>111</v>
      </c>
      <c r="K42" s="307"/>
    </row>
    <row r="43" spans="1:11" ht="50.1" customHeight="1" x14ac:dyDescent="0.3">
      <c r="A43" s="303" t="s">
        <v>179</v>
      </c>
      <c r="B43" s="49" t="s">
        <v>150</v>
      </c>
      <c r="C43" s="49" t="s">
        <v>219</v>
      </c>
      <c r="D43" s="49" t="s">
        <v>1331</v>
      </c>
      <c r="E43" s="50" t="s">
        <v>272</v>
      </c>
      <c r="F43" s="51" t="s">
        <v>273</v>
      </c>
      <c r="G43" s="58" t="s">
        <v>274</v>
      </c>
      <c r="H43" s="306" t="s">
        <v>1344</v>
      </c>
      <c r="I43" s="52" t="s">
        <v>29</v>
      </c>
      <c r="J43" s="52" t="s">
        <v>111</v>
      </c>
      <c r="K43" s="306" t="s">
        <v>1345</v>
      </c>
    </row>
    <row r="44" spans="1:11" ht="50.1" customHeight="1" thickBot="1" x14ac:dyDescent="0.35">
      <c r="A44" s="305"/>
      <c r="B44" s="55" t="s">
        <v>150</v>
      </c>
      <c r="C44" s="55" t="s">
        <v>220</v>
      </c>
      <c r="D44" s="55" t="s">
        <v>732</v>
      </c>
      <c r="E44" s="60"/>
      <c r="F44" s="56"/>
      <c r="G44" s="56"/>
      <c r="H44" s="307"/>
      <c r="I44" s="57" t="s">
        <v>29</v>
      </c>
      <c r="J44" s="57" t="s">
        <v>111</v>
      </c>
      <c r="K44" s="307"/>
    </row>
    <row r="45" spans="1:11" ht="50.1" customHeight="1" x14ac:dyDescent="0.3">
      <c r="A45" s="303" t="s">
        <v>180</v>
      </c>
      <c r="B45" s="70" t="s">
        <v>151</v>
      </c>
      <c r="C45" s="211" t="s">
        <v>221</v>
      </c>
      <c r="D45" s="70" t="s">
        <v>733</v>
      </c>
      <c r="E45" s="71" t="s">
        <v>275</v>
      </c>
      <c r="F45" s="72" t="s">
        <v>273</v>
      </c>
      <c r="G45" s="73" t="s">
        <v>276</v>
      </c>
      <c r="H45" s="202" t="s">
        <v>1346</v>
      </c>
      <c r="I45" s="74" t="s">
        <v>29</v>
      </c>
      <c r="J45" s="74" t="s">
        <v>111</v>
      </c>
      <c r="K45" s="203" t="s">
        <v>1273</v>
      </c>
    </row>
    <row r="46" spans="1:11" ht="50.1" customHeight="1" x14ac:dyDescent="0.3">
      <c r="A46" s="304"/>
      <c r="B46" s="53" t="s">
        <v>151</v>
      </c>
      <c r="C46" s="53" t="s">
        <v>222</v>
      </c>
      <c r="D46" s="53" t="s">
        <v>734</v>
      </c>
      <c r="E46" s="59"/>
      <c r="F46" s="59"/>
      <c r="G46" s="59"/>
      <c r="H46" s="47" t="s">
        <v>1333</v>
      </c>
      <c r="I46" s="48" t="s">
        <v>29</v>
      </c>
      <c r="J46" s="48" t="s">
        <v>111</v>
      </c>
      <c r="K46" s="47" t="s">
        <v>1273</v>
      </c>
    </row>
    <row r="47" spans="1:11" ht="50.1" customHeight="1" x14ac:dyDescent="0.3">
      <c r="A47" s="304"/>
      <c r="B47" s="53" t="s">
        <v>151</v>
      </c>
      <c r="C47" s="53" t="s">
        <v>223</v>
      </c>
      <c r="D47" s="53" t="s">
        <v>735</v>
      </c>
      <c r="E47" s="59"/>
      <c r="F47" s="59"/>
      <c r="G47" s="59"/>
      <c r="H47" s="47" t="s">
        <v>1334</v>
      </c>
      <c r="I47" s="48" t="s">
        <v>29</v>
      </c>
      <c r="J47" s="48" t="s">
        <v>111</v>
      </c>
      <c r="K47" s="47" t="s">
        <v>1347</v>
      </c>
    </row>
    <row r="48" spans="1:11" ht="50.1" customHeight="1" thickBot="1" x14ac:dyDescent="0.35">
      <c r="A48" s="304"/>
      <c r="B48" s="70" t="s">
        <v>151</v>
      </c>
      <c r="C48" s="70" t="s">
        <v>224</v>
      </c>
      <c r="D48" s="70" t="s">
        <v>736</v>
      </c>
      <c r="E48" s="205"/>
      <c r="F48" s="206"/>
      <c r="G48" s="206"/>
      <c r="H48" s="203" t="s">
        <v>1335</v>
      </c>
      <c r="I48" s="74" t="s">
        <v>29</v>
      </c>
      <c r="J48" s="74" t="s">
        <v>111</v>
      </c>
      <c r="K48" s="203" t="s">
        <v>1347</v>
      </c>
    </row>
    <row r="49" spans="1:11" ht="50.1" customHeight="1" x14ac:dyDescent="0.3">
      <c r="A49" s="303" t="s">
        <v>181</v>
      </c>
      <c r="B49" s="49" t="s">
        <v>152</v>
      </c>
      <c r="C49" s="49" t="s">
        <v>225</v>
      </c>
      <c r="D49" s="49" t="s">
        <v>737</v>
      </c>
      <c r="E49" s="50" t="s">
        <v>277</v>
      </c>
      <c r="F49" s="51" t="s">
        <v>278</v>
      </c>
      <c r="G49" s="58" t="s">
        <v>279</v>
      </c>
      <c r="H49" s="209" t="s">
        <v>1296</v>
      </c>
      <c r="I49" s="52" t="s">
        <v>34</v>
      </c>
      <c r="J49" s="52" t="s">
        <v>111</v>
      </c>
      <c r="K49" s="209" t="s">
        <v>1273</v>
      </c>
    </row>
    <row r="50" spans="1:11" ht="50.1" customHeight="1" thickBot="1" x14ac:dyDescent="0.35">
      <c r="A50" s="305"/>
      <c r="B50" s="55" t="s">
        <v>152</v>
      </c>
      <c r="C50" s="55" t="s">
        <v>226</v>
      </c>
      <c r="D50" s="55" t="s">
        <v>738</v>
      </c>
      <c r="E50" s="60"/>
      <c r="F50" s="56"/>
      <c r="G50" s="56"/>
      <c r="H50" s="210" t="s">
        <v>1296</v>
      </c>
      <c r="I50" s="57" t="s">
        <v>34</v>
      </c>
      <c r="J50" s="57" t="s">
        <v>111</v>
      </c>
      <c r="K50" s="210" t="s">
        <v>1273</v>
      </c>
    </row>
    <row r="51" spans="1:11" ht="50.1" customHeight="1" x14ac:dyDescent="0.3">
      <c r="A51" s="303" t="s">
        <v>182</v>
      </c>
      <c r="B51" s="49" t="s">
        <v>153</v>
      </c>
      <c r="C51" s="49" t="s">
        <v>227</v>
      </c>
      <c r="D51" s="49" t="s">
        <v>739</v>
      </c>
      <c r="E51" s="50" t="s">
        <v>280</v>
      </c>
      <c r="F51" s="51" t="s">
        <v>250</v>
      </c>
      <c r="G51" s="58" t="s">
        <v>281</v>
      </c>
      <c r="H51" s="209" t="s">
        <v>1296</v>
      </c>
      <c r="I51" s="52" t="s">
        <v>34</v>
      </c>
      <c r="J51" s="52" t="s">
        <v>111</v>
      </c>
      <c r="K51" s="209" t="s">
        <v>1273</v>
      </c>
    </row>
    <row r="52" spans="1:11" ht="50.1" customHeight="1" thickBot="1" x14ac:dyDescent="0.35">
      <c r="A52" s="304"/>
      <c r="B52" s="70" t="s">
        <v>153</v>
      </c>
      <c r="C52" s="70" t="s">
        <v>228</v>
      </c>
      <c r="D52" s="70" t="s">
        <v>740</v>
      </c>
      <c r="E52" s="205"/>
      <c r="F52" s="205"/>
      <c r="G52" s="205"/>
      <c r="H52" s="120" t="s">
        <v>1296</v>
      </c>
      <c r="I52" s="74" t="s">
        <v>34</v>
      </c>
      <c r="J52" s="74" t="s">
        <v>111</v>
      </c>
      <c r="K52" s="120" t="s">
        <v>1273</v>
      </c>
    </row>
    <row r="53" spans="1:11" ht="50.1" customHeight="1" x14ac:dyDescent="0.3">
      <c r="A53" s="303" t="s">
        <v>183</v>
      </c>
      <c r="B53" s="49" t="s">
        <v>154</v>
      </c>
      <c r="C53" s="49" t="s">
        <v>229</v>
      </c>
      <c r="D53" s="49" t="s">
        <v>741</v>
      </c>
      <c r="E53" s="50" t="s">
        <v>282</v>
      </c>
      <c r="F53" s="51" t="s">
        <v>283</v>
      </c>
      <c r="G53" s="58" t="s">
        <v>284</v>
      </c>
      <c r="H53" s="306" t="s">
        <v>1332</v>
      </c>
      <c r="I53" s="52" t="s">
        <v>29</v>
      </c>
      <c r="J53" s="52" t="s">
        <v>111</v>
      </c>
      <c r="K53" s="306" t="s">
        <v>1348</v>
      </c>
    </row>
    <row r="54" spans="1:11" ht="50.1" customHeight="1" x14ac:dyDescent="0.3">
      <c r="A54" s="304"/>
      <c r="B54" s="53" t="s">
        <v>154</v>
      </c>
      <c r="C54" s="53" t="s">
        <v>230</v>
      </c>
      <c r="D54" s="53" t="s">
        <v>742</v>
      </c>
      <c r="E54" s="59"/>
      <c r="F54" s="59"/>
      <c r="G54" s="59"/>
      <c r="H54" s="308"/>
      <c r="I54" s="48" t="s">
        <v>29</v>
      </c>
      <c r="J54" s="48" t="s">
        <v>111</v>
      </c>
      <c r="K54" s="308"/>
    </row>
    <row r="55" spans="1:11" ht="50.1" customHeight="1" thickBot="1" x14ac:dyDescent="0.35">
      <c r="A55" s="305"/>
      <c r="B55" s="55" t="s">
        <v>154</v>
      </c>
      <c r="C55" s="55" t="s">
        <v>231</v>
      </c>
      <c r="D55" s="55" t="s">
        <v>743</v>
      </c>
      <c r="E55" s="60"/>
      <c r="F55" s="60"/>
      <c r="G55" s="60"/>
      <c r="H55" s="307"/>
      <c r="I55" s="57" t="s">
        <v>29</v>
      </c>
      <c r="J55" s="57" t="s">
        <v>111</v>
      </c>
      <c r="K55" s="307"/>
    </row>
    <row r="56" spans="1:11" ht="50.1" customHeight="1" x14ac:dyDescent="0.3">
      <c r="A56" s="303" t="s">
        <v>184</v>
      </c>
      <c r="B56" s="61" t="s">
        <v>155</v>
      </c>
      <c r="C56" s="49" t="s">
        <v>232</v>
      </c>
      <c r="D56" s="61" t="s">
        <v>744</v>
      </c>
      <c r="E56" s="62" t="s">
        <v>285</v>
      </c>
      <c r="F56" s="63" t="s">
        <v>286</v>
      </c>
      <c r="G56" s="64" t="s">
        <v>290</v>
      </c>
      <c r="H56" s="306" t="s">
        <v>1332</v>
      </c>
      <c r="I56" s="65" t="s">
        <v>29</v>
      </c>
      <c r="J56" s="65" t="s">
        <v>111</v>
      </c>
      <c r="K56" s="306" t="s">
        <v>1348</v>
      </c>
    </row>
    <row r="57" spans="1:11" ht="50.1" customHeight="1" thickBot="1" x14ac:dyDescent="0.35">
      <c r="A57" s="305"/>
      <c r="B57" s="53" t="s">
        <v>155</v>
      </c>
      <c r="C57" s="70" t="s">
        <v>233</v>
      </c>
      <c r="D57" s="53" t="s">
        <v>745</v>
      </c>
      <c r="E57" s="60"/>
      <c r="F57" s="56"/>
      <c r="G57" s="56"/>
      <c r="H57" s="307"/>
      <c r="I57" s="48" t="s">
        <v>29</v>
      </c>
      <c r="J57" s="48" t="s">
        <v>111</v>
      </c>
      <c r="K57" s="307"/>
    </row>
    <row r="58" spans="1:11" ht="50.1" customHeight="1" x14ac:dyDescent="0.3">
      <c r="A58" s="303" t="s">
        <v>159</v>
      </c>
      <c r="B58" s="49" t="s">
        <v>156</v>
      </c>
      <c r="C58" s="49" t="s">
        <v>160</v>
      </c>
      <c r="D58" s="49" t="s">
        <v>746</v>
      </c>
      <c r="E58" s="71" t="s">
        <v>287</v>
      </c>
      <c r="F58" s="72" t="s">
        <v>288</v>
      </c>
      <c r="G58" s="73" t="s">
        <v>289</v>
      </c>
      <c r="H58" s="306" t="s">
        <v>1291</v>
      </c>
      <c r="I58" s="52" t="s">
        <v>29</v>
      </c>
      <c r="J58" s="52" t="s">
        <v>111</v>
      </c>
      <c r="K58" s="306" t="s">
        <v>1273</v>
      </c>
    </row>
    <row r="59" spans="1:11" ht="50.1" customHeight="1" x14ac:dyDescent="0.3">
      <c r="A59" s="304"/>
      <c r="B59" s="53" t="s">
        <v>156</v>
      </c>
      <c r="C59" s="53" t="s">
        <v>161</v>
      </c>
      <c r="D59" s="53" t="s">
        <v>747</v>
      </c>
      <c r="E59" s="59"/>
      <c r="F59" s="54"/>
      <c r="G59" s="54"/>
      <c r="H59" s="308"/>
      <c r="I59" s="48" t="s">
        <v>29</v>
      </c>
      <c r="J59" s="48" t="s">
        <v>111</v>
      </c>
      <c r="K59" s="308"/>
    </row>
    <row r="60" spans="1:11" ht="50.1" customHeight="1" x14ac:dyDescent="0.3">
      <c r="A60" s="304"/>
      <c r="B60" s="53" t="s">
        <v>156</v>
      </c>
      <c r="C60" s="53" t="s">
        <v>162</v>
      </c>
      <c r="D60" s="53" t="s">
        <v>748</v>
      </c>
      <c r="E60" s="59"/>
      <c r="F60" s="54"/>
      <c r="G60" s="54"/>
      <c r="H60" s="308"/>
      <c r="I60" s="48" t="s">
        <v>29</v>
      </c>
      <c r="J60" s="48" t="s">
        <v>111</v>
      </c>
      <c r="K60" s="308"/>
    </row>
    <row r="61" spans="1:11" ht="50.1" customHeight="1" x14ac:dyDescent="0.3">
      <c r="A61" s="304"/>
      <c r="B61" s="53" t="s">
        <v>156</v>
      </c>
      <c r="C61" s="53" t="s">
        <v>163</v>
      </c>
      <c r="D61" s="53" t="s">
        <v>749</v>
      </c>
      <c r="E61" s="59"/>
      <c r="F61" s="54"/>
      <c r="G61" s="54"/>
      <c r="H61" s="308"/>
      <c r="I61" s="48" t="s">
        <v>29</v>
      </c>
      <c r="J61" s="48" t="s">
        <v>111</v>
      </c>
      <c r="K61" s="308"/>
    </row>
    <row r="62" spans="1:11" ht="50.1" customHeight="1" x14ac:dyDescent="0.3">
      <c r="A62" s="304"/>
      <c r="B62" s="53" t="s">
        <v>156</v>
      </c>
      <c r="C62" s="53" t="s">
        <v>164</v>
      </c>
      <c r="D62" s="53" t="s">
        <v>750</v>
      </c>
      <c r="E62" s="59"/>
      <c r="F62" s="54"/>
      <c r="G62" s="54"/>
      <c r="H62" s="308"/>
      <c r="I62" s="48" t="s">
        <v>29</v>
      </c>
      <c r="J62" s="48" t="s">
        <v>111</v>
      </c>
      <c r="K62" s="308"/>
    </row>
    <row r="63" spans="1:11" ht="50.1" customHeight="1" thickBot="1" x14ac:dyDescent="0.35">
      <c r="A63" s="305"/>
      <c r="B63" s="55" t="s">
        <v>156</v>
      </c>
      <c r="C63" s="55" t="s">
        <v>165</v>
      </c>
      <c r="D63" s="55" t="s">
        <v>751</v>
      </c>
      <c r="E63" s="60"/>
      <c r="F63" s="56"/>
      <c r="G63" s="56"/>
      <c r="H63" s="307"/>
      <c r="I63" s="57" t="s">
        <v>29</v>
      </c>
      <c r="J63" s="57" t="s">
        <v>111</v>
      </c>
      <c r="K63" s="307"/>
    </row>
    <row r="64" spans="1:11" ht="50.1" customHeight="1" x14ac:dyDescent="0.3">
      <c r="A64" s="303" t="s">
        <v>185</v>
      </c>
      <c r="B64" s="61" t="s">
        <v>157</v>
      </c>
      <c r="C64" s="49" t="s">
        <v>234</v>
      </c>
      <c r="D64" s="61" t="s">
        <v>752</v>
      </c>
      <c r="E64" s="62" t="s">
        <v>291</v>
      </c>
      <c r="F64" s="63" t="s">
        <v>292</v>
      </c>
      <c r="G64" s="64" t="s">
        <v>293</v>
      </c>
      <c r="H64" s="306" t="s">
        <v>1298</v>
      </c>
      <c r="I64" s="65" t="s">
        <v>29</v>
      </c>
      <c r="J64" s="65" t="s">
        <v>111</v>
      </c>
      <c r="K64" s="203" t="s">
        <v>1273</v>
      </c>
    </row>
    <row r="65" spans="1:11" ht="50.1" customHeight="1" x14ac:dyDescent="0.3">
      <c r="A65" s="304"/>
      <c r="B65" s="53" t="s">
        <v>157</v>
      </c>
      <c r="C65" s="53" t="s">
        <v>235</v>
      </c>
      <c r="D65" s="53" t="s">
        <v>753</v>
      </c>
      <c r="E65" s="59"/>
      <c r="F65" s="54"/>
      <c r="G65" s="54"/>
      <c r="H65" s="308"/>
      <c r="I65" s="48" t="s">
        <v>29</v>
      </c>
      <c r="J65" s="48" t="s">
        <v>111</v>
      </c>
      <c r="K65" s="47" t="s">
        <v>1273</v>
      </c>
    </row>
    <row r="66" spans="1:11" ht="50.1" customHeight="1" thickBot="1" x14ac:dyDescent="0.35">
      <c r="A66" s="305"/>
      <c r="B66" s="66" t="s">
        <v>157</v>
      </c>
      <c r="C66" s="55" t="s">
        <v>236</v>
      </c>
      <c r="D66" s="66" t="s">
        <v>754</v>
      </c>
      <c r="E66" s="67"/>
      <c r="F66" s="68"/>
      <c r="G66" s="68"/>
      <c r="H66" s="307"/>
      <c r="I66" s="69" t="s">
        <v>29</v>
      </c>
      <c r="J66" s="69" t="s">
        <v>111</v>
      </c>
      <c r="K66" s="203" t="s">
        <v>1273</v>
      </c>
    </row>
    <row r="67" spans="1:11" ht="50.1" customHeight="1" x14ac:dyDescent="0.3">
      <c r="A67" s="300" t="s">
        <v>166</v>
      </c>
      <c r="B67" s="49" t="s">
        <v>158</v>
      </c>
      <c r="C67" s="49" t="s">
        <v>167</v>
      </c>
      <c r="D67" s="49" t="s">
        <v>755</v>
      </c>
      <c r="E67" s="50" t="s">
        <v>294</v>
      </c>
      <c r="F67" s="51" t="s">
        <v>295</v>
      </c>
      <c r="G67" s="58" t="s">
        <v>296</v>
      </c>
      <c r="H67" s="209" t="s">
        <v>1336</v>
      </c>
      <c r="I67" s="52" t="s">
        <v>29</v>
      </c>
      <c r="J67" s="52" t="s">
        <v>111</v>
      </c>
      <c r="K67" s="209" t="s">
        <v>1273</v>
      </c>
    </row>
    <row r="68" spans="1:11" ht="50.1" customHeight="1" x14ac:dyDescent="0.3">
      <c r="A68" s="301"/>
      <c r="B68" s="53" t="s">
        <v>158</v>
      </c>
      <c r="C68" s="53" t="s">
        <v>168</v>
      </c>
      <c r="D68" s="53" t="s">
        <v>756</v>
      </c>
      <c r="E68" s="59"/>
      <c r="F68" s="54"/>
      <c r="G68" s="54"/>
      <c r="H68" s="47" t="s">
        <v>1337</v>
      </c>
      <c r="I68" s="48" t="s">
        <v>29</v>
      </c>
      <c r="J68" s="48" t="s">
        <v>111</v>
      </c>
      <c r="K68" s="47" t="s">
        <v>1273</v>
      </c>
    </row>
    <row r="69" spans="1:11" ht="50.1" customHeight="1" x14ac:dyDescent="0.3">
      <c r="A69" s="301"/>
      <c r="B69" s="53" t="s">
        <v>158</v>
      </c>
      <c r="C69" s="53" t="s">
        <v>169</v>
      </c>
      <c r="D69" s="53" t="s">
        <v>757</v>
      </c>
      <c r="E69" s="59"/>
      <c r="F69" s="54"/>
      <c r="G69" s="54"/>
      <c r="H69" s="47" t="s">
        <v>1338</v>
      </c>
      <c r="I69" s="48" t="s">
        <v>29</v>
      </c>
      <c r="J69" s="48" t="s">
        <v>111</v>
      </c>
      <c r="K69" s="47" t="s">
        <v>1273</v>
      </c>
    </row>
    <row r="70" spans="1:11" ht="50.1" customHeight="1" x14ac:dyDescent="0.3">
      <c r="A70" s="301"/>
      <c r="B70" s="53" t="s">
        <v>158</v>
      </c>
      <c r="C70" s="53" t="s">
        <v>170</v>
      </c>
      <c r="D70" s="53" t="s">
        <v>758</v>
      </c>
      <c r="E70" s="59"/>
      <c r="F70" s="54"/>
      <c r="G70" s="54"/>
      <c r="H70" s="47" t="s">
        <v>1338</v>
      </c>
      <c r="I70" s="48" t="s">
        <v>29</v>
      </c>
      <c r="J70" s="48" t="s">
        <v>111</v>
      </c>
      <c r="K70" s="47" t="s">
        <v>1273</v>
      </c>
    </row>
    <row r="71" spans="1:11" ht="50.1" customHeight="1" thickBot="1" x14ac:dyDescent="0.35">
      <c r="A71" s="302"/>
      <c r="B71" s="55" t="s">
        <v>158</v>
      </c>
      <c r="C71" s="55" t="s">
        <v>171</v>
      </c>
      <c r="D71" s="55" t="s">
        <v>759</v>
      </c>
      <c r="E71" s="60"/>
      <c r="F71" s="60"/>
      <c r="G71" s="60"/>
      <c r="H71" s="123" t="s">
        <v>1339</v>
      </c>
      <c r="I71" s="57" t="s">
        <v>29</v>
      </c>
      <c r="J71" s="57" t="s">
        <v>111</v>
      </c>
      <c r="K71" s="123" t="s">
        <v>1273</v>
      </c>
    </row>
  </sheetData>
  <autoFilter ref="A1:K1" xr:uid="{51E811E7-D22F-45E3-9BF0-BBF3DFBBB7EC}"/>
  <mergeCells count="33">
    <mergeCell ref="H56:H57"/>
    <mergeCell ref="H64:H66"/>
    <mergeCell ref="H58:H63"/>
    <mergeCell ref="K58:K63"/>
    <mergeCell ref="K53:K55"/>
    <mergeCell ref="K56:K57"/>
    <mergeCell ref="H43:H44"/>
    <mergeCell ref="H41:H42"/>
    <mergeCell ref="K41:K42"/>
    <mergeCell ref="K43:K44"/>
    <mergeCell ref="H53:H55"/>
    <mergeCell ref="A22:A23"/>
    <mergeCell ref="A24:A27"/>
    <mergeCell ref="A28:A29"/>
    <mergeCell ref="A30:A31"/>
    <mergeCell ref="A32:A34"/>
    <mergeCell ref="A2:A7"/>
    <mergeCell ref="A8:A9"/>
    <mergeCell ref="A10:A14"/>
    <mergeCell ref="A15:A17"/>
    <mergeCell ref="A18:A21"/>
    <mergeCell ref="A67:A71"/>
    <mergeCell ref="A58:A63"/>
    <mergeCell ref="A35:A36"/>
    <mergeCell ref="A37:A40"/>
    <mergeCell ref="A41:A42"/>
    <mergeCell ref="A43:A44"/>
    <mergeCell ref="A45:A48"/>
    <mergeCell ref="A49:A50"/>
    <mergeCell ref="A51:A52"/>
    <mergeCell ref="A53:A55"/>
    <mergeCell ref="A56:A57"/>
    <mergeCell ref="A64:A66"/>
  </mergeCells>
  <conditionalFormatting sqref="I1:I1048576">
    <cfRule type="cellIs" dxfId="202" priority="1" operator="equal">
      <formula>"Not Selected"</formula>
    </cfRule>
    <cfRule type="cellIs" dxfId="201" priority="5" operator="equal">
      <formula>"Planned"</formula>
    </cfRule>
    <cfRule type="cellIs" dxfId="200" priority="6" operator="equal">
      <formula>"Inherited"</formula>
    </cfRule>
    <cfRule type="cellIs" dxfId="199" priority="7" operator="equal">
      <formula>"Partially Implemented"</formula>
    </cfRule>
    <cfRule type="cellIs" dxfId="198" priority="8" operator="equal">
      <formula>"Implemented"</formula>
    </cfRule>
  </conditionalFormatting>
  <conditionalFormatting sqref="J1:J1048576">
    <cfRule type="cellIs" dxfId="197" priority="2" operator="equal">
      <formula>"Not Applicable"</formula>
    </cfRule>
    <cfRule type="cellIs" dxfId="196" priority="3" operator="equal">
      <formula>"NOT MET"</formula>
    </cfRule>
    <cfRule type="cellIs" dxfId="195" priority="4" operator="equal">
      <formula>"MET"</formula>
    </cfRule>
  </conditionalFormatting>
  <dataValidations count="2">
    <dataValidation type="list" allowBlank="1" showInputMessage="1" showErrorMessage="1" sqref="J2:J71" xr:uid="{AD9789B1-6056-4960-A0E2-641D0DE94173}">
      <formula1>"MET,NOT MET"</formula1>
    </dataValidation>
    <dataValidation type="list" allowBlank="1" showInputMessage="1" showErrorMessage="1" sqref="I2:I71" xr:uid="{397E7EDF-9200-46DA-AB1C-56FE11DD396C}">
      <formula1>"Not Selected,Planned,Inherited,Partially Implemented,Implemented"</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79BC3-E18A-421A-9B31-0C69FEA070D2}">
  <sheetPr>
    <tabColor theme="4" tint="-0.499984740745262"/>
  </sheetPr>
  <dimension ref="A1:K133"/>
  <sheetViews>
    <sheetView zoomScale="70" zoomScaleNormal="70" workbookViewId="0">
      <pane ySplit="1" topLeftCell="A2" activePane="bottomLeft" state="frozen"/>
      <selection activeCell="D181" sqref="D181"/>
      <selection pane="bottomLeft" activeCell="B6" sqref="B6"/>
    </sheetView>
  </sheetViews>
  <sheetFormatPr defaultColWidth="8.6640625" defaultRowHeight="50.1" customHeight="1" x14ac:dyDescent="0.3"/>
  <cols>
    <col min="1" max="1" width="22.109375" style="76" customWidth="1"/>
    <col min="2" max="3" width="16.88671875" style="44" customWidth="1"/>
    <col min="4" max="4" width="56.44140625" style="44" customWidth="1"/>
    <col min="5" max="5" width="48.44140625" style="44" customWidth="1"/>
    <col min="6" max="6" width="57" style="44" customWidth="1"/>
    <col min="7" max="7" width="35" style="44" customWidth="1"/>
    <col min="8" max="8" width="74.44140625" style="44" customWidth="1"/>
    <col min="9" max="9" width="42.5546875" style="77" customWidth="1"/>
    <col min="10" max="10" width="42.109375" style="77" customWidth="1"/>
    <col min="11" max="11" width="42.88671875" style="44" customWidth="1"/>
    <col min="12" max="16384" width="8.6640625" style="44"/>
  </cols>
  <sheetData>
    <row r="1" spans="1:11" ht="50.1" customHeight="1" thickBot="1" x14ac:dyDescent="0.35">
      <c r="A1" s="20" t="s">
        <v>125</v>
      </c>
      <c r="B1" s="20" t="s">
        <v>762</v>
      </c>
      <c r="C1" s="20" t="s">
        <v>93</v>
      </c>
      <c r="D1" s="20" t="s">
        <v>94</v>
      </c>
      <c r="E1" s="20" t="s">
        <v>95</v>
      </c>
      <c r="F1" s="20" t="s">
        <v>96</v>
      </c>
      <c r="G1" s="20" t="s">
        <v>97</v>
      </c>
      <c r="H1" s="20" t="s">
        <v>98</v>
      </c>
      <c r="I1" s="20" t="s">
        <v>44</v>
      </c>
      <c r="J1" s="20" t="s">
        <v>45</v>
      </c>
      <c r="K1" s="20" t="s">
        <v>99</v>
      </c>
    </row>
    <row r="2" spans="1:11" ht="50.1" customHeight="1" x14ac:dyDescent="0.3">
      <c r="A2" s="309" t="s">
        <v>299</v>
      </c>
      <c r="B2" s="78" t="s">
        <v>300</v>
      </c>
      <c r="C2" s="78" t="s">
        <v>301</v>
      </c>
      <c r="D2" s="78" t="s">
        <v>307</v>
      </c>
      <c r="E2" s="79" t="s">
        <v>311</v>
      </c>
      <c r="F2" s="80" t="s">
        <v>312</v>
      </c>
      <c r="G2" s="103" t="s">
        <v>313</v>
      </c>
      <c r="H2" s="121" t="s">
        <v>1299</v>
      </c>
      <c r="I2" s="52" t="s">
        <v>29</v>
      </c>
      <c r="J2" s="52" t="s">
        <v>111</v>
      </c>
      <c r="K2" s="209" t="s">
        <v>1300</v>
      </c>
    </row>
    <row r="3" spans="1:11" ht="50.1" customHeight="1" x14ac:dyDescent="0.3">
      <c r="A3" s="310"/>
      <c r="B3" s="81" t="s">
        <v>300</v>
      </c>
      <c r="C3" s="82" t="s">
        <v>304</v>
      </c>
      <c r="D3" s="82" t="s">
        <v>308</v>
      </c>
      <c r="E3" s="83"/>
      <c r="F3" s="83"/>
      <c r="G3" s="83"/>
      <c r="H3" s="122" t="s">
        <v>1299</v>
      </c>
      <c r="I3" s="48" t="s">
        <v>29</v>
      </c>
      <c r="J3" s="48" t="s">
        <v>111</v>
      </c>
      <c r="K3" s="47" t="s">
        <v>1300</v>
      </c>
    </row>
    <row r="4" spans="1:11" ht="50.1" customHeight="1" x14ac:dyDescent="0.3">
      <c r="A4" s="310"/>
      <c r="B4" s="81" t="s">
        <v>300</v>
      </c>
      <c r="C4" s="81" t="s">
        <v>305</v>
      </c>
      <c r="D4" s="81" t="s">
        <v>310</v>
      </c>
      <c r="E4" s="84"/>
      <c r="F4" s="84"/>
      <c r="G4" s="84"/>
      <c r="H4" s="122" t="s">
        <v>1299</v>
      </c>
      <c r="I4" s="48" t="s">
        <v>29</v>
      </c>
      <c r="J4" s="48" t="s">
        <v>111</v>
      </c>
      <c r="K4" s="47" t="s">
        <v>1300</v>
      </c>
    </row>
    <row r="5" spans="1:11" ht="50.1" customHeight="1" thickBot="1" x14ac:dyDescent="0.35">
      <c r="A5" s="311"/>
      <c r="B5" s="85" t="s">
        <v>300</v>
      </c>
      <c r="C5" s="97" t="s">
        <v>306</v>
      </c>
      <c r="D5" s="97" t="s">
        <v>309</v>
      </c>
      <c r="E5" s="98"/>
      <c r="F5" s="98"/>
      <c r="G5" s="98"/>
      <c r="H5" s="123" t="s">
        <v>1299</v>
      </c>
      <c r="I5" s="57" t="s">
        <v>29</v>
      </c>
      <c r="J5" s="57" t="s">
        <v>111</v>
      </c>
      <c r="K5" s="210" t="s">
        <v>1300</v>
      </c>
    </row>
    <row r="6" spans="1:11" ht="50.1" customHeight="1" x14ac:dyDescent="0.3">
      <c r="A6" s="312" t="s">
        <v>54</v>
      </c>
      <c r="B6" s="78" t="s">
        <v>302</v>
      </c>
      <c r="C6" s="78" t="s">
        <v>314</v>
      </c>
      <c r="D6" s="78" t="s">
        <v>317</v>
      </c>
      <c r="E6" s="79" t="s">
        <v>320</v>
      </c>
      <c r="F6" s="80" t="s">
        <v>321</v>
      </c>
      <c r="G6" s="103" t="s">
        <v>322</v>
      </c>
      <c r="H6" s="121" t="s">
        <v>1301</v>
      </c>
      <c r="I6" s="52" t="s">
        <v>29</v>
      </c>
      <c r="J6" s="52" t="s">
        <v>111</v>
      </c>
      <c r="K6" s="209" t="s">
        <v>1297</v>
      </c>
    </row>
    <row r="7" spans="1:11" ht="50.1" customHeight="1" x14ac:dyDescent="0.3">
      <c r="A7" s="313"/>
      <c r="B7" s="87" t="s">
        <v>302</v>
      </c>
      <c r="C7" s="82" t="s">
        <v>315</v>
      </c>
      <c r="D7" s="82" t="s">
        <v>318</v>
      </c>
      <c r="E7" s="83"/>
      <c r="F7" s="83"/>
      <c r="G7" s="83"/>
      <c r="H7" s="122" t="s">
        <v>1302</v>
      </c>
      <c r="I7" s="48" t="s">
        <v>29</v>
      </c>
      <c r="J7" s="48" t="s">
        <v>111</v>
      </c>
      <c r="K7" s="47" t="s">
        <v>1262</v>
      </c>
    </row>
    <row r="8" spans="1:11" ht="50.1" customHeight="1" thickBot="1" x14ac:dyDescent="0.35">
      <c r="A8" s="314"/>
      <c r="B8" s="226" t="s">
        <v>302</v>
      </c>
      <c r="C8" s="85" t="s">
        <v>316</v>
      </c>
      <c r="D8" s="85" t="s">
        <v>319</v>
      </c>
      <c r="E8" s="86"/>
      <c r="F8" s="86"/>
      <c r="G8" s="86"/>
      <c r="H8" s="123" t="s">
        <v>1349</v>
      </c>
      <c r="I8" s="57" t="s">
        <v>29</v>
      </c>
      <c r="J8" s="57" t="s">
        <v>111</v>
      </c>
      <c r="K8" s="210" t="s">
        <v>1262</v>
      </c>
    </row>
    <row r="9" spans="1:11" ht="50.1" customHeight="1" x14ac:dyDescent="0.3">
      <c r="A9" s="309" t="s">
        <v>323</v>
      </c>
      <c r="B9" s="78" t="s">
        <v>303</v>
      </c>
      <c r="C9" s="78" t="s">
        <v>324</v>
      </c>
      <c r="D9" s="78" t="s">
        <v>326</v>
      </c>
      <c r="E9" s="79" t="s">
        <v>328</v>
      </c>
      <c r="F9" s="80" t="s">
        <v>329</v>
      </c>
      <c r="G9" s="103" t="s">
        <v>330</v>
      </c>
      <c r="H9" s="121" t="s">
        <v>1299</v>
      </c>
      <c r="I9" s="52" t="s">
        <v>29</v>
      </c>
      <c r="J9" s="52" t="s">
        <v>111</v>
      </c>
      <c r="K9" s="209" t="s">
        <v>1300</v>
      </c>
    </row>
    <row r="10" spans="1:11" ht="50.1" customHeight="1" thickBot="1" x14ac:dyDescent="0.35">
      <c r="A10" s="311"/>
      <c r="B10" s="85" t="s">
        <v>303</v>
      </c>
      <c r="C10" s="97" t="s">
        <v>325</v>
      </c>
      <c r="D10" s="97" t="s">
        <v>327</v>
      </c>
      <c r="E10" s="98"/>
      <c r="F10" s="98"/>
      <c r="G10" s="98"/>
      <c r="H10" s="123" t="s">
        <v>1299</v>
      </c>
      <c r="I10" s="57" t="s">
        <v>29</v>
      </c>
      <c r="J10" s="57" t="s">
        <v>111</v>
      </c>
      <c r="K10" s="210" t="s">
        <v>1300</v>
      </c>
    </row>
    <row r="11" spans="1:11" ht="50.1" customHeight="1" x14ac:dyDescent="0.3">
      <c r="A11" s="12"/>
      <c r="B11" s="106"/>
      <c r="C11" s="106"/>
      <c r="D11" s="106"/>
      <c r="E11" s="106"/>
      <c r="F11" s="106"/>
      <c r="G11" s="106"/>
    </row>
    <row r="12" spans="1:11" ht="50.1" customHeight="1" x14ac:dyDescent="0.3">
      <c r="A12" s="12"/>
      <c r="B12" s="106"/>
      <c r="C12" s="106"/>
      <c r="D12" s="106"/>
      <c r="E12" s="106"/>
      <c r="F12" s="107"/>
      <c r="G12" s="107"/>
    </row>
    <row r="13" spans="1:11" ht="50.1" customHeight="1" x14ac:dyDescent="0.3">
      <c r="A13" s="12"/>
      <c r="B13" s="106"/>
      <c r="C13" s="106"/>
      <c r="D13" s="106"/>
      <c r="E13" s="106"/>
      <c r="F13" s="107"/>
      <c r="G13" s="107"/>
    </row>
    <row r="14" spans="1:11" ht="50.1" customHeight="1" x14ac:dyDescent="0.3">
      <c r="A14" s="12"/>
      <c r="B14" s="106"/>
      <c r="C14" s="106"/>
      <c r="D14" s="106"/>
      <c r="E14" s="106"/>
      <c r="F14" s="107"/>
      <c r="G14" s="107"/>
    </row>
    <row r="15" spans="1:11" ht="50.1" customHeight="1" x14ac:dyDescent="0.3">
      <c r="A15" s="12"/>
      <c r="B15" s="106"/>
      <c r="C15" s="106"/>
      <c r="D15" s="106"/>
      <c r="E15" s="106"/>
      <c r="F15" s="107"/>
      <c r="G15" s="107"/>
    </row>
    <row r="16" spans="1:11" ht="50.1" customHeight="1" x14ac:dyDescent="0.3">
      <c r="A16" s="12"/>
      <c r="B16" s="106"/>
      <c r="C16" s="106"/>
      <c r="D16" s="106"/>
      <c r="E16" s="106"/>
      <c r="F16" s="107"/>
      <c r="G16" s="107"/>
    </row>
    <row r="17" spans="1:7" ht="50.1" customHeight="1" x14ac:dyDescent="0.3">
      <c r="A17" s="12"/>
      <c r="B17" s="106"/>
      <c r="C17" s="106"/>
      <c r="D17" s="106"/>
      <c r="E17" s="106"/>
      <c r="F17" s="106"/>
      <c r="G17" s="106"/>
    </row>
    <row r="18" spans="1:7" ht="50.1" customHeight="1" x14ac:dyDescent="0.3">
      <c r="A18" s="12"/>
      <c r="B18" s="106"/>
      <c r="C18" s="106"/>
      <c r="D18" s="106"/>
      <c r="E18" s="106"/>
      <c r="F18" s="107"/>
      <c r="G18" s="107"/>
    </row>
    <row r="19" spans="1:7" ht="50.1" customHeight="1" x14ac:dyDescent="0.3">
      <c r="A19" s="12"/>
      <c r="B19" s="106"/>
      <c r="C19" s="106"/>
      <c r="D19" s="106"/>
      <c r="E19" s="106"/>
      <c r="F19" s="107"/>
      <c r="G19" s="107"/>
    </row>
    <row r="20" spans="1:7" ht="50.1" customHeight="1" x14ac:dyDescent="0.3">
      <c r="A20" s="12"/>
      <c r="B20" s="106"/>
      <c r="C20" s="106"/>
      <c r="D20" s="106"/>
      <c r="E20" s="106"/>
      <c r="F20" s="107"/>
      <c r="G20" s="107"/>
    </row>
    <row r="21" spans="1:7" ht="50.1" customHeight="1" x14ac:dyDescent="0.3">
      <c r="A21" s="12"/>
      <c r="B21" s="106"/>
      <c r="C21" s="106"/>
      <c r="D21" s="106"/>
      <c r="E21" s="106"/>
      <c r="F21" s="107"/>
      <c r="G21" s="107"/>
    </row>
    <row r="22" spans="1:7" ht="50.1" customHeight="1" x14ac:dyDescent="0.3">
      <c r="A22" s="12"/>
      <c r="B22" s="106"/>
      <c r="C22" s="106"/>
      <c r="D22" s="106"/>
      <c r="E22" s="106"/>
      <c r="F22" s="106"/>
      <c r="G22" s="107"/>
    </row>
    <row r="23" spans="1:7" ht="50.1" customHeight="1" x14ac:dyDescent="0.3">
      <c r="A23" s="12"/>
      <c r="B23" s="106"/>
      <c r="C23" s="106"/>
      <c r="D23" s="106"/>
      <c r="E23" s="106"/>
      <c r="F23" s="107"/>
      <c r="G23" s="107"/>
    </row>
    <row r="24" spans="1:7" ht="50.1" customHeight="1" x14ac:dyDescent="0.3">
      <c r="A24" s="12"/>
      <c r="B24" s="106"/>
      <c r="C24" s="106"/>
      <c r="D24" s="106"/>
      <c r="E24" s="106"/>
      <c r="F24" s="106"/>
      <c r="G24" s="106"/>
    </row>
    <row r="25" spans="1:7" ht="50.1" customHeight="1" x14ac:dyDescent="0.3">
      <c r="A25" s="12"/>
      <c r="B25" s="106"/>
      <c r="C25" s="106"/>
      <c r="D25" s="106"/>
      <c r="E25" s="106"/>
      <c r="F25" s="107"/>
      <c r="G25" s="107"/>
    </row>
    <row r="26" spans="1:7" ht="50.1" customHeight="1" x14ac:dyDescent="0.3">
      <c r="A26" s="12"/>
      <c r="B26" s="106"/>
      <c r="C26" s="106"/>
      <c r="D26" s="106"/>
      <c r="E26" s="106"/>
      <c r="F26" s="107"/>
      <c r="G26" s="107"/>
    </row>
    <row r="27" spans="1:7" ht="50.1" customHeight="1" x14ac:dyDescent="0.3">
      <c r="A27" s="13"/>
      <c r="B27" s="106"/>
      <c r="C27" s="106"/>
      <c r="D27" s="106"/>
      <c r="E27" s="106"/>
      <c r="F27" s="106"/>
      <c r="G27" s="106"/>
    </row>
    <row r="28" spans="1:7" ht="50.1" customHeight="1" x14ac:dyDescent="0.3">
      <c r="A28" s="12"/>
      <c r="B28" s="106"/>
      <c r="C28" s="106"/>
      <c r="D28" s="106"/>
      <c r="E28" s="106"/>
      <c r="F28" s="106"/>
      <c r="G28" s="106"/>
    </row>
    <row r="29" spans="1:7" ht="50.1" customHeight="1" x14ac:dyDescent="0.3">
      <c r="A29" s="12"/>
      <c r="B29" s="106"/>
      <c r="C29" s="106"/>
      <c r="D29" s="106"/>
      <c r="E29" s="106"/>
      <c r="F29" s="107"/>
      <c r="G29" s="107"/>
    </row>
    <row r="30" spans="1:7" ht="50.1" customHeight="1" x14ac:dyDescent="0.3">
      <c r="A30" s="12"/>
      <c r="B30" s="106"/>
      <c r="C30" s="106"/>
      <c r="D30" s="106"/>
      <c r="E30" s="106"/>
      <c r="F30" s="106"/>
      <c r="G30" s="106"/>
    </row>
    <row r="31" spans="1:7" ht="50.1" customHeight="1" x14ac:dyDescent="0.3">
      <c r="A31" s="12"/>
      <c r="B31" s="106"/>
      <c r="C31" s="106"/>
      <c r="D31" s="106"/>
      <c r="E31" s="106"/>
      <c r="F31" s="107"/>
      <c r="G31" s="107"/>
    </row>
    <row r="32" spans="1:7" ht="50.1" customHeight="1" x14ac:dyDescent="0.3">
      <c r="A32" s="12"/>
      <c r="B32" s="106"/>
      <c r="C32" s="106"/>
      <c r="D32" s="106"/>
      <c r="E32" s="106"/>
      <c r="F32" s="107"/>
      <c r="G32" s="107"/>
    </row>
    <row r="33" spans="1:7" ht="50.1" customHeight="1" x14ac:dyDescent="0.3">
      <c r="A33" s="13"/>
      <c r="B33" s="106"/>
      <c r="C33" s="106"/>
      <c r="D33" s="106"/>
      <c r="E33" s="106"/>
      <c r="F33" s="106"/>
      <c r="G33" s="106"/>
    </row>
    <row r="34" spans="1:7" ht="50.1" customHeight="1" x14ac:dyDescent="0.3">
      <c r="A34" s="12"/>
      <c r="B34" s="106"/>
      <c r="C34" s="106"/>
      <c r="D34" s="106"/>
      <c r="E34" s="106"/>
      <c r="F34" s="106"/>
      <c r="G34" s="106"/>
    </row>
    <row r="35" spans="1:7" ht="50.1" customHeight="1" x14ac:dyDescent="0.3">
      <c r="A35" s="12"/>
      <c r="B35" s="106"/>
      <c r="C35" s="106"/>
      <c r="D35" s="106"/>
      <c r="E35" s="106"/>
      <c r="F35" s="107"/>
      <c r="G35" s="107"/>
    </row>
    <row r="36" spans="1:7" ht="50.1" customHeight="1" x14ac:dyDescent="0.3">
      <c r="A36" s="12"/>
      <c r="B36" s="106"/>
      <c r="C36" s="106"/>
      <c r="D36" s="106"/>
      <c r="E36" s="106"/>
      <c r="F36" s="107"/>
      <c r="G36" s="107"/>
    </row>
    <row r="37" spans="1:7" ht="50.1" customHeight="1" x14ac:dyDescent="0.3">
      <c r="A37" s="12"/>
      <c r="B37" s="106"/>
      <c r="C37" s="106"/>
      <c r="D37" s="106"/>
      <c r="E37" s="106"/>
      <c r="F37" s="107"/>
      <c r="G37" s="107"/>
    </row>
    <row r="38" spans="1:7" ht="50.1" customHeight="1" x14ac:dyDescent="0.3">
      <c r="A38" s="12"/>
      <c r="B38" s="106"/>
      <c r="C38" s="106"/>
      <c r="D38" s="106"/>
      <c r="E38" s="106"/>
      <c r="F38" s="107"/>
      <c r="G38" s="107"/>
    </row>
    <row r="39" spans="1:7" ht="50.1" customHeight="1" x14ac:dyDescent="0.3">
      <c r="A39" s="12"/>
      <c r="B39" s="106"/>
      <c r="C39" s="106"/>
      <c r="D39" s="106"/>
      <c r="E39" s="106"/>
      <c r="F39" s="107"/>
      <c r="G39" s="107"/>
    </row>
    <row r="40" spans="1:7" ht="50.1" customHeight="1" x14ac:dyDescent="0.3">
      <c r="A40" s="12"/>
      <c r="B40" s="106"/>
      <c r="C40" s="106"/>
      <c r="D40" s="106"/>
      <c r="E40" s="106"/>
      <c r="F40" s="107"/>
      <c r="G40" s="107"/>
    </row>
    <row r="41" spans="1:7" ht="50.1" customHeight="1" x14ac:dyDescent="0.3">
      <c r="A41" s="12"/>
      <c r="B41" s="106"/>
      <c r="C41" s="106"/>
      <c r="D41" s="106"/>
      <c r="E41" s="106"/>
      <c r="F41" s="107"/>
      <c r="G41" s="107"/>
    </row>
    <row r="42" spans="1:7" ht="50.1" customHeight="1" x14ac:dyDescent="0.3">
      <c r="A42" s="12"/>
      <c r="B42" s="106"/>
      <c r="C42" s="106"/>
      <c r="D42" s="106"/>
      <c r="E42" s="106"/>
      <c r="F42" s="107"/>
      <c r="G42" s="107"/>
    </row>
    <row r="43" spans="1:7" ht="50.1" customHeight="1" x14ac:dyDescent="0.3">
      <c r="A43" s="12"/>
      <c r="B43" s="106"/>
      <c r="C43" s="106"/>
      <c r="D43" s="106"/>
      <c r="E43" s="106"/>
      <c r="F43" s="106"/>
      <c r="G43" s="106"/>
    </row>
    <row r="44" spans="1:7" ht="50.1" customHeight="1" x14ac:dyDescent="0.3">
      <c r="A44" s="12"/>
      <c r="B44" s="106"/>
      <c r="C44" s="106"/>
      <c r="D44" s="106"/>
      <c r="E44" s="106"/>
      <c r="F44" s="107"/>
      <c r="G44" s="107"/>
    </row>
    <row r="45" spans="1:7" ht="50.1" customHeight="1" x14ac:dyDescent="0.3">
      <c r="A45" s="12"/>
      <c r="B45" s="106"/>
      <c r="C45" s="106"/>
      <c r="D45" s="106"/>
      <c r="E45" s="106"/>
      <c r="F45" s="106"/>
      <c r="G45" s="106"/>
    </row>
    <row r="46" spans="1:7" ht="50.1" customHeight="1" x14ac:dyDescent="0.3">
      <c r="A46" s="12"/>
      <c r="B46" s="106"/>
      <c r="C46" s="106"/>
      <c r="D46" s="106"/>
      <c r="E46" s="106"/>
      <c r="F46" s="107"/>
      <c r="G46" s="107"/>
    </row>
    <row r="47" spans="1:7" ht="50.1" customHeight="1" x14ac:dyDescent="0.3">
      <c r="A47" s="12"/>
      <c r="B47" s="106"/>
      <c r="C47" s="106"/>
      <c r="D47" s="106"/>
      <c r="E47" s="106"/>
      <c r="F47" s="106"/>
      <c r="G47" s="106"/>
    </row>
    <row r="48" spans="1:7" ht="50.1" customHeight="1" x14ac:dyDescent="0.3">
      <c r="A48" s="12"/>
      <c r="B48" s="106"/>
      <c r="C48" s="106"/>
      <c r="D48" s="106"/>
      <c r="E48" s="106"/>
      <c r="F48" s="107"/>
      <c r="G48" s="107"/>
    </row>
    <row r="49" spans="1:7" ht="50.1" customHeight="1" x14ac:dyDescent="0.3">
      <c r="A49" s="12"/>
      <c r="B49" s="106"/>
      <c r="C49" s="106"/>
      <c r="D49" s="106"/>
      <c r="E49" s="106"/>
      <c r="F49" s="107"/>
      <c r="G49" s="107"/>
    </row>
    <row r="50" spans="1:7" ht="50.1" customHeight="1" x14ac:dyDescent="0.3">
      <c r="A50" s="12"/>
      <c r="B50" s="106"/>
      <c r="C50" s="106"/>
      <c r="D50" s="106"/>
      <c r="E50" s="106"/>
      <c r="F50" s="107"/>
      <c r="G50" s="107"/>
    </row>
    <row r="51" spans="1:7" ht="50.1" customHeight="1" x14ac:dyDescent="0.3">
      <c r="A51" s="13"/>
      <c r="B51" s="106"/>
      <c r="C51" s="106"/>
      <c r="D51" s="106"/>
      <c r="E51" s="106"/>
      <c r="F51" s="106"/>
      <c r="G51" s="106"/>
    </row>
    <row r="52" spans="1:7" ht="50.1" customHeight="1" x14ac:dyDescent="0.3">
      <c r="A52" s="13"/>
      <c r="B52" s="106"/>
      <c r="C52" s="106"/>
      <c r="D52" s="106"/>
      <c r="E52" s="106"/>
      <c r="F52" s="106"/>
      <c r="G52" s="106"/>
    </row>
    <row r="53" spans="1:7" ht="50.1" customHeight="1" x14ac:dyDescent="0.3">
      <c r="A53" s="12"/>
      <c r="B53" s="106"/>
      <c r="C53" s="106"/>
      <c r="D53" s="106"/>
      <c r="E53" s="106"/>
      <c r="F53" s="106"/>
      <c r="G53" s="106"/>
    </row>
    <row r="54" spans="1:7" ht="50.1" customHeight="1" x14ac:dyDescent="0.3">
      <c r="A54" s="12"/>
      <c r="B54" s="106"/>
      <c r="C54" s="106"/>
      <c r="D54" s="106"/>
      <c r="E54" s="106"/>
      <c r="F54" s="107"/>
      <c r="G54" s="107"/>
    </row>
    <row r="55" spans="1:7" ht="50.1" customHeight="1" x14ac:dyDescent="0.3">
      <c r="A55" s="12"/>
      <c r="B55" s="106"/>
      <c r="C55" s="106"/>
      <c r="D55" s="106"/>
      <c r="E55" s="106"/>
      <c r="F55" s="107"/>
      <c r="G55" s="107"/>
    </row>
    <row r="56" spans="1:7" ht="50.1" customHeight="1" x14ac:dyDescent="0.3">
      <c r="A56" s="12"/>
      <c r="B56" s="106"/>
      <c r="C56" s="106"/>
      <c r="D56" s="106"/>
      <c r="E56" s="106"/>
      <c r="F56" s="107"/>
      <c r="G56" s="107"/>
    </row>
    <row r="57" spans="1:7" ht="50.1" customHeight="1" x14ac:dyDescent="0.3">
      <c r="A57" s="12"/>
      <c r="B57" s="106"/>
      <c r="C57" s="106"/>
      <c r="D57" s="106"/>
      <c r="E57" s="106"/>
      <c r="F57" s="107"/>
      <c r="G57" s="107"/>
    </row>
    <row r="58" spans="1:7" ht="50.1" customHeight="1" x14ac:dyDescent="0.3">
      <c r="A58" s="12"/>
      <c r="B58" s="106"/>
      <c r="C58" s="106"/>
      <c r="D58" s="106"/>
      <c r="E58" s="106"/>
      <c r="F58" s="107"/>
      <c r="G58" s="107"/>
    </row>
    <row r="59" spans="1:7" ht="50.1" customHeight="1" x14ac:dyDescent="0.3">
      <c r="A59" s="12"/>
      <c r="B59" s="106"/>
      <c r="C59" s="106"/>
      <c r="D59" s="106"/>
      <c r="E59" s="106"/>
      <c r="F59" s="107"/>
      <c r="G59" s="107"/>
    </row>
    <row r="60" spans="1:7" ht="50.1" customHeight="1" x14ac:dyDescent="0.3">
      <c r="A60" s="12"/>
      <c r="B60" s="106"/>
      <c r="C60" s="106"/>
      <c r="D60" s="106"/>
      <c r="E60" s="106"/>
      <c r="F60" s="107"/>
      <c r="G60" s="107"/>
    </row>
    <row r="61" spans="1:7" ht="50.1" customHeight="1" x14ac:dyDescent="0.3">
      <c r="A61" s="12"/>
      <c r="B61" s="106"/>
      <c r="C61" s="106"/>
      <c r="D61" s="106"/>
      <c r="E61" s="106"/>
      <c r="F61" s="106"/>
      <c r="G61" s="106"/>
    </row>
    <row r="62" spans="1:7" ht="50.1" customHeight="1" x14ac:dyDescent="0.3">
      <c r="A62" s="12"/>
      <c r="B62" s="106"/>
      <c r="C62" s="106"/>
      <c r="D62" s="106"/>
      <c r="E62" s="106"/>
      <c r="F62" s="107"/>
      <c r="G62" s="107"/>
    </row>
    <row r="63" spans="1:7" ht="50.1" customHeight="1" x14ac:dyDescent="0.3">
      <c r="A63" s="12"/>
      <c r="B63" s="106"/>
      <c r="C63" s="106"/>
      <c r="D63" s="106"/>
      <c r="E63" s="106"/>
      <c r="F63" s="107"/>
      <c r="G63" s="107"/>
    </row>
    <row r="64" spans="1:7" ht="50.1" customHeight="1" x14ac:dyDescent="0.3">
      <c r="A64" s="12"/>
      <c r="B64" s="106"/>
      <c r="C64" s="106"/>
      <c r="D64" s="106"/>
      <c r="E64" s="106"/>
      <c r="F64" s="107"/>
      <c r="G64" s="107"/>
    </row>
    <row r="65" spans="1:7" ht="50.1" customHeight="1" x14ac:dyDescent="0.3">
      <c r="A65" s="12"/>
      <c r="B65" s="106"/>
      <c r="C65" s="106"/>
      <c r="D65" s="106"/>
      <c r="E65" s="106"/>
      <c r="F65" s="107"/>
      <c r="G65" s="107"/>
    </row>
    <row r="66" spans="1:7" ht="50.1" customHeight="1" x14ac:dyDescent="0.3">
      <c r="A66" s="12"/>
      <c r="B66" s="106"/>
      <c r="C66" s="106"/>
      <c r="D66" s="106"/>
      <c r="E66" s="106"/>
      <c r="F66" s="107"/>
      <c r="G66" s="107"/>
    </row>
    <row r="67" spans="1:7" ht="50.1" customHeight="1" x14ac:dyDescent="0.3">
      <c r="A67" s="12"/>
      <c r="B67" s="106"/>
      <c r="C67" s="106"/>
      <c r="D67" s="106"/>
      <c r="E67" s="106"/>
      <c r="F67" s="107"/>
      <c r="G67" s="107"/>
    </row>
    <row r="68" spans="1:7" ht="50.1" customHeight="1" x14ac:dyDescent="0.3">
      <c r="A68" s="12"/>
      <c r="B68" s="106"/>
      <c r="C68" s="106"/>
      <c r="D68" s="106"/>
      <c r="E68" s="106"/>
      <c r="F68" s="107"/>
      <c r="G68" s="107"/>
    </row>
    <row r="69" spans="1:7" ht="50.1" customHeight="1" x14ac:dyDescent="0.3">
      <c r="A69" s="12"/>
      <c r="B69" s="106"/>
      <c r="C69" s="106"/>
      <c r="D69" s="106"/>
      <c r="E69" s="106"/>
      <c r="F69" s="107"/>
      <c r="G69" s="107"/>
    </row>
    <row r="70" spans="1:7" ht="50.1" customHeight="1" x14ac:dyDescent="0.3">
      <c r="A70" s="12"/>
      <c r="B70" s="106"/>
      <c r="C70" s="106"/>
      <c r="D70" s="106"/>
      <c r="E70" s="106"/>
      <c r="F70" s="107"/>
      <c r="G70" s="107"/>
    </row>
    <row r="71" spans="1:7" ht="50.1" customHeight="1" x14ac:dyDescent="0.3">
      <c r="A71" s="12"/>
      <c r="B71" s="106"/>
      <c r="C71" s="106"/>
      <c r="D71" s="106"/>
      <c r="E71" s="106"/>
      <c r="F71" s="107"/>
      <c r="G71" s="107"/>
    </row>
    <row r="72" spans="1:7" ht="50.1" customHeight="1" x14ac:dyDescent="0.3">
      <c r="A72" s="12"/>
      <c r="B72" s="106"/>
      <c r="C72" s="106"/>
      <c r="D72" s="106"/>
      <c r="E72" s="106"/>
      <c r="F72" s="106"/>
      <c r="G72" s="106"/>
    </row>
    <row r="73" spans="1:7" ht="50.1" customHeight="1" x14ac:dyDescent="0.3">
      <c r="A73" s="12"/>
      <c r="B73" s="106"/>
      <c r="C73" s="106"/>
      <c r="D73" s="106"/>
      <c r="E73" s="106"/>
      <c r="F73" s="107"/>
      <c r="G73" s="107"/>
    </row>
    <row r="74" spans="1:7" ht="50.1" customHeight="1" x14ac:dyDescent="0.3">
      <c r="A74" s="12"/>
      <c r="B74" s="106"/>
      <c r="C74" s="106"/>
      <c r="D74" s="106"/>
      <c r="E74" s="106"/>
      <c r="F74" s="107"/>
      <c r="G74" s="107"/>
    </row>
    <row r="75" spans="1:7" ht="50.1" customHeight="1" x14ac:dyDescent="0.3">
      <c r="A75" s="12"/>
      <c r="B75" s="106"/>
      <c r="C75" s="106"/>
      <c r="D75" s="106"/>
      <c r="E75" s="106"/>
      <c r="F75" s="107"/>
      <c r="G75" s="107"/>
    </row>
    <row r="76" spans="1:7" ht="50.1" customHeight="1" x14ac:dyDescent="0.3">
      <c r="A76" s="13"/>
      <c r="B76" s="106"/>
      <c r="C76" s="106"/>
      <c r="D76" s="106"/>
      <c r="E76" s="106"/>
      <c r="F76" s="106"/>
      <c r="G76" s="106"/>
    </row>
    <row r="77" spans="1:7" ht="50.1" customHeight="1" x14ac:dyDescent="0.3">
      <c r="A77" s="12"/>
      <c r="B77" s="106"/>
      <c r="C77" s="106"/>
      <c r="D77" s="106"/>
      <c r="E77" s="106"/>
      <c r="F77" s="106"/>
      <c r="G77" s="106"/>
    </row>
    <row r="78" spans="1:7" ht="50.1" customHeight="1" x14ac:dyDescent="0.3">
      <c r="A78" s="12"/>
      <c r="B78" s="106"/>
      <c r="C78" s="106"/>
      <c r="D78" s="106"/>
      <c r="E78" s="106"/>
      <c r="F78" s="107"/>
      <c r="G78" s="107"/>
    </row>
    <row r="79" spans="1:7" ht="50.1" customHeight="1" x14ac:dyDescent="0.3">
      <c r="A79" s="12"/>
      <c r="B79" s="106"/>
      <c r="C79" s="106"/>
      <c r="D79" s="106"/>
      <c r="E79" s="106"/>
      <c r="F79" s="106"/>
      <c r="G79" s="107"/>
    </row>
    <row r="80" spans="1:7" ht="50.1" customHeight="1" x14ac:dyDescent="0.3">
      <c r="A80" s="12"/>
      <c r="B80" s="106"/>
      <c r="C80" s="106"/>
      <c r="D80" s="106"/>
      <c r="E80" s="106"/>
      <c r="F80" s="107"/>
      <c r="G80" s="107"/>
    </row>
    <row r="81" spans="1:7" ht="50.1" customHeight="1" x14ac:dyDescent="0.3">
      <c r="A81" s="12"/>
      <c r="B81" s="106"/>
      <c r="C81" s="106"/>
      <c r="D81" s="106"/>
      <c r="E81" s="106"/>
      <c r="F81" s="107"/>
      <c r="G81" s="107"/>
    </row>
    <row r="82" spans="1:7" ht="50.1" customHeight="1" x14ac:dyDescent="0.3">
      <c r="A82" s="12"/>
      <c r="B82" s="106"/>
      <c r="C82" s="106"/>
      <c r="D82" s="106"/>
      <c r="E82" s="106"/>
      <c r="F82" s="107"/>
      <c r="G82" s="107"/>
    </row>
    <row r="83" spans="1:7" ht="50.1" customHeight="1" x14ac:dyDescent="0.3">
      <c r="A83" s="12"/>
      <c r="B83" s="106"/>
      <c r="C83" s="106"/>
      <c r="D83" s="106"/>
      <c r="E83" s="106"/>
      <c r="F83" s="106"/>
      <c r="G83" s="106"/>
    </row>
    <row r="84" spans="1:7" ht="50.1" customHeight="1" x14ac:dyDescent="0.3">
      <c r="A84" s="12"/>
      <c r="B84" s="106"/>
      <c r="C84" s="106"/>
      <c r="D84" s="106"/>
      <c r="E84" s="106"/>
      <c r="F84" s="107"/>
      <c r="G84" s="107"/>
    </row>
    <row r="85" spans="1:7" ht="50.1" customHeight="1" x14ac:dyDescent="0.3">
      <c r="A85" s="12"/>
      <c r="B85" s="106"/>
      <c r="C85" s="106"/>
      <c r="D85" s="106"/>
      <c r="E85" s="106"/>
      <c r="F85" s="107"/>
      <c r="G85" s="107"/>
    </row>
    <row r="86" spans="1:7" ht="50.1" customHeight="1" x14ac:dyDescent="0.3">
      <c r="A86" s="12"/>
      <c r="B86" s="106"/>
      <c r="C86" s="106"/>
      <c r="D86" s="106"/>
      <c r="E86" s="106"/>
      <c r="F86" s="107"/>
      <c r="G86" s="107"/>
    </row>
    <row r="87" spans="1:7" ht="50.1" customHeight="1" x14ac:dyDescent="0.3">
      <c r="A87" s="12"/>
      <c r="B87" s="106"/>
      <c r="C87" s="106"/>
      <c r="D87" s="106"/>
      <c r="E87" s="106"/>
      <c r="F87" s="106"/>
      <c r="G87" s="106"/>
    </row>
    <row r="88" spans="1:7" ht="50.1" customHeight="1" x14ac:dyDescent="0.3">
      <c r="A88" s="12"/>
      <c r="B88" s="106"/>
      <c r="C88" s="106"/>
      <c r="D88" s="106"/>
      <c r="E88" s="106"/>
      <c r="F88" s="107"/>
      <c r="G88" s="107"/>
    </row>
    <row r="89" spans="1:7" ht="50.1" customHeight="1" x14ac:dyDescent="0.3">
      <c r="A89" s="12"/>
      <c r="B89" s="106"/>
      <c r="C89" s="106"/>
      <c r="D89" s="106"/>
      <c r="E89" s="106"/>
      <c r="F89" s="106"/>
      <c r="G89" s="106"/>
    </row>
    <row r="90" spans="1:7" ht="50.1" customHeight="1" x14ac:dyDescent="0.3">
      <c r="A90" s="12"/>
      <c r="B90" s="106"/>
      <c r="C90" s="106"/>
      <c r="D90" s="106"/>
      <c r="E90" s="106"/>
      <c r="F90" s="106"/>
      <c r="G90" s="106"/>
    </row>
    <row r="91" spans="1:7" ht="50.1" customHeight="1" x14ac:dyDescent="0.3">
      <c r="A91" s="12"/>
      <c r="B91" s="106"/>
      <c r="C91" s="106"/>
      <c r="D91" s="106"/>
      <c r="E91" s="106"/>
      <c r="F91" s="106"/>
      <c r="G91" s="106"/>
    </row>
    <row r="92" spans="1:7" ht="50.1" customHeight="1" x14ac:dyDescent="0.3">
      <c r="A92" s="12"/>
      <c r="B92" s="106"/>
      <c r="C92" s="106"/>
      <c r="D92" s="106"/>
      <c r="E92" s="106"/>
      <c r="F92" s="107"/>
      <c r="G92" s="107"/>
    </row>
    <row r="93" spans="1:7" ht="50.1" customHeight="1" x14ac:dyDescent="0.3">
      <c r="A93" s="12"/>
      <c r="B93" s="106"/>
      <c r="C93" s="106"/>
      <c r="D93" s="106"/>
      <c r="E93" s="106"/>
      <c r="F93" s="107"/>
      <c r="G93" s="107"/>
    </row>
    <row r="94" spans="1:7" ht="50.1" customHeight="1" x14ac:dyDescent="0.3">
      <c r="A94" s="12"/>
      <c r="B94" s="106"/>
      <c r="C94" s="106"/>
      <c r="D94" s="106"/>
      <c r="E94" s="106"/>
      <c r="F94" s="107"/>
      <c r="G94" s="107"/>
    </row>
    <row r="95" spans="1:7" ht="50.1" customHeight="1" x14ac:dyDescent="0.3">
      <c r="A95" s="12"/>
      <c r="B95" s="106"/>
      <c r="C95" s="106"/>
      <c r="D95" s="106"/>
      <c r="E95" s="106"/>
      <c r="F95" s="107"/>
      <c r="G95" s="107"/>
    </row>
    <row r="96" spans="1:7" ht="50.1" customHeight="1" x14ac:dyDescent="0.3">
      <c r="A96" s="12"/>
      <c r="B96" s="106"/>
      <c r="C96" s="106"/>
      <c r="D96" s="106"/>
      <c r="E96" s="106"/>
      <c r="F96" s="107"/>
      <c r="G96" s="107"/>
    </row>
    <row r="97" spans="1:7" ht="50.1" customHeight="1" x14ac:dyDescent="0.3">
      <c r="A97" s="12"/>
      <c r="B97" s="106"/>
      <c r="C97" s="106"/>
      <c r="D97" s="106"/>
      <c r="E97" s="106"/>
      <c r="F97" s="107"/>
      <c r="G97" s="107"/>
    </row>
    <row r="98" spans="1:7" ht="50.1" customHeight="1" x14ac:dyDescent="0.3">
      <c r="A98" s="12"/>
      <c r="B98" s="106"/>
      <c r="C98" s="106"/>
      <c r="D98" s="106"/>
      <c r="E98" s="106"/>
      <c r="F98" s="106"/>
      <c r="G98" s="106"/>
    </row>
    <row r="99" spans="1:7" ht="50.1" customHeight="1" x14ac:dyDescent="0.3">
      <c r="A99" s="12"/>
      <c r="B99" s="106"/>
      <c r="C99" s="106"/>
      <c r="D99" s="106"/>
      <c r="E99" s="106"/>
      <c r="F99" s="107"/>
      <c r="G99" s="107"/>
    </row>
    <row r="100" spans="1:7" ht="50.1" customHeight="1" x14ac:dyDescent="0.3">
      <c r="A100" s="12"/>
      <c r="B100" s="106"/>
      <c r="C100" s="106"/>
      <c r="D100" s="106"/>
      <c r="E100" s="106"/>
      <c r="F100" s="107"/>
      <c r="G100" s="107"/>
    </row>
    <row r="101" spans="1:7" ht="50.1" customHeight="1" x14ac:dyDescent="0.3">
      <c r="A101" s="12"/>
      <c r="B101" s="106"/>
      <c r="C101" s="106"/>
      <c r="D101" s="106"/>
      <c r="E101" s="106"/>
      <c r="F101" s="107"/>
      <c r="G101" s="107"/>
    </row>
    <row r="102" spans="1:7" ht="50.1" customHeight="1" x14ac:dyDescent="0.3">
      <c r="A102" s="12"/>
      <c r="B102" s="106"/>
      <c r="C102" s="106"/>
      <c r="D102" s="106"/>
      <c r="E102" s="106"/>
      <c r="F102" s="106"/>
      <c r="G102" s="106"/>
    </row>
    <row r="103" spans="1:7" ht="50.1" customHeight="1" x14ac:dyDescent="0.3">
      <c r="A103" s="12"/>
      <c r="B103" s="106"/>
      <c r="C103" s="106"/>
      <c r="D103" s="106"/>
      <c r="E103" s="106"/>
      <c r="F103" s="107"/>
      <c r="G103" s="107"/>
    </row>
    <row r="104" spans="1:7" ht="50.1" customHeight="1" x14ac:dyDescent="0.3">
      <c r="A104" s="12"/>
      <c r="B104" s="106"/>
      <c r="C104" s="106"/>
      <c r="D104" s="106"/>
      <c r="E104" s="106"/>
      <c r="F104" s="107"/>
      <c r="G104" s="107"/>
    </row>
    <row r="105" spans="1:7" ht="50.1" customHeight="1" x14ac:dyDescent="0.3">
      <c r="A105" s="12"/>
      <c r="B105" s="106"/>
      <c r="C105" s="106"/>
      <c r="D105" s="106"/>
      <c r="E105" s="106"/>
      <c r="F105" s="106"/>
      <c r="G105" s="106"/>
    </row>
    <row r="106" spans="1:7" ht="50.1" customHeight="1" x14ac:dyDescent="0.3">
      <c r="A106" s="12"/>
      <c r="B106" s="106"/>
      <c r="C106" s="106"/>
      <c r="D106" s="106"/>
      <c r="E106" s="106"/>
      <c r="F106" s="106"/>
      <c r="G106" s="106"/>
    </row>
    <row r="107" spans="1:7" ht="50.1" customHeight="1" x14ac:dyDescent="0.3">
      <c r="A107" s="12"/>
      <c r="B107" s="106"/>
      <c r="C107" s="106"/>
      <c r="D107" s="106"/>
      <c r="E107" s="106"/>
      <c r="F107" s="107"/>
      <c r="G107" s="107"/>
    </row>
    <row r="108" spans="1:7" ht="50.1" customHeight="1" x14ac:dyDescent="0.3">
      <c r="A108" s="12"/>
      <c r="B108" s="106"/>
      <c r="C108" s="106"/>
      <c r="D108" s="106"/>
      <c r="E108" s="106"/>
      <c r="F108" s="107"/>
      <c r="G108" s="107"/>
    </row>
    <row r="109" spans="1:7" ht="50.1" customHeight="1" x14ac:dyDescent="0.3">
      <c r="A109" s="12"/>
      <c r="B109" s="106"/>
      <c r="C109" s="106"/>
      <c r="D109" s="106"/>
      <c r="E109" s="106"/>
      <c r="F109" s="107"/>
      <c r="G109" s="107"/>
    </row>
    <row r="110" spans="1:7" ht="50.1" customHeight="1" x14ac:dyDescent="0.3">
      <c r="A110" s="12"/>
      <c r="B110" s="106"/>
      <c r="C110" s="106"/>
      <c r="D110" s="106"/>
      <c r="E110" s="106"/>
      <c r="F110" s="106"/>
      <c r="G110" s="106"/>
    </row>
    <row r="111" spans="1:7" ht="50.1" customHeight="1" x14ac:dyDescent="0.3">
      <c r="A111" s="12"/>
      <c r="B111" s="106"/>
      <c r="C111" s="106"/>
      <c r="D111" s="106"/>
      <c r="E111" s="106"/>
      <c r="F111" s="107"/>
      <c r="G111" s="107"/>
    </row>
    <row r="112" spans="1:7" ht="50.1" customHeight="1" x14ac:dyDescent="0.3">
      <c r="A112" s="12"/>
      <c r="B112" s="106"/>
      <c r="C112" s="106"/>
      <c r="D112" s="106"/>
      <c r="E112" s="106"/>
      <c r="F112" s="107"/>
      <c r="G112" s="107"/>
    </row>
    <row r="113" spans="1:7" ht="50.1" customHeight="1" x14ac:dyDescent="0.3">
      <c r="A113" s="12"/>
      <c r="B113" s="106"/>
      <c r="C113" s="106"/>
      <c r="D113" s="106"/>
      <c r="E113" s="106"/>
      <c r="F113" s="106"/>
      <c r="G113" s="106"/>
    </row>
    <row r="114" spans="1:7" ht="50.1" customHeight="1" x14ac:dyDescent="0.3">
      <c r="A114" s="12"/>
      <c r="B114" s="106"/>
      <c r="C114" s="106"/>
      <c r="D114" s="106"/>
      <c r="E114" s="106"/>
      <c r="F114" s="107"/>
      <c r="G114" s="107"/>
    </row>
    <row r="115" spans="1:7" ht="50.1" customHeight="1" x14ac:dyDescent="0.3">
      <c r="A115" s="12"/>
      <c r="B115" s="106"/>
      <c r="C115" s="106"/>
      <c r="D115" s="106"/>
      <c r="E115" s="106"/>
      <c r="F115" s="107"/>
      <c r="G115" s="107"/>
    </row>
    <row r="116" spans="1:7" ht="50.1" customHeight="1" x14ac:dyDescent="0.3">
      <c r="A116" s="12"/>
      <c r="B116" s="106"/>
      <c r="C116" s="106"/>
      <c r="D116" s="106"/>
      <c r="E116" s="106"/>
      <c r="F116" s="107"/>
      <c r="G116" s="107"/>
    </row>
    <row r="117" spans="1:7" ht="50.1" customHeight="1" x14ac:dyDescent="0.3">
      <c r="A117" s="12"/>
      <c r="B117" s="106"/>
      <c r="C117" s="106"/>
      <c r="D117" s="106"/>
      <c r="E117" s="106"/>
      <c r="F117" s="107"/>
      <c r="G117" s="107"/>
    </row>
    <row r="118" spans="1:7" ht="50.1" customHeight="1" x14ac:dyDescent="0.3">
      <c r="A118" s="12"/>
      <c r="B118" s="106"/>
      <c r="C118" s="106"/>
      <c r="D118" s="106"/>
      <c r="E118" s="106"/>
      <c r="F118" s="107"/>
      <c r="G118" s="107"/>
    </row>
    <row r="119" spans="1:7" ht="50.1" customHeight="1" x14ac:dyDescent="0.3">
      <c r="A119" s="12"/>
      <c r="B119" s="106"/>
      <c r="C119" s="106"/>
      <c r="D119" s="106"/>
      <c r="E119" s="106"/>
      <c r="F119" s="107"/>
      <c r="G119" s="107"/>
    </row>
    <row r="120" spans="1:7" ht="50.1" customHeight="1" x14ac:dyDescent="0.3">
      <c r="A120" s="12"/>
      <c r="B120" s="106"/>
      <c r="C120" s="106"/>
      <c r="D120" s="106"/>
      <c r="E120" s="106"/>
      <c r="F120" s="106"/>
      <c r="G120" s="106"/>
    </row>
    <row r="121" spans="1:7" ht="50.1" customHeight="1" x14ac:dyDescent="0.3">
      <c r="A121" s="12"/>
      <c r="B121" s="106"/>
      <c r="C121" s="106"/>
      <c r="D121" s="106"/>
      <c r="E121" s="106"/>
      <c r="F121" s="107"/>
      <c r="G121" s="107"/>
    </row>
    <row r="122" spans="1:7" ht="50.1" customHeight="1" x14ac:dyDescent="0.3">
      <c r="A122" s="12"/>
      <c r="B122" s="106"/>
      <c r="C122" s="106"/>
      <c r="D122" s="106"/>
      <c r="E122" s="106"/>
      <c r="F122" s="106"/>
      <c r="G122" s="106"/>
    </row>
    <row r="123" spans="1:7" ht="50.1" customHeight="1" x14ac:dyDescent="0.3">
      <c r="A123" s="12"/>
      <c r="B123" s="106"/>
      <c r="C123" s="106"/>
      <c r="D123" s="106"/>
      <c r="E123" s="106"/>
      <c r="F123" s="107"/>
      <c r="G123" s="107"/>
    </row>
    <row r="124" spans="1:7" ht="50.1" customHeight="1" x14ac:dyDescent="0.3">
      <c r="A124" s="12"/>
      <c r="B124" s="106"/>
      <c r="C124" s="106"/>
      <c r="D124" s="106"/>
      <c r="E124" s="106"/>
      <c r="F124" s="106"/>
      <c r="G124" s="106"/>
    </row>
    <row r="125" spans="1:7" ht="50.1" customHeight="1" x14ac:dyDescent="0.3">
      <c r="A125" s="12"/>
      <c r="B125" s="106"/>
      <c r="C125" s="106"/>
      <c r="D125" s="106"/>
      <c r="E125" s="106"/>
      <c r="F125" s="107"/>
      <c r="G125" s="107"/>
    </row>
    <row r="126" spans="1:7" ht="50.1" customHeight="1" x14ac:dyDescent="0.3">
      <c r="A126" s="12"/>
      <c r="B126" s="106"/>
      <c r="C126" s="106"/>
      <c r="D126" s="106"/>
      <c r="E126" s="106"/>
      <c r="F126" s="107"/>
      <c r="G126" s="107"/>
    </row>
    <row r="127" spans="1:7" ht="50.1" customHeight="1" x14ac:dyDescent="0.3">
      <c r="A127" s="12"/>
      <c r="B127" s="106"/>
      <c r="C127" s="106"/>
      <c r="D127" s="106"/>
      <c r="E127" s="106"/>
      <c r="F127" s="107"/>
      <c r="G127" s="107"/>
    </row>
    <row r="128" spans="1:7" ht="50.1" customHeight="1" x14ac:dyDescent="0.3">
      <c r="A128" s="12"/>
      <c r="B128" s="106"/>
      <c r="C128" s="106"/>
      <c r="D128" s="106"/>
      <c r="E128" s="106"/>
      <c r="F128" s="106"/>
      <c r="G128" s="106"/>
    </row>
    <row r="129" spans="1:7" ht="50.1" customHeight="1" x14ac:dyDescent="0.3">
      <c r="A129" s="12"/>
      <c r="B129" s="106"/>
      <c r="C129" s="106"/>
      <c r="D129" s="106"/>
      <c r="E129" s="106"/>
      <c r="F129" s="107"/>
      <c r="G129" s="107"/>
    </row>
    <row r="130" spans="1:7" ht="50.1" customHeight="1" x14ac:dyDescent="0.3">
      <c r="A130" s="12"/>
      <c r="B130" s="106"/>
      <c r="C130" s="106"/>
      <c r="D130" s="106"/>
      <c r="E130" s="106"/>
      <c r="F130" s="107"/>
      <c r="G130" s="107"/>
    </row>
    <row r="131" spans="1:7" ht="50.1" customHeight="1" x14ac:dyDescent="0.3">
      <c r="A131" s="12"/>
      <c r="B131" s="106"/>
      <c r="C131" s="106"/>
      <c r="D131" s="106"/>
      <c r="E131" s="106"/>
      <c r="F131" s="107"/>
      <c r="G131" s="107"/>
    </row>
    <row r="132" spans="1:7" ht="50.1" customHeight="1" x14ac:dyDescent="0.3">
      <c r="A132" s="12"/>
      <c r="B132" s="106"/>
      <c r="C132" s="106"/>
      <c r="D132" s="106"/>
      <c r="E132" s="106"/>
      <c r="F132" s="107"/>
      <c r="G132" s="107"/>
    </row>
    <row r="133" spans="1:7" ht="50.1" customHeight="1" x14ac:dyDescent="0.3">
      <c r="A133" s="12"/>
      <c r="B133" s="106"/>
      <c r="C133" s="106"/>
      <c r="D133" s="106"/>
      <c r="E133" s="106"/>
      <c r="F133" s="107"/>
      <c r="G133" s="107"/>
    </row>
  </sheetData>
  <autoFilter ref="A1:K1" xr:uid="{89979BC3-E18A-421A-9B31-0C69FEA070D2}"/>
  <mergeCells count="3">
    <mergeCell ref="A2:A5"/>
    <mergeCell ref="A6:A8"/>
    <mergeCell ref="A9:A10"/>
  </mergeCells>
  <phoneticPr fontId="57" type="noConversion"/>
  <conditionalFormatting sqref="I1 I6:I1048576">
    <cfRule type="containsText" dxfId="194" priority="18" operator="containsText" text="Inherited">
      <formula>NOT(ISERROR(SEARCH("Inherited",I1)))</formula>
    </cfRule>
    <cfRule type="containsText" dxfId="193" priority="19" operator="containsText" text="Implemented">
      <formula>NOT(ISERROR(SEARCH("Implemented",I1)))</formula>
    </cfRule>
    <cfRule type="containsText" dxfId="192" priority="20" operator="containsText" text="Planned">
      <formula>NOT(ISERROR(SEARCH("Planned",I1)))</formula>
    </cfRule>
  </conditionalFormatting>
  <conditionalFormatting sqref="I1:I1048576">
    <cfRule type="cellIs" dxfId="191" priority="3" operator="equal">
      <formula>"Planned"</formula>
    </cfRule>
    <cfRule type="cellIs" dxfId="190" priority="4" operator="equal">
      <formula>"Implemented"</formula>
    </cfRule>
    <cfRule type="cellIs" dxfId="189" priority="6" operator="equal">
      <formula>"Not Selected"</formula>
    </cfRule>
  </conditionalFormatting>
  <conditionalFormatting sqref="J1 J6:J1048576">
    <cfRule type="containsText" dxfId="188" priority="14" operator="containsText" text="Partially Satisfied">
      <formula>NOT(ISERROR(SEARCH("Partially Satisfied",J1)))</formula>
    </cfRule>
    <cfRule type="containsText" dxfId="187" priority="15" operator="containsText" text="Other Than Satisfied">
      <formula>NOT(ISERROR(SEARCH("Other Than Satisfied",J1)))</formula>
    </cfRule>
    <cfRule type="containsText" dxfId="186" priority="16" operator="containsText" text="Satisfied">
      <formula>NOT(ISERROR(SEARCH("Satisfied",J1)))</formula>
    </cfRule>
  </conditionalFormatting>
  <conditionalFormatting sqref="J1:J1048576">
    <cfRule type="cellIs" dxfId="185" priority="1" operator="equal">
      <formula>"MET"</formula>
    </cfRule>
    <cfRule type="cellIs" dxfId="184" priority="2" operator="equal">
      <formula>"NOT MET"</formula>
    </cfRule>
  </conditionalFormatting>
  <conditionalFormatting sqref="J2:J5">
    <cfRule type="containsText" dxfId="183" priority="7" operator="containsText" text="Other Than Satisfied">
      <formula>NOT(ISERROR(SEARCH("Other Than Satisfied",J2)))</formula>
    </cfRule>
    <cfRule type="containsText" dxfId="182" priority="8" operator="containsText" text="Not Applicable">
      <formula>NOT(ISERROR(SEARCH("Not Applicable",J2)))</formula>
    </cfRule>
  </conditionalFormatting>
  <dataValidations count="2">
    <dataValidation type="list" allowBlank="1" showInputMessage="1" showErrorMessage="1" sqref="I2:I10" xr:uid="{C2050D34-8DE6-4F16-87C9-5D13E70A2EE9}">
      <formula1>"Not Selected,Planned,Inherited,Partially Implemented,Implemented"</formula1>
    </dataValidation>
    <dataValidation type="list" allowBlank="1" showInputMessage="1" showErrorMessage="1" sqref="J2:J10" xr:uid="{7D4EC728-E1AE-4BEB-8F10-E59122EE3D67}">
      <formula1>"MET,NOT MET"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B0808-B72F-423E-AC8E-723E99459225}">
  <sheetPr>
    <tabColor rgb="FF0070C0"/>
  </sheetPr>
  <dimension ref="A1:K138"/>
  <sheetViews>
    <sheetView showGridLines="0" zoomScale="70" zoomScaleNormal="70" workbookViewId="0">
      <pane ySplit="1" topLeftCell="A20" activePane="bottomLeft" state="frozen"/>
      <selection activeCell="D181" sqref="D181"/>
      <selection pane="bottomLeft" activeCell="A10" sqref="A10:A12"/>
    </sheetView>
  </sheetViews>
  <sheetFormatPr defaultColWidth="8.6640625" defaultRowHeight="50.1" customHeight="1" x14ac:dyDescent="0.3"/>
  <cols>
    <col min="1" max="1" width="22.109375" style="76" customWidth="1"/>
    <col min="2" max="3" width="16.88671875" style="44" customWidth="1"/>
    <col min="4" max="4" width="56.44140625" style="44" customWidth="1"/>
    <col min="5" max="5" width="48.44140625" style="44" customWidth="1"/>
    <col min="6" max="6" width="57" style="44" customWidth="1"/>
    <col min="7" max="7" width="35" style="44" customWidth="1"/>
    <col min="8" max="8" width="74.44140625" style="129" customWidth="1"/>
    <col min="9" max="9" width="42.5546875" style="77" customWidth="1"/>
    <col min="10" max="10" width="42.109375" style="77" customWidth="1"/>
    <col min="11" max="11" width="42.88671875" style="130" customWidth="1"/>
    <col min="12" max="16384" width="8.6640625" style="44"/>
  </cols>
  <sheetData>
    <row r="1" spans="1:11" ht="50.1" customHeight="1" thickBot="1" x14ac:dyDescent="0.35">
      <c r="A1" s="20" t="s">
        <v>125</v>
      </c>
      <c r="B1" s="20" t="s">
        <v>762</v>
      </c>
      <c r="C1" s="20" t="s">
        <v>93</v>
      </c>
      <c r="D1" s="20" t="s">
        <v>94</v>
      </c>
      <c r="E1" s="20" t="s">
        <v>95</v>
      </c>
      <c r="F1" s="20" t="s">
        <v>96</v>
      </c>
      <c r="G1" s="20" t="s">
        <v>97</v>
      </c>
      <c r="H1" s="20" t="s">
        <v>98</v>
      </c>
      <c r="I1" s="20" t="s">
        <v>44</v>
      </c>
      <c r="J1" s="20" t="s">
        <v>45</v>
      </c>
      <c r="K1" s="20" t="s">
        <v>99</v>
      </c>
    </row>
    <row r="2" spans="1:11" ht="50.1" customHeight="1" x14ac:dyDescent="0.3">
      <c r="A2" s="309" t="s">
        <v>333</v>
      </c>
      <c r="B2" s="78" t="s">
        <v>331</v>
      </c>
      <c r="C2" s="78" t="s">
        <v>332</v>
      </c>
      <c r="D2" s="78" t="s">
        <v>345</v>
      </c>
      <c r="E2" s="79" t="s">
        <v>339</v>
      </c>
      <c r="F2" s="80" t="s">
        <v>340</v>
      </c>
      <c r="G2" s="103" t="s">
        <v>341</v>
      </c>
      <c r="H2" s="121" t="s">
        <v>1350</v>
      </c>
      <c r="I2" s="52" t="s">
        <v>29</v>
      </c>
      <c r="J2" s="52" t="s">
        <v>111</v>
      </c>
      <c r="K2" s="209" t="s">
        <v>1273</v>
      </c>
    </row>
    <row r="3" spans="1:11" ht="50.1" customHeight="1" x14ac:dyDescent="0.3">
      <c r="A3" s="310"/>
      <c r="B3" s="81" t="s">
        <v>331</v>
      </c>
      <c r="C3" s="82" t="s">
        <v>334</v>
      </c>
      <c r="D3" s="82" t="s">
        <v>346</v>
      </c>
      <c r="E3" s="83"/>
      <c r="F3" s="83"/>
      <c r="G3" s="83"/>
      <c r="H3" s="122" t="s">
        <v>1351</v>
      </c>
      <c r="I3" s="48" t="s">
        <v>29</v>
      </c>
      <c r="J3" s="48" t="s">
        <v>111</v>
      </c>
      <c r="K3" s="47" t="s">
        <v>1273</v>
      </c>
    </row>
    <row r="4" spans="1:11" ht="50.1" customHeight="1" x14ac:dyDescent="0.3">
      <c r="A4" s="310"/>
      <c r="B4" s="81" t="s">
        <v>331</v>
      </c>
      <c r="C4" s="81" t="s">
        <v>335</v>
      </c>
      <c r="D4" s="81" t="s">
        <v>347</v>
      </c>
      <c r="E4" s="84"/>
      <c r="F4" s="84"/>
      <c r="G4" s="84"/>
      <c r="H4" s="122" t="s">
        <v>1352</v>
      </c>
      <c r="I4" s="48" t="s">
        <v>29</v>
      </c>
      <c r="J4" s="48" t="s">
        <v>111</v>
      </c>
      <c r="K4" s="47" t="s">
        <v>1262</v>
      </c>
    </row>
    <row r="5" spans="1:11" ht="50.1" customHeight="1" x14ac:dyDescent="0.3">
      <c r="A5" s="310"/>
      <c r="B5" s="81" t="s">
        <v>331</v>
      </c>
      <c r="C5" s="82" t="s">
        <v>336</v>
      </c>
      <c r="D5" s="82" t="s">
        <v>348</v>
      </c>
      <c r="E5" s="83"/>
      <c r="F5" s="83"/>
      <c r="G5" s="83"/>
      <c r="H5" s="122" t="s">
        <v>1353</v>
      </c>
      <c r="I5" s="48" t="s">
        <v>29</v>
      </c>
      <c r="J5" s="48" t="s">
        <v>111</v>
      </c>
      <c r="K5" s="47" t="s">
        <v>1356</v>
      </c>
    </row>
    <row r="6" spans="1:11" ht="50.1" customHeight="1" x14ac:dyDescent="0.3">
      <c r="A6" s="310"/>
      <c r="B6" s="81" t="s">
        <v>331</v>
      </c>
      <c r="C6" s="81" t="s">
        <v>337</v>
      </c>
      <c r="D6" s="81" t="s">
        <v>1253</v>
      </c>
      <c r="E6" s="84"/>
      <c r="F6" s="84"/>
      <c r="G6" s="84"/>
      <c r="H6" s="122" t="s">
        <v>1354</v>
      </c>
      <c r="I6" s="48" t="s">
        <v>29</v>
      </c>
      <c r="J6" s="48" t="s">
        <v>111</v>
      </c>
      <c r="K6" s="47" t="s">
        <v>1357</v>
      </c>
    </row>
    <row r="7" spans="1:11" ht="50.1" customHeight="1" thickBot="1" x14ac:dyDescent="0.35">
      <c r="A7" s="311"/>
      <c r="B7" s="85" t="s">
        <v>331</v>
      </c>
      <c r="C7" s="97" t="s">
        <v>338</v>
      </c>
      <c r="D7" s="97" t="s">
        <v>349</v>
      </c>
      <c r="E7" s="98"/>
      <c r="F7" s="98"/>
      <c r="G7" s="98"/>
      <c r="H7" s="123" t="s">
        <v>1355</v>
      </c>
      <c r="I7" s="57" t="s">
        <v>29</v>
      </c>
      <c r="J7" s="57" t="s">
        <v>111</v>
      </c>
      <c r="K7" s="210" t="s">
        <v>1356</v>
      </c>
    </row>
    <row r="8" spans="1:11" ht="50.1" customHeight="1" x14ac:dyDescent="0.3">
      <c r="A8" s="309" t="s">
        <v>351</v>
      </c>
      <c r="B8" s="78" t="s">
        <v>342</v>
      </c>
      <c r="C8" s="78" t="s">
        <v>343</v>
      </c>
      <c r="D8" s="78" t="s">
        <v>350</v>
      </c>
      <c r="E8" s="79" t="s">
        <v>356</v>
      </c>
      <c r="F8" s="80" t="s">
        <v>357</v>
      </c>
      <c r="G8" s="103" t="s">
        <v>341</v>
      </c>
      <c r="H8" s="209" t="s">
        <v>1358</v>
      </c>
      <c r="I8" s="52" t="s">
        <v>29</v>
      </c>
      <c r="J8" s="52" t="s">
        <v>111</v>
      </c>
      <c r="K8" s="209" t="s">
        <v>1273</v>
      </c>
    </row>
    <row r="9" spans="1:11" ht="50.1" customHeight="1" thickBot="1" x14ac:dyDescent="0.35">
      <c r="A9" s="311"/>
      <c r="B9" s="85" t="s">
        <v>342</v>
      </c>
      <c r="C9" s="97" t="s">
        <v>344</v>
      </c>
      <c r="D9" s="97" t="s">
        <v>348</v>
      </c>
      <c r="E9" s="98"/>
      <c r="F9" s="98"/>
      <c r="G9" s="98"/>
      <c r="H9" s="210" t="s">
        <v>1359</v>
      </c>
      <c r="I9" s="57" t="s">
        <v>29</v>
      </c>
      <c r="J9" s="57" t="s">
        <v>111</v>
      </c>
      <c r="K9" s="210" t="s">
        <v>1360</v>
      </c>
    </row>
    <row r="10" spans="1:11" ht="50.1" customHeight="1" x14ac:dyDescent="0.3">
      <c r="A10" s="318" t="s">
        <v>358</v>
      </c>
      <c r="B10" s="99" t="s">
        <v>352</v>
      </c>
      <c r="C10" s="87" t="s">
        <v>353</v>
      </c>
      <c r="D10" s="99" t="s">
        <v>359</v>
      </c>
      <c r="E10" s="100" t="s">
        <v>366</v>
      </c>
      <c r="F10" s="101" t="s">
        <v>367</v>
      </c>
      <c r="G10" s="102" t="s">
        <v>368</v>
      </c>
      <c r="H10" s="225" t="s">
        <v>1361</v>
      </c>
      <c r="I10" s="65" t="s">
        <v>29</v>
      </c>
      <c r="J10" s="65" t="s">
        <v>111</v>
      </c>
      <c r="K10" s="225" t="s">
        <v>1273</v>
      </c>
    </row>
    <row r="11" spans="1:11" ht="50.1" customHeight="1" x14ac:dyDescent="0.3">
      <c r="A11" s="318"/>
      <c r="B11" s="82" t="s">
        <v>352</v>
      </c>
      <c r="C11" s="82" t="s">
        <v>354</v>
      </c>
      <c r="D11" s="81" t="s">
        <v>360</v>
      </c>
      <c r="E11" s="84"/>
      <c r="F11" s="84"/>
      <c r="G11" s="84"/>
      <c r="H11" s="47" t="s">
        <v>1362</v>
      </c>
      <c r="I11" s="48" t="s">
        <v>29</v>
      </c>
      <c r="J11" s="48" t="s">
        <v>111</v>
      </c>
      <c r="K11" s="47" t="s">
        <v>1273</v>
      </c>
    </row>
    <row r="12" spans="1:11" ht="50.1" customHeight="1" thickBot="1" x14ac:dyDescent="0.35">
      <c r="A12" s="318"/>
      <c r="B12" s="92" t="s">
        <v>352</v>
      </c>
      <c r="C12" s="91" t="s">
        <v>355</v>
      </c>
      <c r="D12" s="92" t="s">
        <v>361</v>
      </c>
      <c r="E12" s="93"/>
      <c r="F12" s="93"/>
      <c r="G12" s="93"/>
      <c r="H12" s="227" t="s">
        <v>1363</v>
      </c>
      <c r="I12" s="69" t="s">
        <v>29</v>
      </c>
      <c r="J12" s="69" t="s">
        <v>111</v>
      </c>
      <c r="K12" s="227" t="s">
        <v>1273</v>
      </c>
    </row>
    <row r="13" spans="1:11" ht="50.1" customHeight="1" x14ac:dyDescent="0.3">
      <c r="A13" s="309" t="s">
        <v>369</v>
      </c>
      <c r="B13" s="78" t="s">
        <v>362</v>
      </c>
      <c r="C13" s="78" t="s">
        <v>363</v>
      </c>
      <c r="D13" s="78" t="s">
        <v>370</v>
      </c>
      <c r="E13" s="79" t="s">
        <v>373</v>
      </c>
      <c r="F13" s="80" t="s">
        <v>374</v>
      </c>
      <c r="G13" s="103" t="s">
        <v>375</v>
      </c>
      <c r="H13" s="209" t="s">
        <v>1364</v>
      </c>
      <c r="I13" s="52" t="s">
        <v>29</v>
      </c>
      <c r="J13" s="52" t="s">
        <v>111</v>
      </c>
      <c r="K13" s="209" t="s">
        <v>1273</v>
      </c>
    </row>
    <row r="14" spans="1:11" ht="50.1" customHeight="1" x14ac:dyDescent="0.3">
      <c r="A14" s="310"/>
      <c r="B14" s="108" t="s">
        <v>362</v>
      </c>
      <c r="C14" s="82" t="s">
        <v>364</v>
      </c>
      <c r="D14" s="108" t="s">
        <v>371</v>
      </c>
      <c r="E14" s="84"/>
      <c r="F14" s="84"/>
      <c r="G14" s="84"/>
      <c r="H14" s="47" t="s">
        <v>1365</v>
      </c>
      <c r="I14" s="48" t="s">
        <v>29</v>
      </c>
      <c r="J14" s="48" t="s">
        <v>111</v>
      </c>
      <c r="K14" s="47" t="s">
        <v>1367</v>
      </c>
    </row>
    <row r="15" spans="1:11" ht="50.1" customHeight="1" thickBot="1" x14ac:dyDescent="0.35">
      <c r="A15" s="310"/>
      <c r="B15" s="91" t="s">
        <v>362</v>
      </c>
      <c r="C15" s="91" t="s">
        <v>365</v>
      </c>
      <c r="D15" s="92" t="s">
        <v>372</v>
      </c>
      <c r="E15" s="93"/>
      <c r="F15" s="93"/>
      <c r="G15" s="93"/>
      <c r="H15" s="227" t="s">
        <v>1366</v>
      </c>
      <c r="I15" s="69" t="s">
        <v>29</v>
      </c>
      <c r="J15" s="69" t="s">
        <v>111</v>
      </c>
      <c r="K15" s="227" t="s">
        <v>1273</v>
      </c>
    </row>
    <row r="16" spans="1:11" ht="50.1" customHeight="1" x14ac:dyDescent="0.3">
      <c r="A16" s="316" t="s">
        <v>376</v>
      </c>
      <c r="B16" s="94" t="s">
        <v>377</v>
      </c>
      <c r="C16" s="78" t="s">
        <v>378</v>
      </c>
      <c r="D16" s="94" t="s">
        <v>380</v>
      </c>
      <c r="E16" s="95" t="s">
        <v>382</v>
      </c>
      <c r="F16" s="96" t="s">
        <v>383</v>
      </c>
      <c r="G16" s="105" t="s">
        <v>384</v>
      </c>
      <c r="H16" s="209" t="s">
        <v>1375</v>
      </c>
      <c r="I16" s="52" t="s">
        <v>29</v>
      </c>
      <c r="J16" s="52" t="s">
        <v>111</v>
      </c>
      <c r="K16" s="209" t="s">
        <v>1273</v>
      </c>
    </row>
    <row r="17" spans="1:11" ht="50.1" customHeight="1" thickBot="1" x14ac:dyDescent="0.35">
      <c r="A17" s="317"/>
      <c r="B17" s="97" t="s">
        <v>377</v>
      </c>
      <c r="C17" s="97" t="s">
        <v>379</v>
      </c>
      <c r="D17" s="85" t="s">
        <v>381</v>
      </c>
      <c r="E17" s="86"/>
      <c r="F17" s="86"/>
      <c r="G17" s="86"/>
      <c r="H17" s="210" t="s">
        <v>1376</v>
      </c>
      <c r="I17" s="57" t="s">
        <v>29</v>
      </c>
      <c r="J17" s="57" t="s">
        <v>111</v>
      </c>
      <c r="K17" s="210" t="s">
        <v>1385</v>
      </c>
    </row>
    <row r="18" spans="1:11" ht="50.1" customHeight="1" x14ac:dyDescent="0.3">
      <c r="A18" s="315" t="s">
        <v>385</v>
      </c>
      <c r="B18" s="99" t="s">
        <v>386</v>
      </c>
      <c r="C18" s="87" t="s">
        <v>387</v>
      </c>
      <c r="D18" s="99" t="s">
        <v>389</v>
      </c>
      <c r="E18" s="100" t="s">
        <v>391</v>
      </c>
      <c r="F18" s="101" t="s">
        <v>392</v>
      </c>
      <c r="G18" s="102" t="s">
        <v>393</v>
      </c>
      <c r="H18" s="225" t="s">
        <v>1377</v>
      </c>
      <c r="I18" s="65" t="s">
        <v>29</v>
      </c>
      <c r="J18" s="65" t="s">
        <v>111</v>
      </c>
      <c r="K18" s="225" t="s">
        <v>1273</v>
      </c>
    </row>
    <row r="19" spans="1:11" ht="50.1" customHeight="1" thickBot="1" x14ac:dyDescent="0.35">
      <c r="A19" s="315"/>
      <c r="B19" s="92" t="s">
        <v>386</v>
      </c>
      <c r="C19" s="92" t="s">
        <v>388</v>
      </c>
      <c r="D19" s="91" t="s">
        <v>390</v>
      </c>
      <c r="E19" s="104"/>
      <c r="F19" s="104"/>
      <c r="G19" s="104"/>
      <c r="H19" s="227" t="s">
        <v>1377</v>
      </c>
      <c r="I19" s="69" t="s">
        <v>29</v>
      </c>
      <c r="J19" s="69" t="s">
        <v>111</v>
      </c>
      <c r="K19" s="227" t="s">
        <v>1386</v>
      </c>
    </row>
    <row r="20" spans="1:11" ht="50.1" customHeight="1" x14ac:dyDescent="0.3">
      <c r="A20" s="309" t="s">
        <v>398</v>
      </c>
      <c r="B20" s="78" t="s">
        <v>394</v>
      </c>
      <c r="C20" s="78" t="s">
        <v>395</v>
      </c>
      <c r="D20" s="78" t="s">
        <v>399</v>
      </c>
      <c r="E20" s="79" t="s">
        <v>402</v>
      </c>
      <c r="F20" s="80" t="s">
        <v>403</v>
      </c>
      <c r="G20" s="105" t="s">
        <v>404</v>
      </c>
      <c r="H20" s="209" t="s">
        <v>1378</v>
      </c>
      <c r="I20" s="52" t="s">
        <v>29</v>
      </c>
      <c r="J20" s="52" t="s">
        <v>111</v>
      </c>
      <c r="K20" s="209" t="s">
        <v>1387</v>
      </c>
    </row>
    <row r="21" spans="1:11" ht="50.1" customHeight="1" x14ac:dyDescent="0.3">
      <c r="A21" s="310"/>
      <c r="B21" s="81" t="s">
        <v>394</v>
      </c>
      <c r="C21" s="81" t="s">
        <v>396</v>
      </c>
      <c r="D21" s="82" t="s">
        <v>400</v>
      </c>
      <c r="E21" s="83"/>
      <c r="F21" s="83"/>
      <c r="G21" s="83"/>
      <c r="H21" s="47" t="s">
        <v>1379</v>
      </c>
      <c r="I21" s="48" t="s">
        <v>29</v>
      </c>
      <c r="J21" s="48" t="s">
        <v>111</v>
      </c>
      <c r="K21" s="47" t="s">
        <v>1388</v>
      </c>
    </row>
    <row r="22" spans="1:11" ht="50.1" customHeight="1" thickBot="1" x14ac:dyDescent="0.35">
      <c r="A22" s="311"/>
      <c r="B22" s="85" t="s">
        <v>394</v>
      </c>
      <c r="C22" s="97" t="s">
        <v>397</v>
      </c>
      <c r="D22" s="85" t="s">
        <v>401</v>
      </c>
      <c r="E22" s="86"/>
      <c r="F22" s="86"/>
      <c r="G22" s="86"/>
      <c r="H22" s="210" t="s">
        <v>1380</v>
      </c>
      <c r="I22" s="57" t="s">
        <v>29</v>
      </c>
      <c r="J22" s="57" t="s">
        <v>111</v>
      </c>
      <c r="K22" s="210" t="s">
        <v>1273</v>
      </c>
    </row>
    <row r="23" spans="1:11" ht="50.1" customHeight="1" x14ac:dyDescent="0.3">
      <c r="A23" s="315" t="s">
        <v>405</v>
      </c>
      <c r="B23" s="99" t="s">
        <v>406</v>
      </c>
      <c r="C23" s="87" t="s">
        <v>407</v>
      </c>
      <c r="D23" s="99" t="s">
        <v>413</v>
      </c>
      <c r="E23" s="100" t="s">
        <v>419</v>
      </c>
      <c r="F23" s="101" t="s">
        <v>374</v>
      </c>
      <c r="G23" s="102" t="s">
        <v>420</v>
      </c>
      <c r="H23" s="225" t="s">
        <v>1381</v>
      </c>
      <c r="I23" s="65" t="s">
        <v>29</v>
      </c>
      <c r="J23" s="65" t="s">
        <v>111</v>
      </c>
      <c r="K23" s="225" t="s">
        <v>1273</v>
      </c>
    </row>
    <row r="24" spans="1:11" ht="50.1" customHeight="1" x14ac:dyDescent="0.3">
      <c r="A24" s="315"/>
      <c r="B24" s="82" t="s">
        <v>406</v>
      </c>
      <c r="C24" s="82" t="s">
        <v>408</v>
      </c>
      <c r="D24" s="82" t="s">
        <v>414</v>
      </c>
      <c r="E24" s="84"/>
      <c r="F24" s="84"/>
      <c r="G24" s="84"/>
      <c r="H24" s="319" t="s">
        <v>1382</v>
      </c>
      <c r="I24" s="48" t="s">
        <v>29</v>
      </c>
      <c r="J24" s="48" t="s">
        <v>111</v>
      </c>
      <c r="K24" s="319" t="s">
        <v>1273</v>
      </c>
    </row>
    <row r="25" spans="1:11" ht="50.1" customHeight="1" x14ac:dyDescent="0.3">
      <c r="A25" s="315"/>
      <c r="B25" s="82" t="s">
        <v>406</v>
      </c>
      <c r="C25" s="81" t="s">
        <v>409</v>
      </c>
      <c r="D25" s="82" t="s">
        <v>415</v>
      </c>
      <c r="E25" s="84"/>
      <c r="F25" s="84"/>
      <c r="G25" s="84"/>
      <c r="H25" s="320"/>
      <c r="I25" s="48" t="s">
        <v>29</v>
      </c>
      <c r="J25" s="48" t="s">
        <v>111</v>
      </c>
      <c r="K25" s="320"/>
    </row>
    <row r="26" spans="1:11" ht="50.1" customHeight="1" x14ac:dyDescent="0.3">
      <c r="A26" s="315"/>
      <c r="B26" s="82" t="s">
        <v>406</v>
      </c>
      <c r="C26" s="82" t="s">
        <v>410</v>
      </c>
      <c r="D26" s="82" t="s">
        <v>416</v>
      </c>
      <c r="E26" s="84"/>
      <c r="F26" s="84"/>
      <c r="G26" s="84"/>
      <c r="H26" s="319" t="s">
        <v>1383</v>
      </c>
      <c r="I26" s="48" t="s">
        <v>29</v>
      </c>
      <c r="J26" s="48" t="s">
        <v>111</v>
      </c>
      <c r="K26" s="319" t="s">
        <v>1273</v>
      </c>
    </row>
    <row r="27" spans="1:11" ht="50.1" customHeight="1" x14ac:dyDescent="0.3">
      <c r="A27" s="315"/>
      <c r="B27" s="82" t="s">
        <v>406</v>
      </c>
      <c r="C27" s="81" t="s">
        <v>411</v>
      </c>
      <c r="D27" s="82" t="s">
        <v>417</v>
      </c>
      <c r="E27" s="84"/>
      <c r="F27" s="84"/>
      <c r="G27" s="84"/>
      <c r="H27" s="308"/>
      <c r="I27" s="48" t="s">
        <v>29</v>
      </c>
      <c r="J27" s="48" t="s">
        <v>111</v>
      </c>
      <c r="K27" s="308"/>
    </row>
    <row r="28" spans="1:11" ht="50.1" customHeight="1" thickBot="1" x14ac:dyDescent="0.35">
      <c r="A28" s="315"/>
      <c r="B28" s="92" t="s">
        <v>406</v>
      </c>
      <c r="C28" s="92" t="s">
        <v>412</v>
      </c>
      <c r="D28" s="91" t="s">
        <v>418</v>
      </c>
      <c r="E28" s="104"/>
      <c r="F28" s="104"/>
      <c r="G28" s="104"/>
      <c r="H28" s="307"/>
      <c r="I28" s="69" t="s">
        <v>29</v>
      </c>
      <c r="J28" s="69" t="s">
        <v>111</v>
      </c>
      <c r="K28" s="307"/>
    </row>
    <row r="29" spans="1:11" ht="50.1" customHeight="1" x14ac:dyDescent="0.3">
      <c r="A29" s="316" t="s">
        <v>421</v>
      </c>
      <c r="B29" s="94" t="s">
        <v>422</v>
      </c>
      <c r="C29" s="78" t="s">
        <v>423</v>
      </c>
      <c r="D29" s="78" t="s">
        <v>425</v>
      </c>
      <c r="E29" s="95" t="s">
        <v>427</v>
      </c>
      <c r="F29" s="96" t="s">
        <v>374</v>
      </c>
      <c r="G29" s="105" t="s">
        <v>428</v>
      </c>
      <c r="H29" s="306" t="s">
        <v>1384</v>
      </c>
      <c r="I29" s="52" t="s">
        <v>29</v>
      </c>
      <c r="J29" s="52" t="s">
        <v>111</v>
      </c>
      <c r="K29" s="306" t="s">
        <v>1273</v>
      </c>
    </row>
    <row r="30" spans="1:11" ht="50.1" customHeight="1" thickBot="1" x14ac:dyDescent="0.35">
      <c r="A30" s="317"/>
      <c r="B30" s="97" t="s">
        <v>422</v>
      </c>
      <c r="C30" s="97" t="s">
        <v>424</v>
      </c>
      <c r="D30" s="97" t="s">
        <v>426</v>
      </c>
      <c r="E30" s="86"/>
      <c r="F30" s="86"/>
      <c r="G30" s="86"/>
      <c r="H30" s="307"/>
      <c r="I30" s="57" t="s">
        <v>29</v>
      </c>
      <c r="J30" s="57" t="s">
        <v>111</v>
      </c>
      <c r="K30" s="307"/>
    </row>
    <row r="31" spans="1:11" ht="50.1" customHeight="1" x14ac:dyDescent="0.3">
      <c r="A31" s="12"/>
      <c r="B31" s="106"/>
      <c r="C31" s="106"/>
      <c r="D31" s="106"/>
      <c r="E31" s="106"/>
      <c r="F31" s="107"/>
      <c r="G31" s="107"/>
    </row>
    <row r="32" spans="1:11" ht="50.1" customHeight="1" x14ac:dyDescent="0.3">
      <c r="A32" s="13"/>
      <c r="B32" s="106"/>
      <c r="C32" s="106"/>
      <c r="D32" s="106"/>
      <c r="E32" s="106"/>
      <c r="F32" s="106"/>
      <c r="G32" s="106"/>
    </row>
    <row r="33" spans="1:7" ht="50.1" customHeight="1" x14ac:dyDescent="0.3">
      <c r="A33" s="12"/>
      <c r="B33" s="106"/>
      <c r="C33" s="106"/>
      <c r="D33" s="106"/>
      <c r="E33" s="106"/>
      <c r="F33" s="106"/>
      <c r="G33" s="106"/>
    </row>
    <row r="34" spans="1:7" ht="50.1" customHeight="1" x14ac:dyDescent="0.3">
      <c r="A34" s="12"/>
      <c r="B34" s="106"/>
      <c r="C34" s="106"/>
      <c r="D34" s="106"/>
      <c r="E34" s="106"/>
      <c r="F34" s="107"/>
      <c r="G34" s="107"/>
    </row>
    <row r="35" spans="1:7" ht="50.1" customHeight="1" x14ac:dyDescent="0.3">
      <c r="A35" s="12"/>
      <c r="B35" s="106"/>
      <c r="C35" s="106"/>
      <c r="D35" s="106"/>
      <c r="E35" s="106"/>
      <c r="F35" s="106"/>
      <c r="G35" s="106"/>
    </row>
    <row r="36" spans="1:7" ht="50.1" customHeight="1" x14ac:dyDescent="0.3">
      <c r="A36" s="12"/>
      <c r="B36" s="106"/>
      <c r="C36" s="106"/>
      <c r="D36" s="106"/>
      <c r="E36" s="106"/>
      <c r="F36" s="107"/>
      <c r="G36" s="107"/>
    </row>
    <row r="37" spans="1:7" ht="50.1" customHeight="1" x14ac:dyDescent="0.3">
      <c r="A37" s="12"/>
      <c r="B37" s="106"/>
      <c r="C37" s="106"/>
      <c r="D37" s="106"/>
      <c r="E37" s="106"/>
      <c r="F37" s="107"/>
      <c r="G37" s="107"/>
    </row>
    <row r="38" spans="1:7" ht="50.1" customHeight="1" x14ac:dyDescent="0.3">
      <c r="A38" s="13"/>
      <c r="B38" s="106"/>
      <c r="C38" s="106"/>
      <c r="D38" s="106"/>
      <c r="E38" s="106"/>
      <c r="F38" s="106"/>
      <c r="G38" s="106"/>
    </row>
    <row r="39" spans="1:7" ht="50.1" customHeight="1" x14ac:dyDescent="0.3">
      <c r="A39" s="12"/>
      <c r="B39" s="106"/>
      <c r="C39" s="106"/>
      <c r="D39" s="106"/>
      <c r="E39" s="106"/>
      <c r="F39" s="106"/>
      <c r="G39" s="106"/>
    </row>
    <row r="40" spans="1:7" ht="50.1" customHeight="1" x14ac:dyDescent="0.3">
      <c r="A40" s="12"/>
      <c r="B40" s="106"/>
      <c r="C40" s="106"/>
      <c r="D40" s="106"/>
      <c r="E40" s="106"/>
      <c r="F40" s="107"/>
      <c r="G40" s="107"/>
    </row>
    <row r="41" spans="1:7" ht="50.1" customHeight="1" x14ac:dyDescent="0.3">
      <c r="A41" s="12"/>
      <c r="B41" s="106"/>
      <c r="C41" s="106"/>
      <c r="D41" s="106"/>
      <c r="E41" s="106"/>
      <c r="F41" s="107"/>
      <c r="G41" s="107"/>
    </row>
    <row r="42" spans="1:7" ht="50.1" customHeight="1" x14ac:dyDescent="0.3">
      <c r="A42" s="12"/>
      <c r="B42" s="106"/>
      <c r="C42" s="106"/>
      <c r="D42" s="106"/>
      <c r="E42" s="106"/>
      <c r="F42" s="107"/>
      <c r="G42" s="107"/>
    </row>
    <row r="43" spans="1:7" ht="50.1" customHeight="1" x14ac:dyDescent="0.3">
      <c r="A43" s="12"/>
      <c r="B43" s="106"/>
      <c r="C43" s="106"/>
      <c r="D43" s="106"/>
      <c r="E43" s="106"/>
      <c r="F43" s="107"/>
      <c r="G43" s="107"/>
    </row>
    <row r="44" spans="1:7" ht="50.1" customHeight="1" x14ac:dyDescent="0.3">
      <c r="A44" s="12"/>
      <c r="B44" s="106"/>
      <c r="C44" s="106"/>
      <c r="D44" s="106"/>
      <c r="E44" s="106"/>
      <c r="F44" s="107"/>
      <c r="G44" s="107"/>
    </row>
    <row r="45" spans="1:7" ht="50.1" customHeight="1" x14ac:dyDescent="0.3">
      <c r="A45" s="12"/>
      <c r="B45" s="106"/>
      <c r="C45" s="106"/>
      <c r="D45" s="106"/>
      <c r="E45" s="106"/>
      <c r="F45" s="107"/>
      <c r="G45" s="107"/>
    </row>
    <row r="46" spans="1:7" ht="50.1" customHeight="1" x14ac:dyDescent="0.3">
      <c r="A46" s="12"/>
      <c r="B46" s="106"/>
      <c r="C46" s="106"/>
      <c r="D46" s="106"/>
      <c r="E46" s="106"/>
      <c r="F46" s="107"/>
      <c r="G46" s="107"/>
    </row>
    <row r="47" spans="1:7" ht="50.1" customHeight="1" x14ac:dyDescent="0.3">
      <c r="A47" s="12"/>
      <c r="B47" s="106"/>
      <c r="C47" s="106"/>
      <c r="D47" s="106"/>
      <c r="E47" s="106"/>
      <c r="F47" s="107"/>
      <c r="G47" s="107"/>
    </row>
    <row r="48" spans="1:7" ht="50.1" customHeight="1" x14ac:dyDescent="0.3">
      <c r="A48" s="12"/>
      <c r="B48" s="106"/>
      <c r="C48" s="106"/>
      <c r="D48" s="106"/>
      <c r="E48" s="106"/>
      <c r="F48" s="106"/>
      <c r="G48" s="106"/>
    </row>
    <row r="49" spans="1:7" ht="50.1" customHeight="1" x14ac:dyDescent="0.3">
      <c r="A49" s="12"/>
      <c r="B49" s="106"/>
      <c r="C49" s="106"/>
      <c r="D49" s="106"/>
      <c r="E49" s="106"/>
      <c r="F49" s="107"/>
      <c r="G49" s="107"/>
    </row>
    <row r="50" spans="1:7" ht="50.1" customHeight="1" x14ac:dyDescent="0.3">
      <c r="A50" s="12"/>
      <c r="B50" s="106"/>
      <c r="C50" s="106"/>
      <c r="D50" s="106"/>
      <c r="E50" s="106"/>
      <c r="F50" s="106"/>
      <c r="G50" s="106"/>
    </row>
    <row r="51" spans="1:7" ht="50.1" customHeight="1" x14ac:dyDescent="0.3">
      <c r="A51" s="12"/>
      <c r="B51" s="106"/>
      <c r="C51" s="106"/>
      <c r="D51" s="106"/>
      <c r="E51" s="106"/>
      <c r="F51" s="107"/>
      <c r="G51" s="107"/>
    </row>
    <row r="52" spans="1:7" ht="50.1" customHeight="1" x14ac:dyDescent="0.3">
      <c r="A52" s="12"/>
      <c r="B52" s="106"/>
      <c r="C52" s="106"/>
      <c r="D52" s="106"/>
      <c r="E52" s="106"/>
      <c r="F52" s="106"/>
      <c r="G52" s="106"/>
    </row>
    <row r="53" spans="1:7" ht="50.1" customHeight="1" x14ac:dyDescent="0.3">
      <c r="A53" s="12"/>
      <c r="B53" s="106"/>
      <c r="C53" s="106"/>
      <c r="D53" s="106"/>
      <c r="E53" s="106"/>
      <c r="F53" s="107"/>
      <c r="G53" s="107"/>
    </row>
    <row r="54" spans="1:7" ht="50.1" customHeight="1" x14ac:dyDescent="0.3">
      <c r="A54" s="12"/>
      <c r="B54" s="106"/>
      <c r="C54" s="106"/>
      <c r="D54" s="106"/>
      <c r="E54" s="106"/>
      <c r="F54" s="107"/>
      <c r="G54" s="107"/>
    </row>
    <row r="55" spans="1:7" ht="50.1" customHeight="1" x14ac:dyDescent="0.3">
      <c r="A55" s="12"/>
      <c r="B55" s="106"/>
      <c r="C55" s="106"/>
      <c r="D55" s="106"/>
      <c r="E55" s="106"/>
      <c r="F55" s="107"/>
      <c r="G55" s="107"/>
    </row>
    <row r="56" spans="1:7" ht="50.1" customHeight="1" x14ac:dyDescent="0.3">
      <c r="A56" s="13"/>
      <c r="B56" s="106"/>
      <c r="C56" s="106"/>
      <c r="D56" s="106"/>
      <c r="E56" s="106"/>
      <c r="F56" s="106"/>
      <c r="G56" s="106"/>
    </row>
    <row r="57" spans="1:7" ht="50.1" customHeight="1" x14ac:dyDescent="0.3">
      <c r="A57" s="13"/>
      <c r="B57" s="106"/>
      <c r="C57" s="106"/>
      <c r="D57" s="106"/>
      <c r="E57" s="106"/>
      <c r="F57" s="106"/>
      <c r="G57" s="106"/>
    </row>
    <row r="58" spans="1:7" ht="50.1" customHeight="1" x14ac:dyDescent="0.3">
      <c r="A58" s="12"/>
      <c r="B58" s="106"/>
      <c r="C58" s="106"/>
      <c r="D58" s="106"/>
      <c r="E58" s="106"/>
      <c r="F58" s="106"/>
      <c r="G58" s="106"/>
    </row>
    <row r="59" spans="1:7" ht="50.1" customHeight="1" x14ac:dyDescent="0.3">
      <c r="A59" s="12"/>
      <c r="B59" s="106"/>
      <c r="C59" s="106"/>
      <c r="D59" s="106"/>
      <c r="E59" s="106"/>
      <c r="F59" s="107"/>
      <c r="G59" s="107"/>
    </row>
    <row r="60" spans="1:7" ht="50.1" customHeight="1" x14ac:dyDescent="0.3">
      <c r="A60" s="12"/>
      <c r="B60" s="106"/>
      <c r="C60" s="106"/>
      <c r="D60" s="106"/>
      <c r="E60" s="106"/>
      <c r="F60" s="107"/>
      <c r="G60" s="107"/>
    </row>
    <row r="61" spans="1:7" ht="50.1" customHeight="1" x14ac:dyDescent="0.3">
      <c r="A61" s="12"/>
      <c r="B61" s="106"/>
      <c r="C61" s="106"/>
      <c r="D61" s="106"/>
      <c r="E61" s="106"/>
      <c r="F61" s="107"/>
      <c r="G61" s="107"/>
    </row>
    <row r="62" spans="1:7" ht="50.1" customHeight="1" x14ac:dyDescent="0.3">
      <c r="A62" s="12"/>
      <c r="B62" s="106"/>
      <c r="C62" s="106"/>
      <c r="D62" s="106"/>
      <c r="E62" s="106"/>
      <c r="F62" s="107"/>
      <c r="G62" s="107"/>
    </row>
    <row r="63" spans="1:7" ht="50.1" customHeight="1" x14ac:dyDescent="0.3">
      <c r="A63" s="12"/>
      <c r="B63" s="106"/>
      <c r="C63" s="106"/>
      <c r="D63" s="106"/>
      <c r="E63" s="106"/>
      <c r="F63" s="107"/>
      <c r="G63" s="107"/>
    </row>
    <row r="64" spans="1:7" ht="50.1" customHeight="1" x14ac:dyDescent="0.3">
      <c r="A64" s="12"/>
      <c r="B64" s="106"/>
      <c r="C64" s="106"/>
      <c r="D64" s="106"/>
      <c r="E64" s="106"/>
      <c r="F64" s="107"/>
      <c r="G64" s="107"/>
    </row>
    <row r="65" spans="1:7" ht="50.1" customHeight="1" x14ac:dyDescent="0.3">
      <c r="A65" s="12"/>
      <c r="B65" s="106"/>
      <c r="C65" s="106"/>
      <c r="D65" s="106"/>
      <c r="E65" s="106"/>
      <c r="F65" s="107"/>
      <c r="G65" s="107"/>
    </row>
    <row r="66" spans="1:7" ht="50.1" customHeight="1" x14ac:dyDescent="0.3">
      <c r="A66" s="12"/>
      <c r="B66" s="106"/>
      <c r="C66" s="106"/>
      <c r="D66" s="106"/>
      <c r="E66" s="106"/>
      <c r="F66" s="106"/>
      <c r="G66" s="106"/>
    </row>
    <row r="67" spans="1:7" ht="50.1" customHeight="1" x14ac:dyDescent="0.3">
      <c r="A67" s="12"/>
      <c r="B67" s="106"/>
      <c r="C67" s="106"/>
      <c r="D67" s="106"/>
      <c r="E67" s="106"/>
      <c r="F67" s="107"/>
      <c r="G67" s="107"/>
    </row>
    <row r="68" spans="1:7" ht="50.1" customHeight="1" x14ac:dyDescent="0.3">
      <c r="A68" s="12"/>
      <c r="B68" s="106"/>
      <c r="C68" s="106"/>
      <c r="D68" s="106"/>
      <c r="E68" s="106"/>
      <c r="F68" s="107"/>
      <c r="G68" s="107"/>
    </row>
    <row r="69" spans="1:7" ht="50.1" customHeight="1" x14ac:dyDescent="0.3">
      <c r="A69" s="12"/>
      <c r="B69" s="106"/>
      <c r="C69" s="106"/>
      <c r="D69" s="106"/>
      <c r="E69" s="106"/>
      <c r="F69" s="107"/>
      <c r="G69" s="107"/>
    </row>
    <row r="70" spans="1:7" ht="50.1" customHeight="1" x14ac:dyDescent="0.3">
      <c r="A70" s="12"/>
      <c r="B70" s="106"/>
      <c r="C70" s="106"/>
      <c r="D70" s="106"/>
      <c r="E70" s="106"/>
      <c r="F70" s="107"/>
      <c r="G70" s="107"/>
    </row>
    <row r="71" spans="1:7" ht="50.1" customHeight="1" x14ac:dyDescent="0.3">
      <c r="A71" s="12"/>
      <c r="B71" s="106"/>
      <c r="C71" s="106"/>
      <c r="D71" s="106"/>
      <c r="E71" s="106"/>
      <c r="F71" s="107"/>
      <c r="G71" s="107"/>
    </row>
    <row r="72" spans="1:7" ht="50.1" customHeight="1" x14ac:dyDescent="0.3">
      <c r="A72" s="12"/>
      <c r="B72" s="106"/>
      <c r="C72" s="106"/>
      <c r="D72" s="106"/>
      <c r="E72" s="106"/>
      <c r="F72" s="107"/>
      <c r="G72" s="107"/>
    </row>
    <row r="73" spans="1:7" ht="50.1" customHeight="1" x14ac:dyDescent="0.3">
      <c r="A73" s="12"/>
      <c r="B73" s="106"/>
      <c r="C73" s="106"/>
      <c r="D73" s="106"/>
      <c r="E73" s="106"/>
      <c r="F73" s="107"/>
      <c r="G73" s="107"/>
    </row>
    <row r="74" spans="1:7" ht="50.1" customHeight="1" x14ac:dyDescent="0.3">
      <c r="A74" s="12"/>
      <c r="B74" s="106"/>
      <c r="C74" s="106"/>
      <c r="D74" s="106"/>
      <c r="E74" s="106"/>
      <c r="F74" s="107"/>
      <c r="G74" s="107"/>
    </row>
    <row r="75" spans="1:7" ht="50.1" customHeight="1" x14ac:dyDescent="0.3">
      <c r="A75" s="12"/>
      <c r="B75" s="106"/>
      <c r="C75" s="106"/>
      <c r="D75" s="106"/>
      <c r="E75" s="106"/>
      <c r="F75" s="107"/>
      <c r="G75" s="107"/>
    </row>
    <row r="76" spans="1:7" ht="50.1" customHeight="1" x14ac:dyDescent="0.3">
      <c r="A76" s="12"/>
      <c r="B76" s="106"/>
      <c r="C76" s="106"/>
      <c r="D76" s="106"/>
      <c r="E76" s="106"/>
      <c r="F76" s="107"/>
      <c r="G76" s="107"/>
    </row>
    <row r="77" spans="1:7" ht="50.1" customHeight="1" x14ac:dyDescent="0.3">
      <c r="A77" s="12"/>
      <c r="B77" s="106"/>
      <c r="C77" s="106"/>
      <c r="D77" s="106"/>
      <c r="E77" s="106"/>
      <c r="F77" s="106"/>
      <c r="G77" s="106"/>
    </row>
    <row r="78" spans="1:7" ht="50.1" customHeight="1" x14ac:dyDescent="0.3">
      <c r="A78" s="12"/>
      <c r="B78" s="106"/>
      <c r="C78" s="106"/>
      <c r="D78" s="106"/>
      <c r="E78" s="106"/>
      <c r="F78" s="107"/>
      <c r="G78" s="107"/>
    </row>
    <row r="79" spans="1:7" ht="50.1" customHeight="1" x14ac:dyDescent="0.3">
      <c r="A79" s="12"/>
      <c r="B79" s="106"/>
      <c r="C79" s="106"/>
      <c r="D79" s="106"/>
      <c r="E79" s="106"/>
      <c r="F79" s="107"/>
      <c r="G79" s="107"/>
    </row>
    <row r="80" spans="1:7" ht="50.1" customHeight="1" x14ac:dyDescent="0.3">
      <c r="A80" s="12"/>
      <c r="B80" s="106"/>
      <c r="C80" s="106"/>
      <c r="D80" s="106"/>
      <c r="E80" s="106"/>
      <c r="F80" s="107"/>
      <c r="G80" s="107"/>
    </row>
    <row r="81" spans="1:7" ht="50.1" customHeight="1" x14ac:dyDescent="0.3">
      <c r="A81" s="13"/>
      <c r="B81" s="106"/>
      <c r="C81" s="106"/>
      <c r="D81" s="106"/>
      <c r="E81" s="106"/>
      <c r="F81" s="106"/>
      <c r="G81" s="106"/>
    </row>
    <row r="82" spans="1:7" ht="50.1" customHeight="1" x14ac:dyDescent="0.3">
      <c r="A82" s="12"/>
      <c r="B82" s="106"/>
      <c r="C82" s="106"/>
      <c r="D82" s="106"/>
      <c r="E82" s="106"/>
      <c r="F82" s="106"/>
      <c r="G82" s="106"/>
    </row>
    <row r="83" spans="1:7" ht="50.1" customHeight="1" x14ac:dyDescent="0.3">
      <c r="A83" s="12"/>
      <c r="B83" s="106"/>
      <c r="C83" s="106"/>
      <c r="D83" s="106"/>
      <c r="E83" s="106"/>
      <c r="F83" s="107"/>
      <c r="G83" s="107"/>
    </row>
    <row r="84" spans="1:7" ht="50.1" customHeight="1" x14ac:dyDescent="0.3">
      <c r="A84" s="12"/>
      <c r="B84" s="106"/>
      <c r="C84" s="106"/>
      <c r="D84" s="106"/>
      <c r="E84" s="106"/>
      <c r="F84" s="106"/>
      <c r="G84" s="107"/>
    </row>
    <row r="85" spans="1:7" ht="50.1" customHeight="1" x14ac:dyDescent="0.3">
      <c r="A85" s="12"/>
      <c r="B85" s="106"/>
      <c r="C85" s="106"/>
      <c r="D85" s="106"/>
      <c r="E85" s="106"/>
      <c r="F85" s="107"/>
      <c r="G85" s="107"/>
    </row>
    <row r="86" spans="1:7" ht="50.1" customHeight="1" x14ac:dyDescent="0.3">
      <c r="A86" s="12"/>
      <c r="B86" s="106"/>
      <c r="C86" s="106"/>
      <c r="D86" s="106"/>
      <c r="E86" s="106"/>
      <c r="F86" s="107"/>
      <c r="G86" s="107"/>
    </row>
    <row r="87" spans="1:7" ht="50.1" customHeight="1" x14ac:dyDescent="0.3">
      <c r="A87" s="12"/>
      <c r="B87" s="106"/>
      <c r="C87" s="106"/>
      <c r="D87" s="106"/>
      <c r="E87" s="106"/>
      <c r="F87" s="107"/>
      <c r="G87" s="107"/>
    </row>
    <row r="88" spans="1:7" ht="50.1" customHeight="1" x14ac:dyDescent="0.3">
      <c r="A88" s="12"/>
      <c r="B88" s="106"/>
      <c r="C88" s="106"/>
      <c r="D88" s="106"/>
      <c r="E88" s="106"/>
      <c r="F88" s="106"/>
      <c r="G88" s="106"/>
    </row>
    <row r="89" spans="1:7" ht="50.1" customHeight="1" x14ac:dyDescent="0.3">
      <c r="A89" s="12"/>
      <c r="B89" s="106"/>
      <c r="C89" s="106"/>
      <c r="D89" s="106"/>
      <c r="E89" s="106"/>
      <c r="F89" s="107"/>
      <c r="G89" s="107"/>
    </row>
    <row r="90" spans="1:7" ht="50.1" customHeight="1" x14ac:dyDescent="0.3">
      <c r="A90" s="12"/>
      <c r="B90" s="106"/>
      <c r="C90" s="106"/>
      <c r="D90" s="106"/>
      <c r="E90" s="106"/>
      <c r="F90" s="107"/>
      <c r="G90" s="107"/>
    </row>
    <row r="91" spans="1:7" ht="50.1" customHeight="1" x14ac:dyDescent="0.3">
      <c r="A91" s="12"/>
      <c r="B91" s="106"/>
      <c r="C91" s="106"/>
      <c r="D91" s="106"/>
      <c r="E91" s="106"/>
      <c r="F91" s="107"/>
      <c r="G91" s="107"/>
    </row>
    <row r="92" spans="1:7" ht="50.1" customHeight="1" x14ac:dyDescent="0.3">
      <c r="A92" s="12"/>
      <c r="B92" s="106"/>
      <c r="C92" s="106"/>
      <c r="D92" s="106"/>
      <c r="E92" s="106"/>
      <c r="F92" s="106"/>
      <c r="G92" s="106"/>
    </row>
    <row r="93" spans="1:7" ht="50.1" customHeight="1" x14ac:dyDescent="0.3">
      <c r="A93" s="12"/>
      <c r="B93" s="106"/>
      <c r="C93" s="106"/>
      <c r="D93" s="106"/>
      <c r="E93" s="106"/>
      <c r="F93" s="107"/>
      <c r="G93" s="107"/>
    </row>
    <row r="94" spans="1:7" ht="50.1" customHeight="1" x14ac:dyDescent="0.3">
      <c r="A94" s="12"/>
      <c r="B94" s="106"/>
      <c r="C94" s="106"/>
      <c r="D94" s="106"/>
      <c r="E94" s="106"/>
      <c r="F94" s="106"/>
      <c r="G94" s="106"/>
    </row>
    <row r="95" spans="1:7" ht="50.1" customHeight="1" x14ac:dyDescent="0.3">
      <c r="A95" s="12"/>
      <c r="B95" s="106"/>
      <c r="C95" s="106"/>
      <c r="D95" s="106"/>
      <c r="E95" s="106"/>
      <c r="F95" s="106"/>
      <c r="G95" s="106"/>
    </row>
    <row r="96" spans="1:7" ht="50.1" customHeight="1" x14ac:dyDescent="0.3">
      <c r="A96" s="12"/>
      <c r="B96" s="106"/>
      <c r="C96" s="106"/>
      <c r="D96" s="106"/>
      <c r="E96" s="106"/>
      <c r="F96" s="106"/>
      <c r="G96" s="106"/>
    </row>
    <row r="97" spans="1:7" ht="50.1" customHeight="1" x14ac:dyDescent="0.3">
      <c r="A97" s="12"/>
      <c r="B97" s="106"/>
      <c r="C97" s="106"/>
      <c r="D97" s="106"/>
      <c r="E97" s="106"/>
      <c r="F97" s="107"/>
      <c r="G97" s="107"/>
    </row>
    <row r="98" spans="1:7" ht="50.1" customHeight="1" x14ac:dyDescent="0.3">
      <c r="A98" s="12"/>
      <c r="B98" s="106"/>
      <c r="C98" s="106"/>
      <c r="D98" s="106"/>
      <c r="E98" s="106"/>
      <c r="F98" s="107"/>
      <c r="G98" s="107"/>
    </row>
    <row r="99" spans="1:7" ht="50.1" customHeight="1" x14ac:dyDescent="0.3">
      <c r="A99" s="12"/>
      <c r="B99" s="106"/>
      <c r="C99" s="106"/>
      <c r="D99" s="106"/>
      <c r="E99" s="106"/>
      <c r="F99" s="107"/>
      <c r="G99" s="107"/>
    </row>
    <row r="100" spans="1:7" ht="50.1" customHeight="1" x14ac:dyDescent="0.3">
      <c r="A100" s="12"/>
      <c r="B100" s="106"/>
      <c r="C100" s="106"/>
      <c r="D100" s="106"/>
      <c r="E100" s="106"/>
      <c r="F100" s="107"/>
      <c r="G100" s="107"/>
    </row>
    <row r="101" spans="1:7" ht="50.1" customHeight="1" x14ac:dyDescent="0.3">
      <c r="A101" s="12"/>
      <c r="B101" s="106"/>
      <c r="C101" s="106"/>
      <c r="D101" s="106"/>
      <c r="E101" s="106"/>
      <c r="F101" s="107"/>
      <c r="G101" s="107"/>
    </row>
    <row r="102" spans="1:7" ht="50.1" customHeight="1" x14ac:dyDescent="0.3">
      <c r="A102" s="12"/>
      <c r="B102" s="106"/>
      <c r="C102" s="106"/>
      <c r="D102" s="106"/>
      <c r="E102" s="106"/>
      <c r="F102" s="107"/>
      <c r="G102" s="107"/>
    </row>
    <row r="103" spans="1:7" ht="50.1" customHeight="1" x14ac:dyDescent="0.3">
      <c r="A103" s="12"/>
      <c r="B103" s="106"/>
      <c r="C103" s="106"/>
      <c r="D103" s="106"/>
      <c r="E103" s="106"/>
      <c r="F103" s="106"/>
      <c r="G103" s="106"/>
    </row>
    <row r="104" spans="1:7" ht="50.1" customHeight="1" x14ac:dyDescent="0.3">
      <c r="A104" s="12"/>
      <c r="B104" s="106"/>
      <c r="C104" s="106"/>
      <c r="D104" s="106"/>
      <c r="E104" s="106"/>
      <c r="F104" s="107"/>
      <c r="G104" s="107"/>
    </row>
    <row r="105" spans="1:7" ht="50.1" customHeight="1" x14ac:dyDescent="0.3">
      <c r="A105" s="12"/>
      <c r="B105" s="106"/>
      <c r="C105" s="106"/>
      <c r="D105" s="106"/>
      <c r="E105" s="106"/>
      <c r="F105" s="107"/>
      <c r="G105" s="107"/>
    </row>
    <row r="106" spans="1:7" ht="50.1" customHeight="1" x14ac:dyDescent="0.3">
      <c r="A106" s="12"/>
      <c r="B106" s="106"/>
      <c r="C106" s="106"/>
      <c r="D106" s="106"/>
      <c r="E106" s="106"/>
      <c r="F106" s="107"/>
      <c r="G106" s="107"/>
    </row>
    <row r="107" spans="1:7" ht="50.1" customHeight="1" x14ac:dyDescent="0.3">
      <c r="A107" s="12"/>
      <c r="B107" s="106"/>
      <c r="C107" s="106"/>
      <c r="D107" s="106"/>
      <c r="E107" s="106"/>
      <c r="F107" s="106"/>
      <c r="G107" s="106"/>
    </row>
    <row r="108" spans="1:7" ht="50.1" customHeight="1" x14ac:dyDescent="0.3">
      <c r="A108" s="12"/>
      <c r="B108" s="106"/>
      <c r="C108" s="106"/>
      <c r="D108" s="106"/>
      <c r="E108" s="106"/>
      <c r="F108" s="107"/>
      <c r="G108" s="107"/>
    </row>
    <row r="109" spans="1:7" ht="50.1" customHeight="1" x14ac:dyDescent="0.3">
      <c r="A109" s="12"/>
      <c r="B109" s="106"/>
      <c r="C109" s="106"/>
      <c r="D109" s="106"/>
      <c r="E109" s="106"/>
      <c r="F109" s="107"/>
      <c r="G109" s="107"/>
    </row>
    <row r="110" spans="1:7" ht="50.1" customHeight="1" x14ac:dyDescent="0.3">
      <c r="A110" s="12"/>
      <c r="B110" s="106"/>
      <c r="C110" s="106"/>
      <c r="D110" s="106"/>
      <c r="E110" s="106"/>
      <c r="F110" s="106"/>
      <c r="G110" s="106"/>
    </row>
    <row r="111" spans="1:7" ht="50.1" customHeight="1" x14ac:dyDescent="0.3">
      <c r="A111" s="12"/>
      <c r="B111" s="106"/>
      <c r="C111" s="106"/>
      <c r="D111" s="106"/>
      <c r="E111" s="106"/>
      <c r="F111" s="106"/>
      <c r="G111" s="106"/>
    </row>
    <row r="112" spans="1:7" ht="50.1" customHeight="1" x14ac:dyDescent="0.3">
      <c r="A112" s="12"/>
      <c r="B112" s="106"/>
      <c r="C112" s="106"/>
      <c r="D112" s="106"/>
      <c r="E112" s="106"/>
      <c r="F112" s="107"/>
      <c r="G112" s="107"/>
    </row>
    <row r="113" spans="1:7" ht="50.1" customHeight="1" x14ac:dyDescent="0.3">
      <c r="A113" s="12"/>
      <c r="B113" s="106"/>
      <c r="C113" s="106"/>
      <c r="D113" s="106"/>
      <c r="E113" s="106"/>
      <c r="F113" s="107"/>
      <c r="G113" s="107"/>
    </row>
    <row r="114" spans="1:7" ht="50.1" customHeight="1" x14ac:dyDescent="0.3">
      <c r="A114" s="12"/>
      <c r="B114" s="106"/>
      <c r="C114" s="106"/>
      <c r="D114" s="106"/>
      <c r="E114" s="106"/>
      <c r="F114" s="107"/>
      <c r="G114" s="107"/>
    </row>
    <row r="115" spans="1:7" ht="50.1" customHeight="1" x14ac:dyDescent="0.3">
      <c r="A115" s="12"/>
      <c r="B115" s="106"/>
      <c r="C115" s="106"/>
      <c r="D115" s="106"/>
      <c r="E115" s="106"/>
      <c r="F115" s="106"/>
      <c r="G115" s="106"/>
    </row>
    <row r="116" spans="1:7" ht="50.1" customHeight="1" x14ac:dyDescent="0.3">
      <c r="A116" s="12"/>
      <c r="B116" s="106"/>
      <c r="C116" s="106"/>
      <c r="D116" s="106"/>
      <c r="E116" s="106"/>
      <c r="F116" s="107"/>
      <c r="G116" s="107"/>
    </row>
    <row r="117" spans="1:7" ht="50.1" customHeight="1" x14ac:dyDescent="0.3">
      <c r="A117" s="12"/>
      <c r="B117" s="106"/>
      <c r="C117" s="106"/>
      <c r="D117" s="106"/>
      <c r="E117" s="106"/>
      <c r="F117" s="107"/>
      <c r="G117" s="107"/>
    </row>
    <row r="118" spans="1:7" ht="50.1" customHeight="1" x14ac:dyDescent="0.3">
      <c r="A118" s="12"/>
      <c r="B118" s="106"/>
      <c r="C118" s="106"/>
      <c r="D118" s="106"/>
      <c r="E118" s="106"/>
      <c r="F118" s="106"/>
      <c r="G118" s="106"/>
    </row>
    <row r="119" spans="1:7" ht="50.1" customHeight="1" x14ac:dyDescent="0.3">
      <c r="A119" s="12"/>
      <c r="B119" s="106"/>
      <c r="C119" s="106"/>
      <c r="D119" s="106"/>
      <c r="E119" s="106"/>
      <c r="F119" s="107"/>
      <c r="G119" s="107"/>
    </row>
    <row r="120" spans="1:7" ht="50.1" customHeight="1" x14ac:dyDescent="0.3">
      <c r="A120" s="12"/>
      <c r="B120" s="106"/>
      <c r="C120" s="106"/>
      <c r="D120" s="106"/>
      <c r="E120" s="106"/>
      <c r="F120" s="107"/>
      <c r="G120" s="107"/>
    </row>
    <row r="121" spans="1:7" ht="50.1" customHeight="1" x14ac:dyDescent="0.3">
      <c r="A121" s="12"/>
      <c r="B121" s="106"/>
      <c r="C121" s="106"/>
      <c r="D121" s="106"/>
      <c r="E121" s="106"/>
      <c r="F121" s="107"/>
      <c r="G121" s="107"/>
    </row>
    <row r="122" spans="1:7" ht="50.1" customHeight="1" x14ac:dyDescent="0.3">
      <c r="A122" s="12"/>
      <c r="B122" s="106"/>
      <c r="C122" s="106"/>
      <c r="D122" s="106"/>
      <c r="E122" s="106"/>
      <c r="F122" s="107"/>
      <c r="G122" s="107"/>
    </row>
    <row r="123" spans="1:7" ht="50.1" customHeight="1" x14ac:dyDescent="0.3">
      <c r="A123" s="12"/>
      <c r="B123" s="106"/>
      <c r="C123" s="106"/>
      <c r="D123" s="106"/>
      <c r="E123" s="106"/>
      <c r="F123" s="107"/>
      <c r="G123" s="107"/>
    </row>
    <row r="124" spans="1:7" ht="50.1" customHeight="1" x14ac:dyDescent="0.3">
      <c r="A124" s="12"/>
      <c r="B124" s="106"/>
      <c r="C124" s="106"/>
      <c r="D124" s="106"/>
      <c r="E124" s="106"/>
      <c r="F124" s="107"/>
      <c r="G124" s="107"/>
    </row>
    <row r="125" spans="1:7" ht="50.1" customHeight="1" x14ac:dyDescent="0.3">
      <c r="A125" s="12"/>
      <c r="B125" s="106"/>
      <c r="C125" s="106"/>
      <c r="D125" s="106"/>
      <c r="E125" s="106"/>
      <c r="F125" s="106"/>
      <c r="G125" s="106"/>
    </row>
    <row r="126" spans="1:7" ht="50.1" customHeight="1" x14ac:dyDescent="0.3">
      <c r="A126" s="12"/>
      <c r="B126" s="106"/>
      <c r="C126" s="106"/>
      <c r="D126" s="106"/>
      <c r="E126" s="106"/>
      <c r="F126" s="107"/>
      <c r="G126" s="107"/>
    </row>
    <row r="127" spans="1:7" ht="50.1" customHeight="1" x14ac:dyDescent="0.3">
      <c r="A127" s="12"/>
      <c r="B127" s="106"/>
      <c r="C127" s="106"/>
      <c r="D127" s="106"/>
      <c r="E127" s="106"/>
      <c r="F127" s="106"/>
      <c r="G127" s="106"/>
    </row>
    <row r="128" spans="1:7" ht="50.1" customHeight="1" x14ac:dyDescent="0.3">
      <c r="A128" s="12"/>
      <c r="B128" s="106"/>
      <c r="C128" s="106"/>
      <c r="D128" s="106"/>
      <c r="E128" s="106"/>
      <c r="F128" s="107"/>
      <c r="G128" s="107"/>
    </row>
    <row r="129" spans="1:7" ht="50.1" customHeight="1" x14ac:dyDescent="0.3">
      <c r="A129" s="12"/>
      <c r="B129" s="106"/>
      <c r="C129" s="106"/>
      <c r="D129" s="106"/>
      <c r="E129" s="106"/>
      <c r="F129" s="106"/>
      <c r="G129" s="106"/>
    </row>
    <row r="130" spans="1:7" ht="50.1" customHeight="1" x14ac:dyDescent="0.3">
      <c r="A130" s="12"/>
      <c r="B130" s="106"/>
      <c r="C130" s="106"/>
      <c r="D130" s="106"/>
      <c r="E130" s="106"/>
      <c r="F130" s="107"/>
      <c r="G130" s="107"/>
    </row>
    <row r="131" spans="1:7" ht="50.1" customHeight="1" x14ac:dyDescent="0.3">
      <c r="A131" s="12"/>
      <c r="B131" s="106"/>
      <c r="C131" s="106"/>
      <c r="D131" s="106"/>
      <c r="E131" s="106"/>
      <c r="F131" s="107"/>
      <c r="G131" s="107"/>
    </row>
    <row r="132" spans="1:7" ht="50.1" customHeight="1" x14ac:dyDescent="0.3">
      <c r="A132" s="12"/>
      <c r="B132" s="106"/>
      <c r="C132" s="106"/>
      <c r="D132" s="106"/>
      <c r="E132" s="106"/>
      <c r="F132" s="107"/>
      <c r="G132" s="107"/>
    </row>
    <row r="133" spans="1:7" ht="50.1" customHeight="1" x14ac:dyDescent="0.3">
      <c r="A133" s="12"/>
      <c r="B133" s="106"/>
      <c r="C133" s="106"/>
      <c r="D133" s="106"/>
      <c r="E133" s="106"/>
      <c r="F133" s="106"/>
      <c r="G133" s="106"/>
    </row>
    <row r="134" spans="1:7" ht="50.1" customHeight="1" x14ac:dyDescent="0.3">
      <c r="A134" s="12"/>
      <c r="B134" s="106"/>
      <c r="C134" s="106"/>
      <c r="D134" s="106"/>
      <c r="E134" s="106"/>
      <c r="F134" s="107"/>
      <c r="G134" s="107"/>
    </row>
    <row r="135" spans="1:7" ht="50.1" customHeight="1" x14ac:dyDescent="0.3">
      <c r="A135" s="12"/>
      <c r="B135" s="106"/>
      <c r="C135" s="106"/>
      <c r="D135" s="106"/>
      <c r="E135" s="106"/>
      <c r="F135" s="107"/>
      <c r="G135" s="107"/>
    </row>
    <row r="136" spans="1:7" ht="50.1" customHeight="1" x14ac:dyDescent="0.3">
      <c r="A136" s="12"/>
      <c r="B136" s="106"/>
      <c r="C136" s="106"/>
      <c r="D136" s="106"/>
      <c r="E136" s="106"/>
      <c r="F136" s="107"/>
      <c r="G136" s="107"/>
    </row>
    <row r="137" spans="1:7" ht="50.1" customHeight="1" x14ac:dyDescent="0.3">
      <c r="A137" s="12"/>
      <c r="B137" s="106"/>
      <c r="C137" s="106"/>
      <c r="D137" s="106"/>
      <c r="E137" s="106"/>
      <c r="F137" s="107"/>
      <c r="G137" s="107"/>
    </row>
    <row r="138" spans="1:7" ht="50.1" customHeight="1" x14ac:dyDescent="0.3">
      <c r="A138" s="12"/>
      <c r="B138" s="106"/>
      <c r="C138" s="106"/>
      <c r="D138" s="106"/>
      <c r="E138" s="106"/>
      <c r="F138" s="107"/>
      <c r="G138" s="107"/>
    </row>
  </sheetData>
  <autoFilter ref="A1:K1" xr:uid="{50FB0808-B72F-423E-AC8E-723E99459225}"/>
  <mergeCells count="15">
    <mergeCell ref="H24:H25"/>
    <mergeCell ref="H26:H28"/>
    <mergeCell ref="H29:H30"/>
    <mergeCell ref="K24:K25"/>
    <mergeCell ref="K26:K28"/>
    <mergeCell ref="K29:K30"/>
    <mergeCell ref="A23:A28"/>
    <mergeCell ref="A29:A30"/>
    <mergeCell ref="A2:A7"/>
    <mergeCell ref="A8:A9"/>
    <mergeCell ref="A10:A12"/>
    <mergeCell ref="A13:A15"/>
    <mergeCell ref="A18:A19"/>
    <mergeCell ref="A16:A17"/>
    <mergeCell ref="A20:A22"/>
  </mergeCells>
  <conditionalFormatting sqref="I1 I8:I1048576">
    <cfRule type="containsText" dxfId="181" priority="16" operator="containsText" text="Inherited">
      <formula>NOT(ISERROR(SEARCH("Inherited",I1)))</formula>
    </cfRule>
    <cfRule type="containsText" dxfId="180" priority="17" operator="containsText" text="Implemented">
      <formula>NOT(ISERROR(SEARCH("Implemented",I1)))</formula>
    </cfRule>
    <cfRule type="containsText" dxfId="179" priority="18" operator="containsText" text="Planned">
      <formula>NOT(ISERROR(SEARCH("Planned",I1)))</formula>
    </cfRule>
  </conditionalFormatting>
  <conditionalFormatting sqref="I1:I1048576">
    <cfRule type="cellIs" dxfId="178" priority="3" operator="equal">
      <formula>"Not Selected"</formula>
    </cfRule>
  </conditionalFormatting>
  <conditionalFormatting sqref="I2:I7">
    <cfRule type="containsText" dxfId="177" priority="6" operator="containsText" text="Not Applicable">
      <formula>NOT(ISERROR(SEARCH("Not Applicable",I2)))</formula>
    </cfRule>
    <cfRule type="containsText" dxfId="176" priority="7" operator="containsText" text="Inherited">
      <formula>NOT(ISERROR(SEARCH("Inherited",I2)))</formula>
    </cfRule>
    <cfRule type="containsText" dxfId="175" priority="8" operator="containsText" text="Planned">
      <formula>NOT(ISERROR(SEARCH("Planned",I2)))</formula>
    </cfRule>
    <cfRule type="containsText" dxfId="174" priority="9" operator="containsText" text="Implemented">
      <formula>NOT(ISERROR(SEARCH("Implemented",I2)))</formula>
    </cfRule>
  </conditionalFormatting>
  <conditionalFormatting sqref="I1:J1 I8:J1048576">
    <cfRule type="containsText" dxfId="173" priority="10" operator="containsText" text="Not Applicable">
      <formula>NOT(ISERROR(SEARCH("Not Applicable",I1)))</formula>
    </cfRule>
  </conditionalFormatting>
  <conditionalFormatting sqref="J1 J8:J1048576">
    <cfRule type="containsText" dxfId="172" priority="11" operator="containsText" text="Not Applicable">
      <formula>NOT(ISERROR(SEARCH("Not Applicable",J1)))</formula>
    </cfRule>
    <cfRule type="containsText" dxfId="171" priority="12" operator="containsText" text="Partially Satisfied">
      <formula>NOT(ISERROR(SEARCH("Partially Satisfied",J1)))</formula>
    </cfRule>
    <cfRule type="containsText" dxfId="170" priority="13" operator="containsText" text="Satisfied">
      <formula>NOT(ISERROR(SEARCH("Satisfied",J1)))</formula>
    </cfRule>
    <cfRule type="containsText" dxfId="169" priority="14" operator="containsText" text="Other Than Satisfied">
      <formula>NOT(ISERROR(SEARCH("Other Than Satisfied",J1)))</formula>
    </cfRule>
  </conditionalFormatting>
  <conditionalFormatting sqref="J1:J1048576">
    <cfRule type="cellIs" dxfId="168" priority="1" operator="equal">
      <formula>"MET"</formula>
    </cfRule>
    <cfRule type="cellIs" dxfId="167" priority="2" operator="equal">
      <formula>"Other Than Satisfied"</formula>
    </cfRule>
  </conditionalFormatting>
  <conditionalFormatting sqref="J2:J7">
    <cfRule type="containsText" dxfId="166" priority="4" operator="containsText" text="Other Than Satisfied">
      <formula>NOT(ISERROR(SEARCH("Other Than Satisfied",J2)))</formula>
    </cfRule>
    <cfRule type="containsText" dxfId="165" priority="5" operator="containsText" text="Not Applicable">
      <formula>NOT(ISERROR(SEARCH("Not Applicable",J2)))</formula>
    </cfRule>
  </conditionalFormatting>
  <dataValidations count="2">
    <dataValidation type="list" allowBlank="1" showInputMessage="1" showErrorMessage="1" sqref="I2:I30" xr:uid="{016491F0-521D-4F5D-8719-77492BD40A76}">
      <formula1>"Not Selected,Planned,Inherited,Partially Implemented,Implemented"</formula1>
    </dataValidation>
    <dataValidation type="list" allowBlank="1" showInputMessage="1" showErrorMessage="1" sqref="J2:J30" xr:uid="{FCFCD660-9B0F-4EC3-8E14-274024919151}">
      <formula1>"MET,NOT MET"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465D4-679E-4C3C-9D3C-FBBAB9791D15}">
  <sheetPr>
    <tabColor theme="4" tint="-0.499984740745262"/>
  </sheetPr>
  <dimension ref="A1:K111"/>
  <sheetViews>
    <sheetView showGridLines="0" topLeftCell="E1" zoomScale="70" zoomScaleNormal="70" workbookViewId="0">
      <pane ySplit="1" topLeftCell="A2" activePane="bottomLeft" state="frozen"/>
      <selection activeCell="D181" sqref="D181"/>
      <selection pane="bottomLeft" activeCell="K3" sqref="K3"/>
    </sheetView>
  </sheetViews>
  <sheetFormatPr defaultColWidth="8.6640625" defaultRowHeight="50.1" customHeight="1" x14ac:dyDescent="0.3"/>
  <cols>
    <col min="1" max="1" width="22.109375" style="76" customWidth="1"/>
    <col min="2" max="3" width="16.88671875" style="44" customWidth="1"/>
    <col min="4" max="4" width="56.44140625" style="44" customWidth="1"/>
    <col min="5" max="5" width="48.44140625" style="44" customWidth="1"/>
    <col min="6" max="6" width="57" style="44" customWidth="1"/>
    <col min="7" max="7" width="35" style="44" customWidth="1"/>
    <col min="8" max="8" width="74.44140625" style="44" customWidth="1"/>
    <col min="9" max="9" width="42.5546875" style="77" customWidth="1"/>
    <col min="10" max="10" width="42.109375" style="77" customWidth="1"/>
    <col min="11" max="11" width="42.88671875" style="44" customWidth="1"/>
    <col min="12" max="16384" width="8.6640625" style="44"/>
  </cols>
  <sheetData>
    <row r="1" spans="1:11" ht="50.1" customHeight="1" thickBot="1" x14ac:dyDescent="0.35">
      <c r="A1" s="20" t="s">
        <v>762</v>
      </c>
      <c r="B1" s="20" t="s">
        <v>762</v>
      </c>
      <c r="C1" s="20" t="s">
        <v>93</v>
      </c>
      <c r="D1" s="20" t="s">
        <v>94</v>
      </c>
      <c r="E1" s="20" t="s">
        <v>95</v>
      </c>
      <c r="F1" s="20" t="s">
        <v>96</v>
      </c>
      <c r="G1" s="20" t="s">
        <v>97</v>
      </c>
      <c r="H1" s="20" t="s">
        <v>98</v>
      </c>
      <c r="I1" s="20" t="s">
        <v>44</v>
      </c>
      <c r="J1" s="20" t="s">
        <v>45</v>
      </c>
      <c r="K1" s="20" t="s">
        <v>99</v>
      </c>
    </row>
    <row r="2" spans="1:11" ht="50.1" customHeight="1" x14ac:dyDescent="0.3">
      <c r="A2" s="312" t="s">
        <v>761</v>
      </c>
      <c r="B2" s="78" t="s">
        <v>763</v>
      </c>
      <c r="C2" s="78" t="s">
        <v>767</v>
      </c>
      <c r="D2" s="78" t="s">
        <v>769</v>
      </c>
      <c r="E2" s="79" t="s">
        <v>771</v>
      </c>
      <c r="F2" s="80" t="s">
        <v>772</v>
      </c>
      <c r="G2" s="103" t="s">
        <v>773</v>
      </c>
      <c r="H2" s="121" t="s">
        <v>1389</v>
      </c>
      <c r="I2" s="52" t="s">
        <v>29</v>
      </c>
      <c r="J2" s="52" t="s">
        <v>111</v>
      </c>
      <c r="K2" s="250" t="s">
        <v>1273</v>
      </c>
    </row>
    <row r="3" spans="1:11" ht="50.1" customHeight="1" thickBot="1" x14ac:dyDescent="0.35">
      <c r="A3" s="314"/>
      <c r="B3" s="85" t="s">
        <v>763</v>
      </c>
      <c r="C3" s="97" t="s">
        <v>768</v>
      </c>
      <c r="D3" s="97" t="s">
        <v>770</v>
      </c>
      <c r="E3" s="98"/>
      <c r="F3" s="98"/>
      <c r="G3" s="98"/>
      <c r="H3" s="123" t="s">
        <v>1390</v>
      </c>
      <c r="I3" s="57" t="s">
        <v>29</v>
      </c>
      <c r="J3" s="57" t="s">
        <v>111</v>
      </c>
      <c r="K3" s="251" t="s">
        <v>1273</v>
      </c>
    </row>
    <row r="4" spans="1:11" ht="50.1" customHeight="1" x14ac:dyDescent="0.3">
      <c r="A4" s="313" t="s">
        <v>774</v>
      </c>
      <c r="B4" s="87" t="s">
        <v>764</v>
      </c>
      <c r="C4" s="87" t="s">
        <v>783</v>
      </c>
      <c r="D4" s="87" t="s">
        <v>777</v>
      </c>
      <c r="E4" s="88" t="s">
        <v>780</v>
      </c>
      <c r="F4" s="89" t="s">
        <v>781</v>
      </c>
      <c r="G4" s="90" t="s">
        <v>782</v>
      </c>
      <c r="H4" s="190" t="s">
        <v>1392</v>
      </c>
      <c r="I4" s="65" t="s">
        <v>29</v>
      </c>
      <c r="J4" s="65" t="s">
        <v>111</v>
      </c>
      <c r="K4" s="253" t="s">
        <v>1273</v>
      </c>
    </row>
    <row r="5" spans="1:11" ht="50.1" customHeight="1" x14ac:dyDescent="0.3">
      <c r="A5" s="313"/>
      <c r="B5" s="81" t="s">
        <v>764</v>
      </c>
      <c r="C5" s="81" t="s">
        <v>784</v>
      </c>
      <c r="D5" s="82" t="s">
        <v>778</v>
      </c>
      <c r="E5" s="83"/>
      <c r="F5" s="83"/>
      <c r="G5" s="83"/>
      <c r="H5" s="122" t="s">
        <v>1393</v>
      </c>
      <c r="I5" s="48" t="s">
        <v>29</v>
      </c>
      <c r="J5" s="48" t="s">
        <v>111</v>
      </c>
      <c r="K5" s="254" t="s">
        <v>1273</v>
      </c>
    </row>
    <row r="6" spans="1:11" ht="50.1" customHeight="1" thickBot="1" x14ac:dyDescent="0.35">
      <c r="A6" s="313"/>
      <c r="B6" s="91" t="s">
        <v>764</v>
      </c>
      <c r="C6" s="92" t="s">
        <v>785</v>
      </c>
      <c r="D6" s="91" t="s">
        <v>779</v>
      </c>
      <c r="E6" s="104"/>
      <c r="F6" s="104"/>
      <c r="G6" s="104"/>
      <c r="H6" s="191" t="s">
        <v>1394</v>
      </c>
      <c r="I6" s="69" t="s">
        <v>29</v>
      </c>
      <c r="J6" s="69" t="s">
        <v>111</v>
      </c>
      <c r="K6" s="255" t="s">
        <v>1273</v>
      </c>
    </row>
    <row r="7" spans="1:11" ht="50.1" customHeight="1" thickBot="1" x14ac:dyDescent="0.35">
      <c r="A7" s="234" t="s">
        <v>775</v>
      </c>
      <c r="B7" s="125" t="s">
        <v>765</v>
      </c>
      <c r="C7" s="125" t="s">
        <v>786</v>
      </c>
      <c r="D7" s="125" t="s">
        <v>787</v>
      </c>
      <c r="E7" s="126" t="s">
        <v>788</v>
      </c>
      <c r="F7" s="127" t="s">
        <v>789</v>
      </c>
      <c r="G7" s="119" t="s">
        <v>790</v>
      </c>
      <c r="H7" s="124" t="s">
        <v>1391</v>
      </c>
      <c r="I7" s="75" t="s">
        <v>29</v>
      </c>
      <c r="J7" s="75" t="s">
        <v>111</v>
      </c>
      <c r="K7" s="252" t="s">
        <v>1273</v>
      </c>
    </row>
    <row r="8" spans="1:11" ht="50.1" customHeight="1" x14ac:dyDescent="0.3">
      <c r="A8" s="309" t="s">
        <v>776</v>
      </c>
      <c r="B8" s="78" t="s">
        <v>766</v>
      </c>
      <c r="C8" s="78" t="s">
        <v>800</v>
      </c>
      <c r="D8" s="78" t="s">
        <v>791</v>
      </c>
      <c r="E8" s="79" t="s">
        <v>799</v>
      </c>
      <c r="F8" s="80" t="s">
        <v>789</v>
      </c>
      <c r="G8" s="103" t="s">
        <v>790</v>
      </c>
      <c r="H8" s="256" t="s">
        <v>1395</v>
      </c>
      <c r="I8" s="52" t="s">
        <v>29</v>
      </c>
      <c r="J8" s="52" t="s">
        <v>111</v>
      </c>
      <c r="K8" s="250" t="s">
        <v>1273</v>
      </c>
    </row>
    <row r="9" spans="1:11" ht="50.1" customHeight="1" x14ac:dyDescent="0.3">
      <c r="A9" s="310"/>
      <c r="B9" s="81" t="s">
        <v>766</v>
      </c>
      <c r="C9" s="81" t="s">
        <v>801</v>
      </c>
      <c r="D9" s="81" t="s">
        <v>792</v>
      </c>
      <c r="E9" s="83"/>
      <c r="F9" s="83"/>
      <c r="G9" s="83"/>
      <c r="H9" s="122" t="s">
        <v>1396</v>
      </c>
      <c r="I9" s="48" t="s">
        <v>29</v>
      </c>
      <c r="J9" s="48" t="s">
        <v>111</v>
      </c>
      <c r="K9" s="254" t="s">
        <v>1273</v>
      </c>
    </row>
    <row r="10" spans="1:11" ht="50.1" customHeight="1" x14ac:dyDescent="0.3">
      <c r="A10" s="310"/>
      <c r="B10" s="81" t="s">
        <v>766</v>
      </c>
      <c r="C10" s="82" t="s">
        <v>802</v>
      </c>
      <c r="D10" s="81" t="s">
        <v>793</v>
      </c>
      <c r="E10" s="83"/>
      <c r="F10" s="83"/>
      <c r="G10" s="83"/>
      <c r="H10" s="122" t="s">
        <v>1397</v>
      </c>
      <c r="I10" s="48" t="s">
        <v>29</v>
      </c>
      <c r="J10" s="48" t="s">
        <v>111</v>
      </c>
      <c r="K10" s="254" t="s">
        <v>1273</v>
      </c>
    </row>
    <row r="11" spans="1:11" ht="50.1" customHeight="1" x14ac:dyDescent="0.3">
      <c r="A11" s="310"/>
      <c r="B11" s="81" t="s">
        <v>766</v>
      </c>
      <c r="C11" s="81" t="s">
        <v>803</v>
      </c>
      <c r="D11" s="81" t="s">
        <v>794</v>
      </c>
      <c r="E11" s="83"/>
      <c r="F11" s="83"/>
      <c r="G11" s="83"/>
      <c r="H11" s="122" t="s">
        <v>1398</v>
      </c>
      <c r="I11" s="48" t="s">
        <v>29</v>
      </c>
      <c r="J11" s="48" t="s">
        <v>111</v>
      </c>
      <c r="K11" s="254" t="s">
        <v>1273</v>
      </c>
    </row>
    <row r="12" spans="1:11" ht="50.1" customHeight="1" x14ac:dyDescent="0.3">
      <c r="A12" s="310"/>
      <c r="B12" s="81" t="s">
        <v>766</v>
      </c>
      <c r="C12" s="81" t="s">
        <v>804</v>
      </c>
      <c r="D12" s="81" t="s">
        <v>795</v>
      </c>
      <c r="E12" s="83"/>
      <c r="F12" s="83"/>
      <c r="G12" s="83"/>
      <c r="H12" s="122" t="s">
        <v>1399</v>
      </c>
      <c r="I12" s="48" t="s">
        <v>29</v>
      </c>
      <c r="J12" s="48" t="s">
        <v>111</v>
      </c>
      <c r="K12" s="254" t="s">
        <v>1273</v>
      </c>
    </row>
    <row r="13" spans="1:11" ht="50.1" customHeight="1" x14ac:dyDescent="0.3">
      <c r="A13" s="310"/>
      <c r="B13" s="81" t="s">
        <v>766</v>
      </c>
      <c r="C13" s="81" t="s">
        <v>805</v>
      </c>
      <c r="D13" s="81" t="s">
        <v>796</v>
      </c>
      <c r="E13" s="83"/>
      <c r="F13" s="83"/>
      <c r="G13" s="83"/>
      <c r="H13" s="122" t="s">
        <v>1400</v>
      </c>
      <c r="I13" s="48" t="s">
        <v>29</v>
      </c>
      <c r="J13" s="48" t="s">
        <v>111</v>
      </c>
      <c r="K13" s="254" t="s">
        <v>1273</v>
      </c>
    </row>
    <row r="14" spans="1:11" ht="50.1" customHeight="1" x14ac:dyDescent="0.3">
      <c r="A14" s="310"/>
      <c r="B14" s="81" t="s">
        <v>766</v>
      </c>
      <c r="C14" s="81" t="s">
        <v>806</v>
      </c>
      <c r="D14" s="82" t="s">
        <v>797</v>
      </c>
      <c r="E14" s="83"/>
      <c r="F14" s="83"/>
      <c r="G14" s="83"/>
      <c r="H14" s="122" t="s">
        <v>1401</v>
      </c>
      <c r="I14" s="48" t="s">
        <v>29</v>
      </c>
      <c r="J14" s="48" t="s">
        <v>111</v>
      </c>
      <c r="K14" s="254" t="s">
        <v>1273</v>
      </c>
    </row>
    <row r="15" spans="1:11" ht="50.1" customHeight="1" thickBot="1" x14ac:dyDescent="0.35">
      <c r="A15" s="311"/>
      <c r="B15" s="85" t="s">
        <v>766</v>
      </c>
      <c r="C15" s="97" t="s">
        <v>807</v>
      </c>
      <c r="D15" s="85" t="s">
        <v>798</v>
      </c>
      <c r="E15" s="86"/>
      <c r="F15" s="86"/>
      <c r="G15" s="86"/>
      <c r="H15" s="123" t="s">
        <v>1402</v>
      </c>
      <c r="I15" s="57" t="s">
        <v>29</v>
      </c>
      <c r="J15" s="57" t="s">
        <v>111</v>
      </c>
      <c r="K15" s="251" t="s">
        <v>1273</v>
      </c>
    </row>
    <row r="16" spans="1:11" ht="50.1" customHeight="1" x14ac:dyDescent="0.3">
      <c r="A16" s="12"/>
      <c r="B16" s="106"/>
      <c r="C16" s="106"/>
      <c r="D16" s="106"/>
      <c r="E16" s="106"/>
      <c r="F16" s="107"/>
      <c r="G16" s="107"/>
    </row>
    <row r="17" spans="1:7" ht="50.1" customHeight="1" x14ac:dyDescent="0.3">
      <c r="A17" s="12"/>
      <c r="B17" s="106"/>
      <c r="C17" s="106"/>
      <c r="D17" s="106"/>
      <c r="E17" s="106"/>
      <c r="F17" s="107"/>
      <c r="G17" s="107"/>
    </row>
    <row r="18" spans="1:7" ht="50.1" customHeight="1" x14ac:dyDescent="0.3">
      <c r="A18" s="12"/>
      <c r="B18" s="106"/>
      <c r="C18" s="106"/>
      <c r="D18" s="106"/>
      <c r="E18" s="106"/>
      <c r="F18" s="107"/>
      <c r="G18" s="107"/>
    </row>
    <row r="19" spans="1:7" ht="50.1" customHeight="1" x14ac:dyDescent="0.3">
      <c r="A19" s="12"/>
      <c r="B19" s="106"/>
      <c r="C19" s="106"/>
      <c r="D19" s="106"/>
      <c r="E19" s="106"/>
      <c r="F19" s="107"/>
      <c r="G19" s="107"/>
    </row>
    <row r="20" spans="1:7" ht="50.1" customHeight="1" x14ac:dyDescent="0.3">
      <c r="A20" s="12"/>
      <c r="B20" s="106"/>
      <c r="C20" s="106"/>
      <c r="D20" s="106"/>
      <c r="E20" s="106"/>
      <c r="F20" s="107"/>
      <c r="G20" s="107"/>
    </row>
    <row r="21" spans="1:7" ht="50.1" customHeight="1" x14ac:dyDescent="0.3">
      <c r="A21" s="12"/>
      <c r="B21" s="106"/>
      <c r="C21" s="106"/>
      <c r="D21" s="106"/>
      <c r="E21" s="106"/>
      <c r="F21" s="106"/>
      <c r="G21" s="106"/>
    </row>
    <row r="22" spans="1:7" ht="50.1" customHeight="1" x14ac:dyDescent="0.3">
      <c r="A22" s="12"/>
      <c r="B22" s="106"/>
      <c r="C22" s="106"/>
      <c r="D22" s="106"/>
      <c r="E22" s="106"/>
      <c r="F22" s="107"/>
      <c r="G22" s="107"/>
    </row>
    <row r="23" spans="1:7" ht="50.1" customHeight="1" x14ac:dyDescent="0.3">
      <c r="A23" s="12"/>
      <c r="B23" s="106"/>
      <c r="C23" s="106"/>
      <c r="D23" s="106"/>
      <c r="E23" s="106"/>
      <c r="F23" s="106"/>
      <c r="G23" s="106"/>
    </row>
    <row r="24" spans="1:7" ht="50.1" customHeight="1" x14ac:dyDescent="0.3">
      <c r="A24" s="12"/>
      <c r="B24" s="106"/>
      <c r="C24" s="106"/>
      <c r="D24" s="106"/>
      <c r="E24" s="106"/>
      <c r="F24" s="107"/>
      <c r="G24" s="107"/>
    </row>
    <row r="25" spans="1:7" ht="50.1" customHeight="1" x14ac:dyDescent="0.3">
      <c r="A25" s="12"/>
      <c r="B25" s="106"/>
      <c r="C25" s="106"/>
      <c r="D25" s="106"/>
      <c r="E25" s="106"/>
      <c r="F25" s="106"/>
      <c r="G25" s="106"/>
    </row>
    <row r="26" spans="1:7" ht="50.1" customHeight="1" x14ac:dyDescent="0.3">
      <c r="A26" s="12"/>
      <c r="B26" s="106"/>
      <c r="C26" s="106"/>
      <c r="D26" s="106"/>
      <c r="E26" s="106"/>
      <c r="F26" s="107"/>
      <c r="G26" s="107"/>
    </row>
    <row r="27" spans="1:7" ht="50.1" customHeight="1" x14ac:dyDescent="0.3">
      <c r="A27" s="12"/>
      <c r="B27" s="106"/>
      <c r="C27" s="106"/>
      <c r="D27" s="106"/>
      <c r="E27" s="106"/>
      <c r="F27" s="107"/>
      <c r="G27" s="107"/>
    </row>
    <row r="28" spans="1:7" ht="50.1" customHeight="1" x14ac:dyDescent="0.3">
      <c r="A28" s="12"/>
      <c r="B28" s="106"/>
      <c r="C28" s="106"/>
      <c r="D28" s="106"/>
      <c r="E28" s="106"/>
      <c r="F28" s="107"/>
      <c r="G28" s="107"/>
    </row>
    <row r="29" spans="1:7" ht="50.1" customHeight="1" x14ac:dyDescent="0.3">
      <c r="A29" s="13"/>
      <c r="B29" s="106"/>
      <c r="C29" s="106"/>
      <c r="D29" s="106"/>
      <c r="E29" s="106"/>
      <c r="F29" s="106"/>
      <c r="G29" s="106"/>
    </row>
    <row r="30" spans="1:7" ht="50.1" customHeight="1" x14ac:dyDescent="0.3">
      <c r="A30" s="13"/>
      <c r="B30" s="106"/>
      <c r="C30" s="106"/>
      <c r="D30" s="106"/>
      <c r="E30" s="106"/>
      <c r="F30" s="106"/>
      <c r="G30" s="106"/>
    </row>
    <row r="31" spans="1:7" ht="50.1" customHeight="1" x14ac:dyDescent="0.3">
      <c r="A31" s="12"/>
      <c r="B31" s="106"/>
      <c r="C31" s="106"/>
      <c r="D31" s="106"/>
      <c r="E31" s="106"/>
      <c r="F31" s="106"/>
      <c r="G31" s="106"/>
    </row>
    <row r="32" spans="1:7" ht="50.1" customHeight="1" x14ac:dyDescent="0.3">
      <c r="A32" s="12"/>
      <c r="B32" s="106"/>
      <c r="C32" s="106"/>
      <c r="D32" s="106"/>
      <c r="E32" s="106"/>
      <c r="F32" s="107"/>
      <c r="G32" s="107"/>
    </row>
    <row r="33" spans="1:7" ht="50.1" customHeight="1" x14ac:dyDescent="0.3">
      <c r="A33" s="12"/>
      <c r="B33" s="106"/>
      <c r="C33" s="106"/>
      <c r="D33" s="106"/>
      <c r="E33" s="106"/>
      <c r="F33" s="107"/>
      <c r="G33" s="107"/>
    </row>
    <row r="34" spans="1:7" ht="50.1" customHeight="1" x14ac:dyDescent="0.3">
      <c r="A34" s="12"/>
      <c r="B34" s="106"/>
      <c r="C34" s="106"/>
      <c r="D34" s="106"/>
      <c r="E34" s="106"/>
      <c r="F34" s="107"/>
      <c r="G34" s="107"/>
    </row>
    <row r="35" spans="1:7" ht="50.1" customHeight="1" x14ac:dyDescent="0.3">
      <c r="A35" s="12"/>
      <c r="B35" s="106"/>
      <c r="C35" s="106"/>
      <c r="D35" s="106"/>
      <c r="E35" s="106"/>
      <c r="F35" s="107"/>
      <c r="G35" s="107"/>
    </row>
    <row r="36" spans="1:7" ht="50.1" customHeight="1" x14ac:dyDescent="0.3">
      <c r="A36" s="12"/>
      <c r="B36" s="106"/>
      <c r="C36" s="106"/>
      <c r="D36" s="106"/>
      <c r="E36" s="106"/>
      <c r="F36" s="107"/>
      <c r="G36" s="107"/>
    </row>
    <row r="37" spans="1:7" ht="50.1" customHeight="1" x14ac:dyDescent="0.3">
      <c r="A37" s="12"/>
      <c r="B37" s="106"/>
      <c r="C37" s="106"/>
      <c r="D37" s="106"/>
      <c r="E37" s="106"/>
      <c r="F37" s="107"/>
      <c r="G37" s="107"/>
    </row>
    <row r="38" spans="1:7" ht="50.1" customHeight="1" x14ac:dyDescent="0.3">
      <c r="A38" s="12"/>
      <c r="B38" s="106"/>
      <c r="C38" s="106"/>
      <c r="D38" s="106"/>
      <c r="E38" s="106"/>
      <c r="F38" s="107"/>
      <c r="G38" s="107"/>
    </row>
    <row r="39" spans="1:7" ht="50.1" customHeight="1" x14ac:dyDescent="0.3">
      <c r="A39" s="12"/>
      <c r="B39" s="106"/>
      <c r="C39" s="106"/>
      <c r="D39" s="106"/>
      <c r="E39" s="106"/>
      <c r="F39" s="106"/>
      <c r="G39" s="106"/>
    </row>
    <row r="40" spans="1:7" ht="50.1" customHeight="1" x14ac:dyDescent="0.3">
      <c r="A40" s="12"/>
      <c r="B40" s="106"/>
      <c r="C40" s="106"/>
      <c r="D40" s="106"/>
      <c r="E40" s="106"/>
      <c r="F40" s="107"/>
      <c r="G40" s="107"/>
    </row>
    <row r="41" spans="1:7" ht="50.1" customHeight="1" x14ac:dyDescent="0.3">
      <c r="A41" s="12"/>
      <c r="B41" s="106"/>
      <c r="C41" s="106"/>
      <c r="D41" s="106"/>
      <c r="E41" s="106"/>
      <c r="F41" s="107"/>
      <c r="G41" s="107"/>
    </row>
    <row r="42" spans="1:7" ht="50.1" customHeight="1" x14ac:dyDescent="0.3">
      <c r="A42" s="12"/>
      <c r="B42" s="106"/>
      <c r="C42" s="106"/>
      <c r="D42" s="106"/>
      <c r="E42" s="106"/>
      <c r="F42" s="107"/>
      <c r="G42" s="107"/>
    </row>
    <row r="43" spans="1:7" ht="50.1" customHeight="1" x14ac:dyDescent="0.3">
      <c r="A43" s="12"/>
      <c r="B43" s="106"/>
      <c r="C43" s="106"/>
      <c r="D43" s="106"/>
      <c r="E43" s="106"/>
      <c r="F43" s="107"/>
      <c r="G43" s="107"/>
    </row>
    <row r="44" spans="1:7" ht="50.1" customHeight="1" x14ac:dyDescent="0.3">
      <c r="A44" s="12"/>
      <c r="B44" s="106"/>
      <c r="C44" s="106"/>
      <c r="D44" s="106"/>
      <c r="E44" s="106"/>
      <c r="F44" s="107"/>
      <c r="G44" s="107"/>
    </row>
    <row r="45" spans="1:7" ht="50.1" customHeight="1" x14ac:dyDescent="0.3">
      <c r="A45" s="12"/>
      <c r="B45" s="106"/>
      <c r="C45" s="106"/>
      <c r="D45" s="106"/>
      <c r="E45" s="106"/>
      <c r="F45" s="107"/>
      <c r="G45" s="107"/>
    </row>
    <row r="46" spans="1:7" ht="50.1" customHeight="1" x14ac:dyDescent="0.3">
      <c r="A46" s="12"/>
      <c r="B46" s="106"/>
      <c r="C46" s="106"/>
      <c r="D46" s="106"/>
      <c r="E46" s="106"/>
      <c r="F46" s="107"/>
      <c r="G46" s="107"/>
    </row>
    <row r="47" spans="1:7" ht="50.1" customHeight="1" x14ac:dyDescent="0.3">
      <c r="A47" s="12"/>
      <c r="B47" s="106"/>
      <c r="C47" s="106"/>
      <c r="D47" s="106"/>
      <c r="E47" s="106"/>
      <c r="F47" s="107"/>
      <c r="G47" s="107"/>
    </row>
    <row r="48" spans="1:7" ht="50.1" customHeight="1" x14ac:dyDescent="0.3">
      <c r="A48" s="12"/>
      <c r="B48" s="106"/>
      <c r="C48" s="106"/>
      <c r="D48" s="106"/>
      <c r="E48" s="106"/>
      <c r="F48" s="107"/>
      <c r="G48" s="107"/>
    </row>
    <row r="49" spans="1:7" ht="50.1" customHeight="1" x14ac:dyDescent="0.3">
      <c r="A49" s="12"/>
      <c r="B49" s="106"/>
      <c r="C49" s="106"/>
      <c r="D49" s="106"/>
      <c r="E49" s="106"/>
      <c r="F49" s="107"/>
      <c r="G49" s="107"/>
    </row>
    <row r="50" spans="1:7" ht="50.1" customHeight="1" x14ac:dyDescent="0.3">
      <c r="A50" s="12"/>
      <c r="B50" s="106"/>
      <c r="C50" s="106"/>
      <c r="D50" s="106"/>
      <c r="E50" s="106"/>
      <c r="F50" s="106"/>
      <c r="G50" s="106"/>
    </row>
    <row r="51" spans="1:7" ht="50.1" customHeight="1" x14ac:dyDescent="0.3">
      <c r="A51" s="12"/>
      <c r="B51" s="106"/>
      <c r="C51" s="106"/>
      <c r="D51" s="106"/>
      <c r="E51" s="106"/>
      <c r="F51" s="107"/>
      <c r="G51" s="107"/>
    </row>
    <row r="52" spans="1:7" ht="50.1" customHeight="1" x14ac:dyDescent="0.3">
      <c r="A52" s="12"/>
      <c r="B52" s="106"/>
      <c r="C52" s="106"/>
      <c r="D52" s="106"/>
      <c r="E52" s="106"/>
      <c r="F52" s="107"/>
      <c r="G52" s="107"/>
    </row>
    <row r="53" spans="1:7" ht="50.1" customHeight="1" x14ac:dyDescent="0.3">
      <c r="A53" s="12"/>
      <c r="B53" s="106"/>
      <c r="C53" s="106"/>
      <c r="D53" s="106"/>
      <c r="E53" s="106"/>
      <c r="F53" s="107"/>
      <c r="G53" s="107"/>
    </row>
    <row r="54" spans="1:7" ht="50.1" customHeight="1" x14ac:dyDescent="0.3">
      <c r="A54" s="13"/>
      <c r="B54" s="106"/>
      <c r="C54" s="106"/>
      <c r="D54" s="106"/>
      <c r="E54" s="106"/>
      <c r="F54" s="106"/>
      <c r="G54" s="106"/>
    </row>
    <row r="55" spans="1:7" ht="50.1" customHeight="1" x14ac:dyDescent="0.3">
      <c r="A55" s="12"/>
      <c r="B55" s="106"/>
      <c r="C55" s="106"/>
      <c r="D55" s="106"/>
      <c r="E55" s="106"/>
      <c r="F55" s="106"/>
      <c r="G55" s="106"/>
    </row>
    <row r="56" spans="1:7" ht="50.1" customHeight="1" x14ac:dyDescent="0.3">
      <c r="A56" s="12"/>
      <c r="B56" s="106"/>
      <c r="C56" s="106"/>
      <c r="D56" s="106"/>
      <c r="E56" s="106"/>
      <c r="F56" s="107"/>
      <c r="G56" s="107"/>
    </row>
    <row r="57" spans="1:7" ht="50.1" customHeight="1" x14ac:dyDescent="0.3">
      <c r="A57" s="12"/>
      <c r="B57" s="106"/>
      <c r="C57" s="106"/>
      <c r="D57" s="106"/>
      <c r="E57" s="106"/>
      <c r="F57" s="106"/>
      <c r="G57" s="107"/>
    </row>
    <row r="58" spans="1:7" ht="50.1" customHeight="1" x14ac:dyDescent="0.3">
      <c r="A58" s="12"/>
      <c r="B58" s="106"/>
      <c r="C58" s="106"/>
      <c r="D58" s="106"/>
      <c r="E58" s="106"/>
      <c r="F58" s="107"/>
      <c r="G58" s="107"/>
    </row>
    <row r="59" spans="1:7" ht="50.1" customHeight="1" x14ac:dyDescent="0.3">
      <c r="A59" s="12"/>
      <c r="B59" s="106"/>
      <c r="C59" s="106"/>
      <c r="D59" s="106"/>
      <c r="E59" s="106"/>
      <c r="F59" s="107"/>
      <c r="G59" s="107"/>
    </row>
    <row r="60" spans="1:7" ht="50.1" customHeight="1" x14ac:dyDescent="0.3">
      <c r="A60" s="12"/>
      <c r="B60" s="106"/>
      <c r="C60" s="106"/>
      <c r="D60" s="106"/>
      <c r="E60" s="106"/>
      <c r="F60" s="107"/>
      <c r="G60" s="107"/>
    </row>
    <row r="61" spans="1:7" ht="50.1" customHeight="1" x14ac:dyDescent="0.3">
      <c r="A61" s="12"/>
      <c r="B61" s="106"/>
      <c r="C61" s="106"/>
      <c r="D61" s="106"/>
      <c r="E61" s="106"/>
      <c r="F61" s="106"/>
      <c r="G61" s="106"/>
    </row>
    <row r="62" spans="1:7" ht="50.1" customHeight="1" x14ac:dyDescent="0.3">
      <c r="A62" s="12"/>
      <c r="B62" s="106"/>
      <c r="C62" s="106"/>
      <c r="D62" s="106"/>
      <c r="E62" s="106"/>
      <c r="F62" s="107"/>
      <c r="G62" s="107"/>
    </row>
    <row r="63" spans="1:7" ht="50.1" customHeight="1" x14ac:dyDescent="0.3">
      <c r="A63" s="12"/>
      <c r="B63" s="106"/>
      <c r="C63" s="106"/>
      <c r="D63" s="106"/>
      <c r="E63" s="106"/>
      <c r="F63" s="107"/>
      <c r="G63" s="107"/>
    </row>
    <row r="64" spans="1:7" ht="50.1" customHeight="1" x14ac:dyDescent="0.3">
      <c r="A64" s="12"/>
      <c r="B64" s="106"/>
      <c r="C64" s="106"/>
      <c r="D64" s="106"/>
      <c r="E64" s="106"/>
      <c r="F64" s="107"/>
      <c r="G64" s="107"/>
    </row>
    <row r="65" spans="1:7" ht="50.1" customHeight="1" x14ac:dyDescent="0.3">
      <c r="A65" s="12"/>
      <c r="B65" s="106"/>
      <c r="C65" s="106"/>
      <c r="D65" s="106"/>
      <c r="E65" s="106"/>
      <c r="F65" s="106"/>
      <c r="G65" s="106"/>
    </row>
    <row r="66" spans="1:7" ht="50.1" customHeight="1" x14ac:dyDescent="0.3">
      <c r="A66" s="12"/>
      <c r="B66" s="106"/>
      <c r="C66" s="106"/>
      <c r="D66" s="106"/>
      <c r="E66" s="106"/>
      <c r="F66" s="107"/>
      <c r="G66" s="107"/>
    </row>
    <row r="67" spans="1:7" ht="50.1" customHeight="1" x14ac:dyDescent="0.3">
      <c r="A67" s="12"/>
      <c r="B67" s="106"/>
      <c r="C67" s="106"/>
      <c r="D67" s="106"/>
      <c r="E67" s="106"/>
      <c r="F67" s="106"/>
      <c r="G67" s="106"/>
    </row>
    <row r="68" spans="1:7" ht="50.1" customHeight="1" x14ac:dyDescent="0.3">
      <c r="A68" s="12"/>
      <c r="B68" s="106"/>
      <c r="C68" s="106"/>
      <c r="D68" s="106"/>
      <c r="E68" s="106"/>
      <c r="F68" s="106"/>
      <c r="G68" s="106"/>
    </row>
    <row r="69" spans="1:7" ht="50.1" customHeight="1" x14ac:dyDescent="0.3">
      <c r="A69" s="12"/>
      <c r="B69" s="106"/>
      <c r="C69" s="106"/>
      <c r="D69" s="106"/>
      <c r="E69" s="106"/>
      <c r="F69" s="106"/>
      <c r="G69" s="106"/>
    </row>
    <row r="70" spans="1:7" ht="50.1" customHeight="1" x14ac:dyDescent="0.3">
      <c r="A70" s="12"/>
      <c r="B70" s="106"/>
      <c r="C70" s="106"/>
      <c r="D70" s="106"/>
      <c r="E70" s="106"/>
      <c r="F70" s="107"/>
      <c r="G70" s="107"/>
    </row>
    <row r="71" spans="1:7" ht="50.1" customHeight="1" x14ac:dyDescent="0.3">
      <c r="A71" s="12"/>
      <c r="B71" s="106"/>
      <c r="C71" s="106"/>
      <c r="D71" s="106"/>
      <c r="E71" s="106"/>
      <c r="F71" s="107"/>
      <c r="G71" s="107"/>
    </row>
    <row r="72" spans="1:7" ht="50.1" customHeight="1" x14ac:dyDescent="0.3">
      <c r="A72" s="12"/>
      <c r="B72" s="106"/>
      <c r="C72" s="106"/>
      <c r="D72" s="106"/>
      <c r="E72" s="106"/>
      <c r="F72" s="107"/>
      <c r="G72" s="107"/>
    </row>
    <row r="73" spans="1:7" ht="50.1" customHeight="1" x14ac:dyDescent="0.3">
      <c r="A73" s="12"/>
      <c r="B73" s="106"/>
      <c r="C73" s="106"/>
      <c r="D73" s="106"/>
      <c r="E73" s="106"/>
      <c r="F73" s="107"/>
      <c r="G73" s="107"/>
    </row>
    <row r="74" spans="1:7" ht="50.1" customHeight="1" x14ac:dyDescent="0.3">
      <c r="A74" s="12"/>
      <c r="B74" s="106"/>
      <c r="C74" s="106"/>
      <c r="D74" s="106"/>
      <c r="E74" s="106"/>
      <c r="F74" s="107"/>
      <c r="G74" s="107"/>
    </row>
    <row r="75" spans="1:7" ht="50.1" customHeight="1" x14ac:dyDescent="0.3">
      <c r="A75" s="12"/>
      <c r="B75" s="106"/>
      <c r="C75" s="106"/>
      <c r="D75" s="106"/>
      <c r="E75" s="106"/>
      <c r="F75" s="107"/>
      <c r="G75" s="107"/>
    </row>
    <row r="76" spans="1:7" ht="50.1" customHeight="1" x14ac:dyDescent="0.3">
      <c r="A76" s="12"/>
      <c r="B76" s="106"/>
      <c r="C76" s="106"/>
      <c r="D76" s="106"/>
      <c r="E76" s="106"/>
      <c r="F76" s="106"/>
      <c r="G76" s="106"/>
    </row>
    <row r="77" spans="1:7" ht="50.1" customHeight="1" x14ac:dyDescent="0.3">
      <c r="A77" s="12"/>
      <c r="B77" s="106"/>
      <c r="C77" s="106"/>
      <c r="D77" s="106"/>
      <c r="E77" s="106"/>
      <c r="F77" s="107"/>
      <c r="G77" s="107"/>
    </row>
    <row r="78" spans="1:7" ht="50.1" customHeight="1" x14ac:dyDescent="0.3">
      <c r="A78" s="12"/>
      <c r="B78" s="106"/>
      <c r="C78" s="106"/>
      <c r="D78" s="106"/>
      <c r="E78" s="106"/>
      <c r="F78" s="107"/>
      <c r="G78" s="107"/>
    </row>
    <row r="79" spans="1:7" ht="50.1" customHeight="1" x14ac:dyDescent="0.3">
      <c r="A79" s="12"/>
      <c r="B79" s="106"/>
      <c r="C79" s="106"/>
      <c r="D79" s="106"/>
      <c r="E79" s="106"/>
      <c r="F79" s="107"/>
      <c r="G79" s="107"/>
    </row>
    <row r="80" spans="1:7" ht="50.1" customHeight="1" x14ac:dyDescent="0.3">
      <c r="A80" s="12"/>
      <c r="B80" s="106"/>
      <c r="C80" s="106"/>
      <c r="D80" s="106"/>
      <c r="E80" s="106"/>
      <c r="F80" s="106"/>
      <c r="G80" s="106"/>
    </row>
    <row r="81" spans="1:7" ht="50.1" customHeight="1" x14ac:dyDescent="0.3">
      <c r="A81" s="12"/>
      <c r="B81" s="106"/>
      <c r="C81" s="106"/>
      <c r="D81" s="106"/>
      <c r="E81" s="106"/>
      <c r="F81" s="107"/>
      <c r="G81" s="107"/>
    </row>
    <row r="82" spans="1:7" ht="50.1" customHeight="1" x14ac:dyDescent="0.3">
      <c r="A82" s="12"/>
      <c r="B82" s="106"/>
      <c r="C82" s="106"/>
      <c r="D82" s="106"/>
      <c r="E82" s="106"/>
      <c r="F82" s="107"/>
      <c r="G82" s="107"/>
    </row>
    <row r="83" spans="1:7" ht="50.1" customHeight="1" x14ac:dyDescent="0.3">
      <c r="A83" s="12"/>
      <c r="B83" s="106"/>
      <c r="C83" s="106"/>
      <c r="D83" s="106"/>
      <c r="E83" s="106"/>
      <c r="F83" s="106"/>
      <c r="G83" s="106"/>
    </row>
    <row r="84" spans="1:7" ht="50.1" customHeight="1" x14ac:dyDescent="0.3">
      <c r="A84" s="12"/>
      <c r="B84" s="106"/>
      <c r="C84" s="106"/>
      <c r="D84" s="106"/>
      <c r="E84" s="106"/>
      <c r="F84" s="106"/>
      <c r="G84" s="106"/>
    </row>
    <row r="85" spans="1:7" ht="50.1" customHeight="1" x14ac:dyDescent="0.3">
      <c r="A85" s="12"/>
      <c r="B85" s="106"/>
      <c r="C85" s="106"/>
      <c r="D85" s="106"/>
      <c r="E85" s="106"/>
      <c r="F85" s="107"/>
      <c r="G85" s="107"/>
    </row>
    <row r="86" spans="1:7" ht="50.1" customHeight="1" x14ac:dyDescent="0.3">
      <c r="A86" s="12"/>
      <c r="B86" s="106"/>
      <c r="C86" s="106"/>
      <c r="D86" s="106"/>
      <c r="E86" s="106"/>
      <c r="F86" s="107"/>
      <c r="G86" s="107"/>
    </row>
    <row r="87" spans="1:7" ht="50.1" customHeight="1" x14ac:dyDescent="0.3">
      <c r="A87" s="12"/>
      <c r="B87" s="106"/>
      <c r="C87" s="106"/>
      <c r="D87" s="106"/>
      <c r="E87" s="106"/>
      <c r="F87" s="107"/>
      <c r="G87" s="107"/>
    </row>
    <row r="88" spans="1:7" ht="50.1" customHeight="1" x14ac:dyDescent="0.3">
      <c r="A88" s="12"/>
      <c r="B88" s="106"/>
      <c r="C88" s="106"/>
      <c r="D88" s="106"/>
      <c r="E88" s="106"/>
      <c r="F88" s="106"/>
      <c r="G88" s="106"/>
    </row>
    <row r="89" spans="1:7" ht="50.1" customHeight="1" x14ac:dyDescent="0.3">
      <c r="A89" s="12"/>
      <c r="B89" s="106"/>
      <c r="C89" s="106"/>
      <c r="D89" s="106"/>
      <c r="E89" s="106"/>
      <c r="F89" s="107"/>
      <c r="G89" s="107"/>
    </row>
    <row r="90" spans="1:7" ht="50.1" customHeight="1" x14ac:dyDescent="0.3">
      <c r="A90" s="12"/>
      <c r="B90" s="106"/>
      <c r="C90" s="106"/>
      <c r="D90" s="106"/>
      <c r="E90" s="106"/>
      <c r="F90" s="107"/>
      <c r="G90" s="107"/>
    </row>
    <row r="91" spans="1:7" ht="50.1" customHeight="1" x14ac:dyDescent="0.3">
      <c r="A91" s="12"/>
      <c r="B91" s="106"/>
      <c r="C91" s="106"/>
      <c r="D91" s="106"/>
      <c r="E91" s="106"/>
      <c r="F91" s="106"/>
      <c r="G91" s="106"/>
    </row>
    <row r="92" spans="1:7" ht="50.1" customHeight="1" x14ac:dyDescent="0.3">
      <c r="A92" s="12"/>
      <c r="B92" s="106"/>
      <c r="C92" s="106"/>
      <c r="D92" s="106"/>
      <c r="E92" s="106"/>
      <c r="F92" s="107"/>
      <c r="G92" s="107"/>
    </row>
    <row r="93" spans="1:7" ht="50.1" customHeight="1" x14ac:dyDescent="0.3">
      <c r="A93" s="12"/>
      <c r="B93" s="106"/>
      <c r="C93" s="106"/>
      <c r="D93" s="106"/>
      <c r="E93" s="106"/>
      <c r="F93" s="107"/>
      <c r="G93" s="107"/>
    </row>
    <row r="94" spans="1:7" ht="50.1" customHeight="1" x14ac:dyDescent="0.3">
      <c r="A94" s="12"/>
      <c r="B94" s="106"/>
      <c r="C94" s="106"/>
      <c r="D94" s="106"/>
      <c r="E94" s="106"/>
      <c r="F94" s="107"/>
      <c r="G94" s="107"/>
    </row>
    <row r="95" spans="1:7" ht="50.1" customHeight="1" x14ac:dyDescent="0.3">
      <c r="A95" s="12"/>
      <c r="B95" s="106"/>
      <c r="C95" s="106"/>
      <c r="D95" s="106"/>
      <c r="E95" s="106"/>
      <c r="F95" s="107"/>
      <c r="G95" s="107"/>
    </row>
    <row r="96" spans="1:7" ht="50.1" customHeight="1" x14ac:dyDescent="0.3">
      <c r="A96" s="12"/>
      <c r="B96" s="106"/>
      <c r="C96" s="106"/>
      <c r="D96" s="106"/>
      <c r="E96" s="106"/>
      <c r="F96" s="107"/>
      <c r="G96" s="107"/>
    </row>
    <row r="97" spans="1:7" ht="50.1" customHeight="1" x14ac:dyDescent="0.3">
      <c r="A97" s="12"/>
      <c r="B97" s="106"/>
      <c r="C97" s="106"/>
      <c r="D97" s="106"/>
      <c r="E97" s="106"/>
      <c r="F97" s="107"/>
      <c r="G97" s="107"/>
    </row>
    <row r="98" spans="1:7" ht="50.1" customHeight="1" x14ac:dyDescent="0.3">
      <c r="A98" s="12"/>
      <c r="B98" s="106"/>
      <c r="C98" s="106"/>
      <c r="D98" s="106"/>
      <c r="E98" s="106"/>
      <c r="F98" s="106"/>
      <c r="G98" s="106"/>
    </row>
    <row r="99" spans="1:7" ht="50.1" customHeight="1" x14ac:dyDescent="0.3">
      <c r="A99" s="12"/>
      <c r="B99" s="106"/>
      <c r="C99" s="106"/>
      <c r="D99" s="106"/>
      <c r="E99" s="106"/>
      <c r="F99" s="107"/>
      <c r="G99" s="107"/>
    </row>
    <row r="100" spans="1:7" ht="50.1" customHeight="1" x14ac:dyDescent="0.3">
      <c r="A100" s="12"/>
      <c r="B100" s="106"/>
      <c r="C100" s="106"/>
      <c r="D100" s="106"/>
      <c r="E100" s="106"/>
      <c r="F100" s="106"/>
      <c r="G100" s="106"/>
    </row>
    <row r="101" spans="1:7" ht="50.1" customHeight="1" x14ac:dyDescent="0.3">
      <c r="A101" s="12"/>
      <c r="B101" s="106"/>
      <c r="C101" s="106"/>
      <c r="D101" s="106"/>
      <c r="E101" s="106"/>
      <c r="F101" s="107"/>
      <c r="G101" s="107"/>
    </row>
    <row r="102" spans="1:7" ht="50.1" customHeight="1" x14ac:dyDescent="0.3">
      <c r="A102" s="12"/>
      <c r="B102" s="106"/>
      <c r="C102" s="106"/>
      <c r="D102" s="106"/>
      <c r="E102" s="106"/>
      <c r="F102" s="106"/>
      <c r="G102" s="106"/>
    </row>
    <row r="103" spans="1:7" ht="50.1" customHeight="1" x14ac:dyDescent="0.3">
      <c r="A103" s="12"/>
      <c r="B103" s="106"/>
      <c r="C103" s="106"/>
      <c r="D103" s="106"/>
      <c r="E103" s="106"/>
      <c r="F103" s="107"/>
      <c r="G103" s="107"/>
    </row>
    <row r="104" spans="1:7" ht="50.1" customHeight="1" x14ac:dyDescent="0.3">
      <c r="A104" s="12"/>
      <c r="B104" s="106"/>
      <c r="C104" s="106"/>
      <c r="D104" s="106"/>
      <c r="E104" s="106"/>
      <c r="F104" s="107"/>
      <c r="G104" s="107"/>
    </row>
    <row r="105" spans="1:7" ht="50.1" customHeight="1" x14ac:dyDescent="0.3">
      <c r="A105" s="12"/>
      <c r="B105" s="106"/>
      <c r="C105" s="106"/>
      <c r="D105" s="106"/>
      <c r="E105" s="106"/>
      <c r="F105" s="107"/>
      <c r="G105" s="107"/>
    </row>
    <row r="106" spans="1:7" ht="50.1" customHeight="1" x14ac:dyDescent="0.3">
      <c r="A106" s="12"/>
      <c r="B106" s="106"/>
      <c r="C106" s="106"/>
      <c r="D106" s="106"/>
      <c r="E106" s="106"/>
      <c r="F106" s="106"/>
      <c r="G106" s="106"/>
    </row>
    <row r="107" spans="1:7" ht="50.1" customHeight="1" x14ac:dyDescent="0.3">
      <c r="A107" s="12"/>
      <c r="B107" s="106"/>
      <c r="C107" s="106"/>
      <c r="D107" s="106"/>
      <c r="E107" s="106"/>
      <c r="F107" s="107"/>
      <c r="G107" s="107"/>
    </row>
    <row r="108" spans="1:7" ht="50.1" customHeight="1" x14ac:dyDescent="0.3">
      <c r="A108" s="12"/>
      <c r="B108" s="106"/>
      <c r="C108" s="106"/>
      <c r="D108" s="106"/>
      <c r="E108" s="106"/>
      <c r="F108" s="107"/>
      <c r="G108" s="107"/>
    </row>
    <row r="109" spans="1:7" ht="50.1" customHeight="1" x14ac:dyDescent="0.3">
      <c r="A109" s="12"/>
      <c r="B109" s="106"/>
      <c r="C109" s="106"/>
      <c r="D109" s="106"/>
      <c r="E109" s="106"/>
      <c r="F109" s="107"/>
      <c r="G109" s="107"/>
    </row>
    <row r="110" spans="1:7" ht="50.1" customHeight="1" x14ac:dyDescent="0.3">
      <c r="A110" s="12"/>
      <c r="B110" s="106"/>
      <c r="C110" s="106"/>
      <c r="D110" s="106"/>
      <c r="E110" s="106"/>
      <c r="F110" s="107"/>
      <c r="G110" s="107"/>
    </row>
    <row r="111" spans="1:7" ht="50.1" customHeight="1" x14ac:dyDescent="0.3">
      <c r="A111" s="12"/>
      <c r="B111" s="106"/>
      <c r="C111" s="106"/>
      <c r="D111" s="106"/>
      <c r="E111" s="106"/>
      <c r="F111" s="107"/>
      <c r="G111" s="107"/>
    </row>
  </sheetData>
  <autoFilter ref="A1:K1" xr:uid="{197243A4-A2C9-4B19-B1B8-4356C4B1398C}"/>
  <mergeCells count="3">
    <mergeCell ref="A2:A3"/>
    <mergeCell ref="A4:A6"/>
    <mergeCell ref="A8:A15"/>
  </mergeCells>
  <conditionalFormatting sqref="I1 I4:I1048576">
    <cfRule type="containsText" dxfId="164" priority="10" operator="containsText" text="Inherited">
      <formula>NOT(ISERROR(SEARCH("Inherited",I1)))</formula>
    </cfRule>
    <cfRule type="containsText" dxfId="163" priority="11" operator="containsText" text="Implemented">
      <formula>NOT(ISERROR(SEARCH("Implemented",I1)))</formula>
    </cfRule>
    <cfRule type="containsText" dxfId="162" priority="12" operator="containsText" text="Planned">
      <formula>NOT(ISERROR(SEARCH("Planned",I1)))</formula>
    </cfRule>
  </conditionalFormatting>
  <conditionalFormatting sqref="I1:I1048576">
    <cfRule type="cellIs" dxfId="161" priority="2" operator="equal">
      <formula>"Not Selected"</formula>
    </cfRule>
  </conditionalFormatting>
  <conditionalFormatting sqref="I2:I3">
    <cfRule type="containsText" dxfId="160" priority="5" operator="containsText" text="Not Applicable">
      <formula>NOT(ISERROR(SEARCH("Not Applicable",I2)))</formula>
    </cfRule>
    <cfRule type="containsText" dxfId="159" priority="6" operator="containsText" text="Inherited">
      <formula>NOT(ISERROR(SEARCH("Inherited",I2)))</formula>
    </cfRule>
    <cfRule type="containsText" dxfId="158" priority="7" operator="containsText" text="Planned">
      <formula>NOT(ISERROR(SEARCH("Planned",I2)))</formula>
    </cfRule>
    <cfRule type="containsText" dxfId="157" priority="8" operator="containsText" text="Implemented">
      <formula>NOT(ISERROR(SEARCH("Implemented",I2)))</formula>
    </cfRule>
  </conditionalFormatting>
  <conditionalFormatting sqref="I1:J1 I4:J1048576">
    <cfRule type="containsText" dxfId="156" priority="9" operator="containsText" text="Not Applicable">
      <formula>NOT(ISERROR(SEARCH("Not Applicable",I1)))</formula>
    </cfRule>
  </conditionalFormatting>
  <conditionalFormatting sqref="J1:J1048576">
    <cfRule type="cellIs" dxfId="155" priority="1" operator="equal">
      <formula>"MET"</formula>
    </cfRule>
  </conditionalFormatting>
  <conditionalFormatting sqref="J2:J3">
    <cfRule type="containsText" dxfId="154" priority="3" operator="containsText" text="Other Than Satisfied">
      <formula>NOT(ISERROR(SEARCH("Other Than Satisfied",J2)))</formula>
    </cfRule>
    <cfRule type="containsText" dxfId="153" priority="4" operator="containsText" text="Not Applicable">
      <formula>NOT(ISERROR(SEARCH("Not Applicable",J2)))</formula>
    </cfRule>
  </conditionalFormatting>
  <dataValidations count="2">
    <dataValidation type="list" allowBlank="1" showInputMessage="1" showErrorMessage="1" sqref="J2:J15" xr:uid="{0C46E42A-2F8A-4BBF-B464-0E68B6863D9B}">
      <formula1>"MET,NOT MET"</formula1>
    </dataValidation>
    <dataValidation type="list" allowBlank="1" showInputMessage="1" showErrorMessage="1" sqref="I2:I15" xr:uid="{3162CDF7-4B6B-4DFD-BD93-267798FC72A6}">
      <formula1>"Not Selected,Planned,Inherited,Partially Implemented,Implemented"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AEE20-974E-470E-866B-9582F3887062}">
  <sheetPr>
    <tabColor rgb="FF002060"/>
  </sheetPr>
  <dimension ref="A1:K56"/>
  <sheetViews>
    <sheetView showGridLines="0" zoomScale="70" zoomScaleNormal="70" workbookViewId="0">
      <pane ySplit="1" topLeftCell="A20" activePane="bottomLeft" state="frozen"/>
      <selection activeCell="D181" sqref="D181"/>
      <selection pane="bottomLeft" activeCell="J46" sqref="J46"/>
    </sheetView>
  </sheetViews>
  <sheetFormatPr defaultColWidth="8.6640625" defaultRowHeight="50.1" customHeight="1" x14ac:dyDescent="0.3"/>
  <cols>
    <col min="1" max="1" width="22.109375" style="76" customWidth="1"/>
    <col min="2" max="3" width="16.88671875" style="44" customWidth="1"/>
    <col min="4" max="4" width="56.44140625" style="44" customWidth="1"/>
    <col min="5" max="5" width="48.44140625" style="44" customWidth="1"/>
    <col min="6" max="6" width="57" style="44" customWidth="1"/>
    <col min="7" max="7" width="35" style="44" customWidth="1"/>
    <col min="8" max="8" width="74.44140625" style="44" customWidth="1"/>
    <col min="9" max="9" width="42.5546875" style="77" customWidth="1"/>
    <col min="10" max="10" width="42.109375" style="77" customWidth="1"/>
    <col min="11" max="11" width="42.88671875" style="44" customWidth="1"/>
    <col min="12" max="16384" width="8.6640625" style="44"/>
  </cols>
  <sheetData>
    <row r="1" spans="1:11" ht="50.1" customHeight="1" thickBot="1" x14ac:dyDescent="0.35">
      <c r="A1" s="20" t="s">
        <v>43</v>
      </c>
      <c r="B1" s="20" t="s">
        <v>42</v>
      </c>
      <c r="C1" s="20" t="s">
        <v>93</v>
      </c>
      <c r="D1" s="20" t="s">
        <v>94</v>
      </c>
      <c r="E1" s="20" t="s">
        <v>95</v>
      </c>
      <c r="F1" s="20" t="s">
        <v>96</v>
      </c>
      <c r="G1" s="20" t="s">
        <v>97</v>
      </c>
      <c r="H1" s="20" t="s">
        <v>98</v>
      </c>
      <c r="I1" s="20" t="s">
        <v>44</v>
      </c>
      <c r="J1" s="20" t="s">
        <v>45</v>
      </c>
      <c r="K1" s="20" t="s">
        <v>99</v>
      </c>
    </row>
    <row r="2" spans="1:11" ht="50.1" customHeight="1" x14ac:dyDescent="0.3">
      <c r="A2" s="312" t="s">
        <v>429</v>
      </c>
      <c r="B2" s="78" t="s">
        <v>430</v>
      </c>
      <c r="C2" s="78" t="s">
        <v>436</v>
      </c>
      <c r="D2" s="78" t="s">
        <v>442</v>
      </c>
      <c r="E2" s="79" t="s">
        <v>448</v>
      </c>
      <c r="F2" s="80" t="s">
        <v>449</v>
      </c>
      <c r="G2" s="103" t="s">
        <v>450</v>
      </c>
      <c r="H2" s="121" t="s">
        <v>1368</v>
      </c>
      <c r="I2" s="52" t="s">
        <v>29</v>
      </c>
      <c r="J2" s="52" t="s">
        <v>111</v>
      </c>
      <c r="K2" s="209" t="s">
        <v>1466</v>
      </c>
    </row>
    <row r="3" spans="1:11" ht="50.1" customHeight="1" x14ac:dyDescent="0.3">
      <c r="A3" s="313"/>
      <c r="B3" s="81" t="s">
        <v>430</v>
      </c>
      <c r="C3" s="82" t="s">
        <v>437</v>
      </c>
      <c r="D3" s="82" t="s">
        <v>443</v>
      </c>
      <c r="E3" s="83"/>
      <c r="F3" s="83"/>
      <c r="G3" s="83"/>
      <c r="H3" s="122" t="s">
        <v>1369</v>
      </c>
      <c r="I3" s="48" t="s">
        <v>29</v>
      </c>
      <c r="J3" s="48" t="s">
        <v>111</v>
      </c>
      <c r="K3" s="47" t="s">
        <v>1273</v>
      </c>
    </row>
    <row r="4" spans="1:11" ht="50.1" customHeight="1" x14ac:dyDescent="0.3">
      <c r="A4" s="313"/>
      <c r="B4" s="81" t="s">
        <v>430</v>
      </c>
      <c r="C4" s="81" t="s">
        <v>438</v>
      </c>
      <c r="D4" s="81" t="s">
        <v>444</v>
      </c>
      <c r="E4" s="84"/>
      <c r="F4" s="84"/>
      <c r="G4" s="84"/>
      <c r="H4" s="122" t="s">
        <v>1370</v>
      </c>
      <c r="I4" s="48" t="s">
        <v>29</v>
      </c>
      <c r="J4" s="48" t="s">
        <v>111</v>
      </c>
      <c r="K4" s="47" t="s">
        <v>1273</v>
      </c>
    </row>
    <row r="5" spans="1:11" ht="50.1" customHeight="1" x14ac:dyDescent="0.3">
      <c r="A5" s="313"/>
      <c r="B5" s="81" t="s">
        <v>430</v>
      </c>
      <c r="C5" s="82" t="s">
        <v>439</v>
      </c>
      <c r="D5" s="82" t="s">
        <v>445</v>
      </c>
      <c r="E5" s="83"/>
      <c r="F5" s="83"/>
      <c r="G5" s="83"/>
      <c r="H5" s="122" t="s">
        <v>1371</v>
      </c>
      <c r="I5" s="48" t="s">
        <v>29</v>
      </c>
      <c r="J5" s="48" t="s">
        <v>111</v>
      </c>
      <c r="K5" s="47" t="s">
        <v>1273</v>
      </c>
    </row>
    <row r="6" spans="1:11" ht="50.1" customHeight="1" x14ac:dyDescent="0.3">
      <c r="A6" s="313"/>
      <c r="B6" s="81" t="s">
        <v>430</v>
      </c>
      <c r="C6" s="81" t="s">
        <v>440</v>
      </c>
      <c r="D6" s="81" t="s">
        <v>446</v>
      </c>
      <c r="E6" s="84"/>
      <c r="F6" s="84"/>
      <c r="G6" s="84"/>
      <c r="H6" s="122" t="s">
        <v>1372</v>
      </c>
      <c r="I6" s="48" t="s">
        <v>29</v>
      </c>
      <c r="J6" s="48" t="s">
        <v>111</v>
      </c>
      <c r="K6" s="47" t="s">
        <v>1273</v>
      </c>
    </row>
    <row r="7" spans="1:11" ht="50.1" customHeight="1" thickBot="1" x14ac:dyDescent="0.35">
      <c r="A7" s="314"/>
      <c r="B7" s="85" t="s">
        <v>430</v>
      </c>
      <c r="C7" s="97" t="s">
        <v>441</v>
      </c>
      <c r="D7" s="97" t="s">
        <v>447</v>
      </c>
      <c r="E7" s="98"/>
      <c r="F7" s="98"/>
      <c r="G7" s="98"/>
      <c r="H7" s="123" t="s">
        <v>1373</v>
      </c>
      <c r="I7" s="57" t="s">
        <v>29</v>
      </c>
      <c r="J7" s="57" t="s">
        <v>111</v>
      </c>
      <c r="K7" s="210" t="s">
        <v>1273</v>
      </c>
    </row>
    <row r="8" spans="1:11" ht="50.1" customHeight="1" x14ac:dyDescent="0.3">
      <c r="A8" s="309" t="s">
        <v>431</v>
      </c>
      <c r="B8" s="87" t="s">
        <v>451</v>
      </c>
      <c r="C8" s="87" t="s">
        <v>452</v>
      </c>
      <c r="D8" s="87" t="s">
        <v>454</v>
      </c>
      <c r="E8" s="88" t="s">
        <v>456</v>
      </c>
      <c r="F8" s="89" t="s">
        <v>457</v>
      </c>
      <c r="G8" s="90" t="s">
        <v>458</v>
      </c>
      <c r="H8" s="225" t="s">
        <v>1374</v>
      </c>
      <c r="I8" s="65" t="s">
        <v>29</v>
      </c>
      <c r="J8" s="65" t="s">
        <v>111</v>
      </c>
      <c r="K8" s="225" t="s">
        <v>1467</v>
      </c>
    </row>
    <row r="9" spans="1:11" ht="50.1" customHeight="1" thickBot="1" x14ac:dyDescent="0.35">
      <c r="A9" s="310"/>
      <c r="B9" s="91" t="s">
        <v>451</v>
      </c>
      <c r="C9" s="92" t="s">
        <v>453</v>
      </c>
      <c r="D9" s="92" t="s">
        <v>455</v>
      </c>
      <c r="E9" s="93"/>
      <c r="F9" s="93"/>
      <c r="G9" s="93"/>
      <c r="H9" s="227" t="s">
        <v>1468</v>
      </c>
      <c r="I9" s="69" t="s">
        <v>29</v>
      </c>
      <c r="J9" s="69" t="s">
        <v>111</v>
      </c>
      <c r="K9" s="227" t="s">
        <v>1469</v>
      </c>
    </row>
    <row r="10" spans="1:11" ht="50.1" customHeight="1" x14ac:dyDescent="0.3">
      <c r="A10" s="323" t="s">
        <v>432</v>
      </c>
      <c r="B10" s="94" t="s">
        <v>463</v>
      </c>
      <c r="C10" s="78" t="s">
        <v>459</v>
      </c>
      <c r="D10" s="94" t="s">
        <v>464</v>
      </c>
      <c r="E10" s="95" t="s">
        <v>468</v>
      </c>
      <c r="F10" s="96" t="s">
        <v>469</v>
      </c>
      <c r="G10" s="105" t="s">
        <v>470</v>
      </c>
      <c r="H10" s="209" t="s">
        <v>1441</v>
      </c>
      <c r="I10" s="52" t="s">
        <v>29</v>
      </c>
      <c r="J10" s="52" t="s">
        <v>111</v>
      </c>
      <c r="K10" s="209" t="s">
        <v>1273</v>
      </c>
    </row>
    <row r="11" spans="1:11" ht="50.1" customHeight="1" x14ac:dyDescent="0.3">
      <c r="A11" s="318"/>
      <c r="B11" s="82" t="s">
        <v>463</v>
      </c>
      <c r="C11" s="82" t="s">
        <v>460</v>
      </c>
      <c r="D11" s="81" t="s">
        <v>465</v>
      </c>
      <c r="E11" s="84"/>
      <c r="F11" s="84"/>
      <c r="G11" s="84"/>
      <c r="H11" s="47" t="s">
        <v>1442</v>
      </c>
      <c r="I11" s="48" t="s">
        <v>29</v>
      </c>
      <c r="J11" s="48" t="s">
        <v>111</v>
      </c>
      <c r="K11" s="47" t="s">
        <v>1273</v>
      </c>
    </row>
    <row r="12" spans="1:11" ht="50.1" customHeight="1" x14ac:dyDescent="0.3">
      <c r="A12" s="318"/>
      <c r="B12" s="82" t="s">
        <v>463</v>
      </c>
      <c r="C12" s="81" t="s">
        <v>461</v>
      </c>
      <c r="D12" s="82" t="s">
        <v>466</v>
      </c>
      <c r="E12" s="83"/>
      <c r="F12" s="83"/>
      <c r="G12" s="83"/>
      <c r="H12" s="47" t="s">
        <v>1443</v>
      </c>
      <c r="I12" s="48" t="s">
        <v>29</v>
      </c>
      <c r="J12" s="48" t="s">
        <v>111</v>
      </c>
      <c r="K12" s="47" t="s">
        <v>1273</v>
      </c>
    </row>
    <row r="13" spans="1:11" ht="50.1" customHeight="1" thickBot="1" x14ac:dyDescent="0.35">
      <c r="A13" s="324"/>
      <c r="B13" s="97" t="s">
        <v>463</v>
      </c>
      <c r="C13" s="97" t="s">
        <v>462</v>
      </c>
      <c r="D13" s="85" t="s">
        <v>467</v>
      </c>
      <c r="E13" s="86"/>
      <c r="F13" s="86"/>
      <c r="G13" s="86"/>
      <c r="H13" s="210" t="s">
        <v>1441</v>
      </c>
      <c r="I13" s="57" t="s">
        <v>29</v>
      </c>
      <c r="J13" s="57" t="s">
        <v>111</v>
      </c>
      <c r="K13" s="210" t="s">
        <v>1273</v>
      </c>
    </row>
    <row r="14" spans="1:11" ht="50.1" customHeight="1" thickBot="1" x14ac:dyDescent="0.35">
      <c r="A14" s="257" t="s">
        <v>433</v>
      </c>
      <c r="B14" s="112" t="s">
        <v>471</v>
      </c>
      <c r="C14" s="112" t="s">
        <v>472</v>
      </c>
      <c r="D14" s="112" t="s">
        <v>473</v>
      </c>
      <c r="E14" s="113" t="s">
        <v>474</v>
      </c>
      <c r="F14" s="114" t="s">
        <v>475</v>
      </c>
      <c r="G14" s="115" t="s">
        <v>476</v>
      </c>
      <c r="H14" s="203" t="s">
        <v>1444</v>
      </c>
      <c r="I14" s="74" t="s">
        <v>29</v>
      </c>
      <c r="J14" s="74" t="s">
        <v>111</v>
      </c>
      <c r="K14" s="203" t="s">
        <v>1273</v>
      </c>
    </row>
    <row r="15" spans="1:11" ht="50.1" customHeight="1" x14ac:dyDescent="0.3">
      <c r="A15" s="323" t="s">
        <v>60</v>
      </c>
      <c r="B15" s="94" t="s">
        <v>477</v>
      </c>
      <c r="C15" s="78" t="s">
        <v>478</v>
      </c>
      <c r="D15" s="94" t="s">
        <v>486</v>
      </c>
      <c r="E15" s="95" t="s">
        <v>494</v>
      </c>
      <c r="F15" s="96" t="s">
        <v>495</v>
      </c>
      <c r="G15" s="105" t="s">
        <v>496</v>
      </c>
      <c r="H15" s="306" t="s">
        <v>1445</v>
      </c>
      <c r="I15" s="52" t="s">
        <v>29</v>
      </c>
      <c r="J15" s="52" t="s">
        <v>111</v>
      </c>
      <c r="K15" s="306" t="s">
        <v>1273</v>
      </c>
    </row>
    <row r="16" spans="1:11" ht="50.1" customHeight="1" x14ac:dyDescent="0.3">
      <c r="A16" s="318"/>
      <c r="B16" s="82" t="s">
        <v>477</v>
      </c>
      <c r="C16" s="82" t="s">
        <v>479</v>
      </c>
      <c r="D16" s="81" t="s">
        <v>487</v>
      </c>
      <c r="E16" s="84"/>
      <c r="F16" s="84"/>
      <c r="G16" s="84"/>
      <c r="H16" s="308"/>
      <c r="I16" s="48" t="s">
        <v>29</v>
      </c>
      <c r="J16" s="48" t="s">
        <v>111</v>
      </c>
      <c r="K16" s="308"/>
    </row>
    <row r="17" spans="1:11" ht="50.1" customHeight="1" x14ac:dyDescent="0.3">
      <c r="A17" s="318"/>
      <c r="B17" s="82" t="s">
        <v>477</v>
      </c>
      <c r="C17" s="81" t="s">
        <v>480</v>
      </c>
      <c r="D17" s="81" t="s">
        <v>488</v>
      </c>
      <c r="E17" s="84"/>
      <c r="F17" s="84"/>
      <c r="G17" s="84"/>
      <c r="H17" s="308"/>
      <c r="I17" s="48" t="s">
        <v>29</v>
      </c>
      <c r="J17" s="48" t="s">
        <v>111</v>
      </c>
      <c r="K17" s="308"/>
    </row>
    <row r="18" spans="1:11" ht="50.1" customHeight="1" x14ac:dyDescent="0.3">
      <c r="A18" s="318"/>
      <c r="B18" s="82" t="s">
        <v>477</v>
      </c>
      <c r="C18" s="82" t="s">
        <v>481</v>
      </c>
      <c r="D18" s="81" t="s">
        <v>489</v>
      </c>
      <c r="E18" s="84"/>
      <c r="F18" s="84"/>
      <c r="G18" s="84"/>
      <c r="H18" s="320"/>
      <c r="I18" s="48" t="s">
        <v>29</v>
      </c>
      <c r="J18" s="48" t="s">
        <v>111</v>
      </c>
      <c r="K18" s="320"/>
    </row>
    <row r="19" spans="1:11" ht="50.1" customHeight="1" x14ac:dyDescent="0.3">
      <c r="A19" s="318"/>
      <c r="B19" s="82" t="s">
        <v>477</v>
      </c>
      <c r="C19" s="81" t="s">
        <v>482</v>
      </c>
      <c r="D19" s="81" t="s">
        <v>490</v>
      </c>
      <c r="E19" s="84"/>
      <c r="F19" s="84"/>
      <c r="G19" s="84"/>
      <c r="H19" s="47" t="s">
        <v>1446</v>
      </c>
      <c r="I19" s="48" t="s">
        <v>29</v>
      </c>
      <c r="J19" s="48" t="s">
        <v>111</v>
      </c>
      <c r="K19" s="47" t="s">
        <v>1273</v>
      </c>
    </row>
    <row r="20" spans="1:11" ht="50.1" customHeight="1" x14ac:dyDescent="0.3">
      <c r="A20" s="318"/>
      <c r="B20" s="82" t="s">
        <v>477</v>
      </c>
      <c r="C20" s="82" t="s">
        <v>483</v>
      </c>
      <c r="D20" s="82" t="s">
        <v>491</v>
      </c>
      <c r="E20" s="83"/>
      <c r="F20" s="83"/>
      <c r="G20" s="83"/>
      <c r="H20" s="321" t="s">
        <v>1447</v>
      </c>
      <c r="I20" s="48" t="s">
        <v>29</v>
      </c>
      <c r="J20" s="48" t="s">
        <v>111</v>
      </c>
      <c r="K20" s="319" t="s">
        <v>1273</v>
      </c>
    </row>
    <row r="21" spans="1:11" ht="50.1" customHeight="1" x14ac:dyDescent="0.3">
      <c r="A21" s="318"/>
      <c r="B21" s="99" t="s">
        <v>477</v>
      </c>
      <c r="C21" s="87" t="s">
        <v>484</v>
      </c>
      <c r="D21" s="87" t="s">
        <v>492</v>
      </c>
      <c r="E21" s="84"/>
      <c r="F21" s="84"/>
      <c r="G21" s="84"/>
      <c r="H21" s="322"/>
      <c r="I21" s="48" t="s">
        <v>29</v>
      </c>
      <c r="J21" s="48" t="s">
        <v>111</v>
      </c>
      <c r="K21" s="320"/>
    </row>
    <row r="22" spans="1:11" ht="50.1" customHeight="1" thickBot="1" x14ac:dyDescent="0.35">
      <c r="A22" s="324"/>
      <c r="B22" s="97" t="s">
        <v>477</v>
      </c>
      <c r="C22" s="97" t="s">
        <v>485</v>
      </c>
      <c r="D22" s="97" t="s">
        <v>493</v>
      </c>
      <c r="E22" s="98"/>
      <c r="F22" s="98"/>
      <c r="G22" s="98"/>
      <c r="H22" s="210" t="s">
        <v>1448</v>
      </c>
      <c r="I22" s="57" t="s">
        <v>29</v>
      </c>
      <c r="J22" s="57" t="s">
        <v>111</v>
      </c>
      <c r="K22" s="210" t="s">
        <v>1273</v>
      </c>
    </row>
    <row r="23" spans="1:11" ht="50.1" customHeight="1" x14ac:dyDescent="0.3">
      <c r="A23" s="316" t="s">
        <v>61</v>
      </c>
      <c r="B23" s="99" t="s">
        <v>497</v>
      </c>
      <c r="C23" s="87" t="s">
        <v>498</v>
      </c>
      <c r="D23" s="99" t="s">
        <v>500</v>
      </c>
      <c r="E23" s="100" t="s">
        <v>502</v>
      </c>
      <c r="F23" s="101" t="s">
        <v>457</v>
      </c>
      <c r="G23" s="102" t="s">
        <v>503</v>
      </c>
      <c r="H23" s="225" t="s">
        <v>1449</v>
      </c>
      <c r="I23" s="65" t="s">
        <v>29</v>
      </c>
      <c r="J23" s="65" t="s">
        <v>111</v>
      </c>
      <c r="K23" s="225" t="s">
        <v>1470</v>
      </c>
    </row>
    <row r="24" spans="1:11" ht="50.1" customHeight="1" thickBot="1" x14ac:dyDescent="0.35">
      <c r="A24" s="315"/>
      <c r="B24" s="92" t="s">
        <v>497</v>
      </c>
      <c r="C24" s="92" t="s">
        <v>499</v>
      </c>
      <c r="D24" s="91" t="s">
        <v>501</v>
      </c>
      <c r="E24" s="104"/>
      <c r="F24" s="104"/>
      <c r="G24" s="104"/>
      <c r="H24" s="227" t="s">
        <v>1450</v>
      </c>
      <c r="I24" s="69" t="s">
        <v>29</v>
      </c>
      <c r="J24" s="69" t="s">
        <v>111</v>
      </c>
      <c r="K24" s="227" t="s">
        <v>1471</v>
      </c>
    </row>
    <row r="25" spans="1:11" ht="50.1" customHeight="1" x14ac:dyDescent="0.3">
      <c r="A25" s="309" t="s">
        <v>434</v>
      </c>
      <c r="B25" s="78" t="s">
        <v>504</v>
      </c>
      <c r="C25" s="78" t="s">
        <v>505</v>
      </c>
      <c r="D25" s="78" t="s">
        <v>520</v>
      </c>
      <c r="E25" s="79" t="s">
        <v>535</v>
      </c>
      <c r="F25" s="80" t="s">
        <v>536</v>
      </c>
      <c r="G25" s="103" t="s">
        <v>537</v>
      </c>
      <c r="H25" s="209" t="s">
        <v>1451</v>
      </c>
      <c r="I25" s="52" t="s">
        <v>29</v>
      </c>
      <c r="J25" s="52" t="s">
        <v>111</v>
      </c>
      <c r="K25" s="209" t="s">
        <v>1273</v>
      </c>
    </row>
    <row r="26" spans="1:11" ht="50.1" customHeight="1" x14ac:dyDescent="0.3">
      <c r="A26" s="310"/>
      <c r="B26" s="81" t="s">
        <v>504</v>
      </c>
      <c r="C26" s="82" t="s">
        <v>506</v>
      </c>
      <c r="D26" s="82" t="s">
        <v>521</v>
      </c>
      <c r="E26" s="83"/>
      <c r="F26" s="83"/>
      <c r="G26" s="83"/>
      <c r="H26" s="47" t="s">
        <v>1452</v>
      </c>
      <c r="I26" s="48" t="s">
        <v>29</v>
      </c>
      <c r="J26" s="48" t="s">
        <v>111</v>
      </c>
      <c r="K26" s="47" t="s">
        <v>1273</v>
      </c>
    </row>
    <row r="27" spans="1:11" ht="50.1" customHeight="1" x14ac:dyDescent="0.3">
      <c r="A27" s="310"/>
      <c r="B27" s="91" t="s">
        <v>504</v>
      </c>
      <c r="C27" s="81" t="s">
        <v>507</v>
      </c>
      <c r="D27" s="92" t="s">
        <v>522</v>
      </c>
      <c r="E27" s="93"/>
      <c r="F27" s="93"/>
      <c r="G27" s="93"/>
      <c r="H27" s="47" t="s">
        <v>1453</v>
      </c>
      <c r="I27" s="48" t="s">
        <v>29</v>
      </c>
      <c r="J27" s="48" t="s">
        <v>111</v>
      </c>
      <c r="K27" s="47" t="s">
        <v>1470</v>
      </c>
    </row>
    <row r="28" spans="1:11" ht="50.1" customHeight="1" x14ac:dyDescent="0.3">
      <c r="A28" s="310"/>
      <c r="B28" s="91" t="s">
        <v>504</v>
      </c>
      <c r="C28" s="82" t="s">
        <v>508</v>
      </c>
      <c r="D28" s="92" t="s">
        <v>523</v>
      </c>
      <c r="E28" s="93"/>
      <c r="F28" s="93"/>
      <c r="G28" s="93"/>
      <c r="H28" s="47" t="s">
        <v>1456</v>
      </c>
      <c r="I28" s="48" t="s">
        <v>29</v>
      </c>
      <c r="J28" s="48" t="s">
        <v>111</v>
      </c>
      <c r="K28" s="47" t="s">
        <v>1273</v>
      </c>
    </row>
    <row r="29" spans="1:11" ht="50.1" customHeight="1" x14ac:dyDescent="0.3">
      <c r="A29" s="310"/>
      <c r="B29" s="81" t="s">
        <v>504</v>
      </c>
      <c r="C29" s="81" t="s">
        <v>509</v>
      </c>
      <c r="D29" s="82" t="s">
        <v>524</v>
      </c>
      <c r="E29" s="93"/>
      <c r="F29" s="93"/>
      <c r="G29" s="93"/>
      <c r="H29" s="47" t="s">
        <v>1455</v>
      </c>
      <c r="I29" s="48" t="s">
        <v>29</v>
      </c>
      <c r="J29" s="48" t="s">
        <v>111</v>
      </c>
      <c r="K29" s="47" t="s">
        <v>1273</v>
      </c>
    </row>
    <row r="30" spans="1:11" ht="50.1" customHeight="1" x14ac:dyDescent="0.3">
      <c r="A30" s="310"/>
      <c r="B30" s="81" t="s">
        <v>504</v>
      </c>
      <c r="C30" s="82" t="s">
        <v>510</v>
      </c>
      <c r="D30" s="82" t="s">
        <v>525</v>
      </c>
      <c r="E30" s="93"/>
      <c r="F30" s="93"/>
      <c r="G30" s="93"/>
      <c r="H30" s="47" t="s">
        <v>1457</v>
      </c>
      <c r="I30" s="48" t="s">
        <v>29</v>
      </c>
      <c r="J30" s="48" t="s">
        <v>111</v>
      </c>
      <c r="K30" s="47" t="s">
        <v>1471</v>
      </c>
    </row>
    <row r="31" spans="1:11" ht="50.1" customHeight="1" x14ac:dyDescent="0.3">
      <c r="A31" s="310"/>
      <c r="B31" s="81" t="s">
        <v>504</v>
      </c>
      <c r="C31" s="81" t="s">
        <v>511</v>
      </c>
      <c r="D31" s="82" t="s">
        <v>526</v>
      </c>
      <c r="E31" s="93"/>
      <c r="F31" s="93"/>
      <c r="G31" s="93"/>
      <c r="H31" s="47" t="s">
        <v>1454</v>
      </c>
      <c r="I31" s="48" t="s">
        <v>29</v>
      </c>
      <c r="J31" s="48" t="s">
        <v>111</v>
      </c>
      <c r="K31" s="47" t="s">
        <v>1273</v>
      </c>
    </row>
    <row r="32" spans="1:11" ht="50.1" customHeight="1" x14ac:dyDescent="0.3">
      <c r="A32" s="310"/>
      <c r="B32" s="81" t="s">
        <v>504</v>
      </c>
      <c r="C32" s="82" t="s">
        <v>512</v>
      </c>
      <c r="D32" s="228" t="s">
        <v>527</v>
      </c>
      <c r="E32" s="93"/>
      <c r="F32" s="93"/>
      <c r="G32" s="93"/>
      <c r="H32" s="47" t="s">
        <v>1459</v>
      </c>
      <c r="I32" s="48" t="s">
        <v>29</v>
      </c>
      <c r="J32" s="48" t="s">
        <v>111</v>
      </c>
      <c r="K32" s="47" t="s">
        <v>1273</v>
      </c>
    </row>
    <row r="33" spans="1:11" ht="50.1" customHeight="1" x14ac:dyDescent="0.3">
      <c r="A33" s="310"/>
      <c r="B33" s="81" t="s">
        <v>504</v>
      </c>
      <c r="C33" s="81" t="s">
        <v>513</v>
      </c>
      <c r="D33" s="82" t="s">
        <v>528</v>
      </c>
      <c r="E33" s="93"/>
      <c r="F33" s="93"/>
      <c r="G33" s="93"/>
      <c r="H33" s="47" t="s">
        <v>1458</v>
      </c>
      <c r="I33" s="48" t="s">
        <v>29</v>
      </c>
      <c r="J33" s="48" t="s">
        <v>111</v>
      </c>
      <c r="K33" s="47" t="s">
        <v>1471</v>
      </c>
    </row>
    <row r="34" spans="1:11" ht="50.1" customHeight="1" x14ac:dyDescent="0.3">
      <c r="A34" s="310"/>
      <c r="B34" s="81" t="s">
        <v>504</v>
      </c>
      <c r="C34" s="82" t="s">
        <v>514</v>
      </c>
      <c r="D34" s="82" t="s">
        <v>529</v>
      </c>
      <c r="E34" s="93"/>
      <c r="F34" s="93"/>
      <c r="G34" s="93"/>
      <c r="H34" s="47" t="s">
        <v>1454</v>
      </c>
      <c r="I34" s="48" t="s">
        <v>29</v>
      </c>
      <c r="J34" s="48" t="s">
        <v>111</v>
      </c>
      <c r="K34" s="47" t="s">
        <v>1273</v>
      </c>
    </row>
    <row r="35" spans="1:11" ht="50.1" customHeight="1" x14ac:dyDescent="0.3">
      <c r="A35" s="310"/>
      <c r="B35" s="81" t="s">
        <v>504</v>
      </c>
      <c r="C35" s="81" t="s">
        <v>515</v>
      </c>
      <c r="D35" s="82" t="s">
        <v>530</v>
      </c>
      <c r="E35" s="93"/>
      <c r="F35" s="93"/>
      <c r="G35" s="93"/>
      <c r="H35" s="47" t="s">
        <v>1459</v>
      </c>
      <c r="I35" s="48" t="s">
        <v>29</v>
      </c>
      <c r="J35" s="48" t="s">
        <v>111</v>
      </c>
      <c r="K35" s="47" t="s">
        <v>1273</v>
      </c>
    </row>
    <row r="36" spans="1:11" ht="50.1" customHeight="1" x14ac:dyDescent="0.3">
      <c r="A36" s="310"/>
      <c r="B36" s="81" t="s">
        <v>504</v>
      </c>
      <c r="C36" s="82" t="s">
        <v>516</v>
      </c>
      <c r="D36" s="82" t="s">
        <v>531</v>
      </c>
      <c r="E36" s="93"/>
      <c r="F36" s="93"/>
      <c r="G36" s="93"/>
      <c r="H36" s="47" t="s">
        <v>1458</v>
      </c>
      <c r="I36" s="48" t="s">
        <v>29</v>
      </c>
      <c r="J36" s="48" t="s">
        <v>111</v>
      </c>
      <c r="K36" s="47" t="s">
        <v>1273</v>
      </c>
    </row>
    <row r="37" spans="1:11" ht="50.1" customHeight="1" x14ac:dyDescent="0.3">
      <c r="A37" s="310"/>
      <c r="B37" s="108" t="s">
        <v>504</v>
      </c>
      <c r="C37" s="99" t="s">
        <v>517</v>
      </c>
      <c r="D37" s="112" t="s">
        <v>532</v>
      </c>
      <c r="E37" s="93"/>
      <c r="F37" s="93"/>
      <c r="G37" s="93"/>
      <c r="H37" s="47" t="s">
        <v>1454</v>
      </c>
      <c r="I37" s="48" t="s">
        <v>29</v>
      </c>
      <c r="J37" s="48" t="s">
        <v>111</v>
      </c>
      <c r="K37" s="47" t="s">
        <v>1273</v>
      </c>
    </row>
    <row r="38" spans="1:11" ht="50.1" customHeight="1" x14ac:dyDescent="0.3">
      <c r="A38" s="310"/>
      <c r="B38" s="91" t="s">
        <v>504</v>
      </c>
      <c r="C38" s="81" t="s">
        <v>518</v>
      </c>
      <c r="D38" s="92" t="s">
        <v>533</v>
      </c>
      <c r="E38" s="93"/>
      <c r="F38" s="93"/>
      <c r="G38" s="93"/>
      <c r="H38" s="47" t="s">
        <v>1459</v>
      </c>
      <c r="I38" s="48" t="s">
        <v>29</v>
      </c>
      <c r="J38" s="48" t="s">
        <v>111</v>
      </c>
      <c r="K38" s="47" t="s">
        <v>1273</v>
      </c>
    </row>
    <row r="39" spans="1:11" ht="50.1" customHeight="1" thickBot="1" x14ac:dyDescent="0.35">
      <c r="A39" s="311"/>
      <c r="B39" s="85" t="s">
        <v>504</v>
      </c>
      <c r="C39" s="97" t="s">
        <v>519</v>
      </c>
      <c r="D39" s="85" t="s">
        <v>534</v>
      </c>
      <c r="E39" s="86"/>
      <c r="F39" s="86"/>
      <c r="G39" s="86"/>
      <c r="H39" s="210" t="s">
        <v>1458</v>
      </c>
      <c r="I39" s="57" t="s">
        <v>29</v>
      </c>
      <c r="J39" s="57" t="s">
        <v>111</v>
      </c>
      <c r="K39" s="210" t="s">
        <v>1471</v>
      </c>
    </row>
    <row r="40" spans="1:11" ht="50.1" customHeight="1" x14ac:dyDescent="0.3">
      <c r="A40" s="309" t="s">
        <v>435</v>
      </c>
      <c r="B40" s="87" t="s">
        <v>538</v>
      </c>
      <c r="C40" s="87" t="s">
        <v>539</v>
      </c>
      <c r="D40" s="87" t="s">
        <v>542</v>
      </c>
      <c r="E40" s="88" t="s">
        <v>543</v>
      </c>
      <c r="F40" s="89" t="s">
        <v>544</v>
      </c>
      <c r="G40" s="90" t="s">
        <v>545</v>
      </c>
      <c r="H40" s="225" t="s">
        <v>1460</v>
      </c>
      <c r="I40" s="65" t="s">
        <v>29</v>
      </c>
      <c r="J40" s="65" t="s">
        <v>111</v>
      </c>
      <c r="K40" s="225" t="s">
        <v>1297</v>
      </c>
    </row>
    <row r="41" spans="1:11" ht="50.1" customHeight="1" x14ac:dyDescent="0.3">
      <c r="A41" s="310"/>
      <c r="B41" s="81" t="s">
        <v>538</v>
      </c>
      <c r="C41" s="82" t="s">
        <v>540</v>
      </c>
      <c r="D41" s="82" t="s">
        <v>1254</v>
      </c>
      <c r="E41" s="83"/>
      <c r="F41" s="83"/>
      <c r="G41" s="83"/>
      <c r="H41" s="47" t="s">
        <v>1462</v>
      </c>
      <c r="I41" s="48" t="s">
        <v>29</v>
      </c>
      <c r="J41" s="48" t="s">
        <v>111</v>
      </c>
      <c r="K41" s="47" t="s">
        <v>1472</v>
      </c>
    </row>
    <row r="42" spans="1:11" ht="50.1" customHeight="1" thickBot="1" x14ac:dyDescent="0.35">
      <c r="A42" s="310"/>
      <c r="B42" s="91" t="s">
        <v>538</v>
      </c>
      <c r="C42" s="91" t="s">
        <v>541</v>
      </c>
      <c r="D42" s="91" t="s">
        <v>1255</v>
      </c>
      <c r="E42" s="104"/>
      <c r="F42" s="104"/>
      <c r="G42" s="104"/>
      <c r="H42" s="227" t="s">
        <v>1461</v>
      </c>
      <c r="I42" s="69" t="s">
        <v>29</v>
      </c>
      <c r="J42" s="69" t="s">
        <v>111</v>
      </c>
      <c r="K42" s="227" t="s">
        <v>1262</v>
      </c>
    </row>
    <row r="43" spans="1:11" ht="50.1" customHeight="1" x14ac:dyDescent="0.3">
      <c r="A43" s="316" t="s">
        <v>62</v>
      </c>
      <c r="B43" s="78" t="s">
        <v>546</v>
      </c>
      <c r="C43" s="78" t="s">
        <v>547</v>
      </c>
      <c r="D43" s="94" t="s">
        <v>550</v>
      </c>
      <c r="E43" s="95" t="s">
        <v>553</v>
      </c>
      <c r="F43" s="96" t="s">
        <v>554</v>
      </c>
      <c r="G43" s="105" t="s">
        <v>555</v>
      </c>
      <c r="H43" s="209" t="s">
        <v>1463</v>
      </c>
      <c r="I43" s="52" t="s">
        <v>29</v>
      </c>
      <c r="J43" s="52" t="s">
        <v>111</v>
      </c>
      <c r="K43" s="209" t="s">
        <v>1297</v>
      </c>
    </row>
    <row r="44" spans="1:11" ht="50.1" customHeight="1" x14ac:dyDescent="0.3">
      <c r="A44" s="315"/>
      <c r="B44" s="81" t="s">
        <v>546</v>
      </c>
      <c r="C44" s="82" t="s">
        <v>548</v>
      </c>
      <c r="D44" s="112" t="s">
        <v>551</v>
      </c>
      <c r="E44" s="84"/>
      <c r="F44" s="84"/>
      <c r="G44" s="84"/>
      <c r="H44" s="47" t="s">
        <v>1464</v>
      </c>
      <c r="I44" s="48" t="s">
        <v>29</v>
      </c>
      <c r="J44" s="48" t="s">
        <v>111</v>
      </c>
      <c r="K44" s="47" t="s">
        <v>1472</v>
      </c>
    </row>
    <row r="45" spans="1:11" ht="50.1" customHeight="1" thickBot="1" x14ac:dyDescent="0.35">
      <c r="A45" s="317"/>
      <c r="B45" s="85" t="s">
        <v>546</v>
      </c>
      <c r="C45" s="85" t="s">
        <v>549</v>
      </c>
      <c r="D45" s="85" t="s">
        <v>552</v>
      </c>
      <c r="E45" s="229"/>
      <c r="F45" s="229"/>
      <c r="G45" s="229"/>
      <c r="H45" s="210" t="s">
        <v>1465</v>
      </c>
      <c r="I45" s="57" t="s">
        <v>29</v>
      </c>
      <c r="J45" s="57" t="s">
        <v>111</v>
      </c>
      <c r="K45" s="210" t="s">
        <v>1262</v>
      </c>
    </row>
    <row r="46" spans="1:11" ht="50.1" customHeight="1" x14ac:dyDescent="0.3">
      <c r="A46" s="12"/>
      <c r="B46" s="106"/>
      <c r="C46" s="106"/>
      <c r="D46" s="106"/>
      <c r="E46" s="106"/>
      <c r="F46" s="107"/>
      <c r="G46" s="107"/>
    </row>
    <row r="47" spans="1:11" ht="50.1" customHeight="1" x14ac:dyDescent="0.3">
      <c r="A47" s="12"/>
      <c r="B47" s="106"/>
      <c r="C47" s="106"/>
      <c r="D47" s="106"/>
      <c r="E47" s="106"/>
      <c r="F47" s="106"/>
      <c r="G47" s="106"/>
    </row>
    <row r="48" spans="1:11" ht="50.1" customHeight="1" x14ac:dyDescent="0.3">
      <c r="A48" s="12"/>
      <c r="B48" s="106"/>
      <c r="C48" s="106"/>
      <c r="D48" s="106"/>
      <c r="E48" s="106"/>
      <c r="F48" s="107"/>
      <c r="G48" s="107"/>
    </row>
    <row r="49" spans="1:7" ht="50.1" customHeight="1" x14ac:dyDescent="0.3">
      <c r="A49" s="12"/>
      <c r="B49" s="106"/>
      <c r="C49" s="106"/>
      <c r="D49" s="106"/>
      <c r="E49" s="106"/>
      <c r="F49" s="107"/>
      <c r="G49" s="107"/>
    </row>
    <row r="50" spans="1:7" ht="50.1" customHeight="1" x14ac:dyDescent="0.3">
      <c r="A50" s="12"/>
      <c r="B50" s="106"/>
      <c r="C50" s="106"/>
      <c r="D50" s="106"/>
      <c r="E50" s="106"/>
      <c r="F50" s="107"/>
      <c r="G50" s="107"/>
    </row>
    <row r="51" spans="1:7" ht="50.1" customHeight="1" x14ac:dyDescent="0.3">
      <c r="A51" s="12"/>
      <c r="B51" s="106"/>
      <c r="C51" s="106"/>
      <c r="D51" s="106"/>
      <c r="E51" s="106"/>
      <c r="F51" s="106"/>
      <c r="G51" s="106"/>
    </row>
    <row r="52" spans="1:7" ht="50.1" customHeight="1" x14ac:dyDescent="0.3">
      <c r="A52" s="12"/>
      <c r="B52" s="106"/>
      <c r="C52" s="106"/>
      <c r="D52" s="106"/>
      <c r="E52" s="106"/>
      <c r="F52" s="107"/>
      <c r="G52" s="107"/>
    </row>
    <row r="53" spans="1:7" ht="50.1" customHeight="1" x14ac:dyDescent="0.3">
      <c r="A53" s="12"/>
      <c r="B53" s="106"/>
      <c r="C53" s="106"/>
      <c r="D53" s="106"/>
      <c r="E53" s="106"/>
      <c r="F53" s="107"/>
      <c r="G53" s="107"/>
    </row>
    <row r="54" spans="1:7" ht="50.1" customHeight="1" x14ac:dyDescent="0.3">
      <c r="A54" s="12"/>
      <c r="B54" s="106"/>
      <c r="C54" s="106"/>
      <c r="D54" s="106"/>
      <c r="E54" s="106"/>
      <c r="F54" s="107"/>
      <c r="G54" s="107"/>
    </row>
    <row r="55" spans="1:7" ht="50.1" customHeight="1" x14ac:dyDescent="0.3">
      <c r="A55" s="12"/>
      <c r="B55" s="106"/>
      <c r="C55" s="106"/>
      <c r="D55" s="106"/>
      <c r="E55" s="106"/>
      <c r="F55" s="107"/>
      <c r="G55" s="107"/>
    </row>
    <row r="56" spans="1:7" ht="50.1" customHeight="1" x14ac:dyDescent="0.3">
      <c r="A56" s="12"/>
      <c r="B56" s="106"/>
      <c r="C56" s="106"/>
      <c r="D56" s="106"/>
      <c r="E56" s="106"/>
      <c r="F56" s="107"/>
      <c r="G56" s="107"/>
    </row>
  </sheetData>
  <autoFilter ref="A1:K1" xr:uid="{B0CAEE20-974E-470E-866B-9582F3887062}"/>
  <mergeCells count="12">
    <mergeCell ref="A40:A42"/>
    <mergeCell ref="A43:A45"/>
    <mergeCell ref="A2:A7"/>
    <mergeCell ref="A8:A9"/>
    <mergeCell ref="A10:A13"/>
    <mergeCell ref="A15:A22"/>
    <mergeCell ref="A23:A24"/>
    <mergeCell ref="K15:K18"/>
    <mergeCell ref="K20:K21"/>
    <mergeCell ref="H15:H18"/>
    <mergeCell ref="H20:H21"/>
    <mergeCell ref="A25:A39"/>
  </mergeCells>
  <conditionalFormatting sqref="I1 I8:I1048576">
    <cfRule type="containsText" dxfId="152" priority="21" operator="containsText" text="Planned">
      <formula>NOT(ISERROR(SEARCH("Planned",I1)))</formula>
    </cfRule>
  </conditionalFormatting>
  <conditionalFormatting sqref="I1:I1048576">
    <cfRule type="cellIs" dxfId="151" priority="3" operator="equal">
      <formula>"Not Selected"</formula>
    </cfRule>
    <cfRule type="containsText" dxfId="150" priority="13" operator="containsText" text="Inherited">
      <formula>NOT(ISERROR(SEARCH("Inherited",I1)))</formula>
    </cfRule>
    <cfRule type="containsText" dxfId="149" priority="15" operator="containsText" text="Implemented">
      <formula>NOT(ISERROR(SEARCH("Implemented",I1)))</formula>
    </cfRule>
  </conditionalFormatting>
  <conditionalFormatting sqref="I2:I7">
    <cfRule type="containsText" dxfId="148" priority="12" operator="containsText" text="Not Applicable">
      <formula>NOT(ISERROR(SEARCH("Not Applicable",I2)))</formula>
    </cfRule>
    <cfRule type="containsText" dxfId="147" priority="14" operator="containsText" text="Planned">
      <formula>NOT(ISERROR(SEARCH("Planned",I2)))</formula>
    </cfRule>
  </conditionalFormatting>
  <conditionalFormatting sqref="I1:J1 I8:J1048576">
    <cfRule type="containsText" dxfId="146" priority="22" operator="containsText" text="Not Applicable">
      <formula>NOT(ISERROR(SEARCH("Not Applicable",I1)))</formula>
    </cfRule>
  </conditionalFormatting>
  <conditionalFormatting sqref="J1 J8:J1048576">
    <cfRule type="containsText" dxfId="145" priority="16" operator="containsText" text="Partially Satisfied">
      <formula>NOT(ISERROR(SEARCH("Partially Satisfied",J1)))</formula>
    </cfRule>
    <cfRule type="containsText" dxfId="144" priority="17" operator="containsText" text="Satisfied">
      <formula>NOT(ISERROR(SEARCH("Satisfied",J1)))</formula>
    </cfRule>
    <cfRule type="containsText" dxfId="143" priority="18" operator="containsText" text="Other Than Satisfied">
      <formula>NOT(ISERROR(SEARCH("Other Than Satisfied",J1)))</formula>
    </cfRule>
  </conditionalFormatting>
  <conditionalFormatting sqref="J1:J1048576">
    <cfRule type="cellIs" dxfId="142" priority="1" operator="equal">
      <formula>"MET"</formula>
    </cfRule>
    <cfRule type="cellIs" dxfId="141" priority="2" operator="equal">
      <formula>"Other Than Satisfied"</formula>
    </cfRule>
  </conditionalFormatting>
  <conditionalFormatting sqref="J2:J7">
    <cfRule type="containsText" dxfId="140" priority="10" operator="containsText" text="Other Than Satisfied">
      <formula>NOT(ISERROR(SEARCH("Other Than Satisfied",J2)))</formula>
    </cfRule>
    <cfRule type="containsText" dxfId="139" priority="11" operator="containsText" text="Not Applicable">
      <formula>NOT(ISERROR(SEARCH("Not Applicable",J2)))</formula>
    </cfRule>
  </conditionalFormatting>
  <dataValidations count="2">
    <dataValidation type="list" allowBlank="1" showInputMessage="1" showErrorMessage="1" sqref="I2:I45" xr:uid="{757EAFA6-8CED-4CB7-9BEF-82D83FC88223}">
      <formula1>"Not Selected,Planned,Inherited,Partially Implemented,Implemented"</formula1>
    </dataValidation>
    <dataValidation type="list" allowBlank="1" showInputMessage="1" showErrorMessage="1" sqref="J2:J45" xr:uid="{FDD084B3-FB11-4749-9263-3CA580381EEE}">
      <formula1>"MET,NOT MET"</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E866-E84E-43B1-833A-A242DE9F51DD}">
  <sheetPr>
    <tabColor rgb="FF0070C0"/>
  </sheetPr>
  <dimension ref="A1:K123"/>
  <sheetViews>
    <sheetView showGridLines="0" topLeftCell="F1" zoomScale="70" zoomScaleNormal="70" workbookViewId="0">
      <pane ySplit="1" topLeftCell="A17" activePane="bottomLeft" state="frozen"/>
      <selection activeCell="D181" sqref="D181"/>
      <selection pane="bottomLeft" activeCell="J27" sqref="J27"/>
    </sheetView>
  </sheetViews>
  <sheetFormatPr defaultColWidth="8.6640625" defaultRowHeight="50.1" customHeight="1" x14ac:dyDescent="0.3"/>
  <cols>
    <col min="1" max="1" width="22.109375" style="76" customWidth="1"/>
    <col min="2" max="3" width="16.88671875" style="44" customWidth="1"/>
    <col min="4" max="4" width="56.44140625" style="44" customWidth="1"/>
    <col min="5" max="5" width="48.44140625" style="44" customWidth="1"/>
    <col min="6" max="6" width="57" style="44" customWidth="1"/>
    <col min="7" max="7" width="35" style="44" customWidth="1"/>
    <col min="8" max="8" width="74.44140625" style="44" customWidth="1"/>
    <col min="9" max="9" width="42.5546875" style="77" customWidth="1"/>
    <col min="10" max="10" width="42.109375" style="77" customWidth="1"/>
    <col min="11" max="11" width="42.88671875" style="44" customWidth="1"/>
    <col min="12" max="16384" width="8.6640625" style="44"/>
  </cols>
  <sheetData>
    <row r="1" spans="1:11" ht="50.1" customHeight="1" thickBot="1" x14ac:dyDescent="0.35">
      <c r="A1" s="11" t="s">
        <v>43</v>
      </c>
      <c r="B1" s="11" t="s">
        <v>42</v>
      </c>
      <c r="C1" s="11" t="s">
        <v>93</v>
      </c>
      <c r="D1" s="11" t="s">
        <v>94</v>
      </c>
      <c r="E1" s="11" t="s">
        <v>95</v>
      </c>
      <c r="F1" s="11" t="s">
        <v>96</v>
      </c>
      <c r="G1" s="11" t="s">
        <v>97</v>
      </c>
      <c r="H1" s="11" t="s">
        <v>98</v>
      </c>
      <c r="I1" s="11" t="s">
        <v>44</v>
      </c>
      <c r="J1" s="11" t="s">
        <v>45</v>
      </c>
      <c r="K1" s="11" t="s">
        <v>99</v>
      </c>
    </row>
    <row r="2" spans="1:11" ht="50.1" customHeight="1" x14ac:dyDescent="0.3">
      <c r="A2" s="309" t="s">
        <v>556</v>
      </c>
      <c r="B2" s="78" t="s">
        <v>567</v>
      </c>
      <c r="C2" s="78" t="s">
        <v>568</v>
      </c>
      <c r="D2" s="78" t="s">
        <v>571</v>
      </c>
      <c r="E2" s="79" t="s">
        <v>574</v>
      </c>
      <c r="F2" s="80" t="s">
        <v>575</v>
      </c>
      <c r="G2" s="103" t="s">
        <v>576</v>
      </c>
      <c r="H2" s="121" t="s">
        <v>1410</v>
      </c>
      <c r="I2" s="52" t="s">
        <v>29</v>
      </c>
      <c r="J2" s="52" t="s">
        <v>111</v>
      </c>
      <c r="K2" s="209" t="s">
        <v>1413</v>
      </c>
    </row>
    <row r="3" spans="1:11" ht="50.1" customHeight="1" x14ac:dyDescent="0.3">
      <c r="A3" s="310"/>
      <c r="B3" s="81" t="s">
        <v>567</v>
      </c>
      <c r="C3" s="82" t="s">
        <v>569</v>
      </c>
      <c r="D3" s="82" t="s">
        <v>572</v>
      </c>
      <c r="E3" s="83"/>
      <c r="F3" s="83"/>
      <c r="G3" s="83"/>
      <c r="H3" s="122" t="s">
        <v>1411</v>
      </c>
      <c r="I3" s="48" t="s">
        <v>29</v>
      </c>
      <c r="J3" s="48" t="s">
        <v>111</v>
      </c>
      <c r="K3" s="47" t="s">
        <v>1262</v>
      </c>
    </row>
    <row r="4" spans="1:11" ht="50.1" customHeight="1" thickBot="1" x14ac:dyDescent="0.35">
      <c r="A4" s="311"/>
      <c r="B4" s="85" t="s">
        <v>567</v>
      </c>
      <c r="C4" s="85" t="s">
        <v>570</v>
      </c>
      <c r="D4" s="85" t="s">
        <v>573</v>
      </c>
      <c r="E4" s="86"/>
      <c r="F4" s="86"/>
      <c r="G4" s="86"/>
      <c r="H4" s="123" t="s">
        <v>1412</v>
      </c>
      <c r="I4" s="57" t="s">
        <v>29</v>
      </c>
      <c r="J4" s="57" t="s">
        <v>111</v>
      </c>
      <c r="K4" s="210" t="s">
        <v>1414</v>
      </c>
    </row>
    <row r="5" spans="1:11" ht="50.1" customHeight="1" x14ac:dyDescent="0.3">
      <c r="A5" s="310" t="s">
        <v>557</v>
      </c>
      <c r="B5" s="87" t="s">
        <v>577</v>
      </c>
      <c r="C5" s="87" t="s">
        <v>578</v>
      </c>
      <c r="D5" s="87" t="s">
        <v>581</v>
      </c>
      <c r="E5" s="88" t="s">
        <v>584</v>
      </c>
      <c r="F5" s="89" t="s">
        <v>585</v>
      </c>
      <c r="G5" s="90" t="s">
        <v>586</v>
      </c>
      <c r="H5" s="225" t="s">
        <v>1415</v>
      </c>
      <c r="I5" s="65" t="s">
        <v>29</v>
      </c>
      <c r="J5" s="65" t="s">
        <v>111</v>
      </c>
      <c r="K5" s="225" t="s">
        <v>1413</v>
      </c>
    </row>
    <row r="6" spans="1:11" ht="50.1" customHeight="1" x14ac:dyDescent="0.3">
      <c r="A6" s="310"/>
      <c r="B6" s="108" t="s">
        <v>577</v>
      </c>
      <c r="C6" s="82" t="s">
        <v>579</v>
      </c>
      <c r="D6" s="108" t="s">
        <v>582</v>
      </c>
      <c r="E6" s="83"/>
      <c r="F6" s="83"/>
      <c r="G6" s="83"/>
      <c r="H6" s="47" t="s">
        <v>1416</v>
      </c>
      <c r="I6" s="48" t="s">
        <v>29</v>
      </c>
      <c r="J6" s="48" t="s">
        <v>111</v>
      </c>
      <c r="K6" s="47" t="s">
        <v>1262</v>
      </c>
    </row>
    <row r="7" spans="1:11" ht="50.1" customHeight="1" thickBot="1" x14ac:dyDescent="0.35">
      <c r="A7" s="310"/>
      <c r="B7" s="91" t="s">
        <v>577</v>
      </c>
      <c r="C7" s="91" t="s">
        <v>580</v>
      </c>
      <c r="D7" s="92" t="s">
        <v>583</v>
      </c>
      <c r="E7" s="230"/>
      <c r="F7" s="230"/>
      <c r="G7" s="230"/>
      <c r="H7" s="227" t="s">
        <v>1417</v>
      </c>
      <c r="I7" s="69" t="s">
        <v>29</v>
      </c>
      <c r="J7" s="69" t="s">
        <v>111</v>
      </c>
      <c r="K7" s="227" t="s">
        <v>1418</v>
      </c>
    </row>
    <row r="8" spans="1:11" ht="50.1" customHeight="1" x14ac:dyDescent="0.3">
      <c r="A8" s="309" t="s">
        <v>558</v>
      </c>
      <c r="B8" s="78" t="s">
        <v>587</v>
      </c>
      <c r="C8" s="78" t="s">
        <v>588</v>
      </c>
      <c r="D8" s="94" t="s">
        <v>592</v>
      </c>
      <c r="E8" s="95" t="s">
        <v>596</v>
      </c>
      <c r="F8" s="96" t="s">
        <v>597</v>
      </c>
      <c r="G8" s="105" t="s">
        <v>598</v>
      </c>
      <c r="H8" s="209" t="s">
        <v>1403</v>
      </c>
      <c r="I8" s="52" t="s">
        <v>29</v>
      </c>
      <c r="J8" s="52" t="s">
        <v>111</v>
      </c>
      <c r="K8" s="209" t="s">
        <v>1404</v>
      </c>
    </row>
    <row r="9" spans="1:11" ht="50.1" customHeight="1" x14ac:dyDescent="0.3">
      <c r="A9" s="310"/>
      <c r="B9" s="81" t="s">
        <v>587</v>
      </c>
      <c r="C9" s="82" t="s">
        <v>589</v>
      </c>
      <c r="D9" s="82" t="s">
        <v>593</v>
      </c>
      <c r="E9" s="83"/>
      <c r="F9" s="83"/>
      <c r="G9" s="83"/>
      <c r="H9" s="47" t="s">
        <v>1405</v>
      </c>
      <c r="I9" s="48" t="s">
        <v>29</v>
      </c>
      <c r="J9" s="48" t="s">
        <v>111</v>
      </c>
      <c r="K9" s="47" t="s">
        <v>1262</v>
      </c>
    </row>
    <row r="10" spans="1:11" ht="50.1" customHeight="1" x14ac:dyDescent="0.3">
      <c r="A10" s="310"/>
      <c r="B10" s="81" t="s">
        <v>587</v>
      </c>
      <c r="C10" s="81" t="s">
        <v>590</v>
      </c>
      <c r="D10" s="82" t="s">
        <v>594</v>
      </c>
      <c r="E10" s="83"/>
      <c r="F10" s="83"/>
      <c r="G10" s="83"/>
      <c r="H10" s="319" t="s">
        <v>1406</v>
      </c>
      <c r="I10" s="48" t="s">
        <v>29</v>
      </c>
      <c r="J10" s="48" t="s">
        <v>111</v>
      </c>
      <c r="K10" s="319" t="s">
        <v>1407</v>
      </c>
    </row>
    <row r="11" spans="1:11" ht="50.1" customHeight="1" thickBot="1" x14ac:dyDescent="0.35">
      <c r="A11" s="311"/>
      <c r="B11" s="97" t="s">
        <v>587</v>
      </c>
      <c r="C11" s="85" t="s">
        <v>591</v>
      </c>
      <c r="D11" s="97" t="s">
        <v>595</v>
      </c>
      <c r="E11" s="98"/>
      <c r="F11" s="98"/>
      <c r="G11" s="98"/>
      <c r="H11" s="307"/>
      <c r="I11" s="57" t="s">
        <v>29</v>
      </c>
      <c r="J11" s="57" t="s">
        <v>111</v>
      </c>
      <c r="K11" s="307"/>
    </row>
    <row r="12" spans="1:11" ht="50.1" customHeight="1" thickBot="1" x14ac:dyDescent="0.35">
      <c r="A12" s="233" t="s">
        <v>559</v>
      </c>
      <c r="B12" s="112" t="s">
        <v>599</v>
      </c>
      <c r="C12" s="112" t="s">
        <v>600</v>
      </c>
      <c r="D12" s="112" t="s">
        <v>607</v>
      </c>
      <c r="E12" s="113" t="s">
        <v>601</v>
      </c>
      <c r="F12" s="114" t="s">
        <v>597</v>
      </c>
      <c r="G12" s="115" t="s">
        <v>602</v>
      </c>
      <c r="H12" s="120" t="s">
        <v>1408</v>
      </c>
      <c r="I12" s="74" t="s">
        <v>29</v>
      </c>
      <c r="J12" s="74" t="s">
        <v>111</v>
      </c>
      <c r="K12" s="120" t="s">
        <v>1409</v>
      </c>
    </row>
    <row r="13" spans="1:11" ht="50.1" customHeight="1" x14ac:dyDescent="0.3">
      <c r="A13" s="309" t="s">
        <v>560</v>
      </c>
      <c r="B13" s="78" t="s">
        <v>603</v>
      </c>
      <c r="C13" s="78" t="s">
        <v>604</v>
      </c>
      <c r="D13" s="78" t="s">
        <v>606</v>
      </c>
      <c r="E13" s="79" t="s">
        <v>609</v>
      </c>
      <c r="F13" s="80" t="s">
        <v>610</v>
      </c>
      <c r="G13" s="103" t="s">
        <v>611</v>
      </c>
      <c r="H13" s="209" t="s">
        <v>1420</v>
      </c>
      <c r="I13" s="52" t="s">
        <v>29</v>
      </c>
      <c r="J13" s="52" t="s">
        <v>111</v>
      </c>
      <c r="K13" s="209" t="s">
        <v>1273</v>
      </c>
    </row>
    <row r="14" spans="1:11" ht="50.1" customHeight="1" thickBot="1" x14ac:dyDescent="0.35">
      <c r="A14" s="311"/>
      <c r="B14" s="85" t="s">
        <v>603</v>
      </c>
      <c r="C14" s="97" t="s">
        <v>605</v>
      </c>
      <c r="D14" s="97" t="s">
        <v>608</v>
      </c>
      <c r="E14" s="98"/>
      <c r="F14" s="98"/>
      <c r="G14" s="98"/>
      <c r="H14" s="210" t="s">
        <v>1419</v>
      </c>
      <c r="I14" s="57" t="s">
        <v>29</v>
      </c>
      <c r="J14" s="57" t="s">
        <v>111</v>
      </c>
      <c r="K14" s="210" t="s">
        <v>1421</v>
      </c>
    </row>
    <row r="15" spans="1:11" ht="50.1" customHeight="1" x14ac:dyDescent="0.3">
      <c r="A15" s="310" t="s">
        <v>561</v>
      </c>
      <c r="B15" s="108" t="s">
        <v>612</v>
      </c>
      <c r="C15" s="87" t="s">
        <v>613</v>
      </c>
      <c r="D15" s="94" t="s">
        <v>615</v>
      </c>
      <c r="E15" s="109" t="s">
        <v>609</v>
      </c>
      <c r="F15" s="110" t="s">
        <v>610</v>
      </c>
      <c r="G15" s="111" t="s">
        <v>611</v>
      </c>
      <c r="H15" s="225" t="s">
        <v>1424</v>
      </c>
      <c r="I15" s="65" t="s">
        <v>29</v>
      </c>
      <c r="J15" s="65" t="s">
        <v>111</v>
      </c>
      <c r="K15" s="225" t="s">
        <v>1297</v>
      </c>
    </row>
    <row r="16" spans="1:11" ht="50.1" customHeight="1" thickBot="1" x14ac:dyDescent="0.35">
      <c r="A16" s="310"/>
      <c r="B16" s="91" t="s">
        <v>612</v>
      </c>
      <c r="C16" s="92" t="s">
        <v>614</v>
      </c>
      <c r="D16" s="108" t="s">
        <v>616</v>
      </c>
      <c r="E16" s="93"/>
      <c r="F16" s="93"/>
      <c r="G16" s="93"/>
      <c r="H16" s="191" t="s">
        <v>1423</v>
      </c>
      <c r="I16" s="69" t="s">
        <v>29</v>
      </c>
      <c r="J16" s="69" t="s">
        <v>111</v>
      </c>
      <c r="K16" s="191" t="s">
        <v>1422</v>
      </c>
    </row>
    <row r="17" spans="1:11" ht="50.1" customHeight="1" x14ac:dyDescent="0.3">
      <c r="A17" s="309" t="s">
        <v>562</v>
      </c>
      <c r="B17" s="78" t="s">
        <v>617</v>
      </c>
      <c r="C17" s="78" t="s">
        <v>618</v>
      </c>
      <c r="D17" s="78" t="s">
        <v>622</v>
      </c>
      <c r="E17" s="79" t="s">
        <v>626</v>
      </c>
      <c r="F17" s="80" t="s">
        <v>627</v>
      </c>
      <c r="G17" s="103" t="s">
        <v>628</v>
      </c>
      <c r="H17" s="209" t="s">
        <v>1425</v>
      </c>
      <c r="I17" s="52" t="s">
        <v>29</v>
      </c>
      <c r="J17" s="52" t="s">
        <v>111</v>
      </c>
      <c r="K17" s="209" t="s">
        <v>1297</v>
      </c>
    </row>
    <row r="18" spans="1:11" ht="50.1" customHeight="1" x14ac:dyDescent="0.3">
      <c r="A18" s="310"/>
      <c r="B18" s="81" t="s">
        <v>617</v>
      </c>
      <c r="C18" s="82" t="s">
        <v>619</v>
      </c>
      <c r="D18" s="87" t="s">
        <v>623</v>
      </c>
      <c r="E18" s="83"/>
      <c r="F18" s="83"/>
      <c r="G18" s="83"/>
      <c r="H18" s="47" t="s">
        <v>1426</v>
      </c>
      <c r="I18" s="48" t="s">
        <v>29</v>
      </c>
      <c r="J18" s="48" t="s">
        <v>111</v>
      </c>
      <c r="K18" s="47" t="s">
        <v>1297</v>
      </c>
    </row>
    <row r="19" spans="1:11" ht="50.1" customHeight="1" x14ac:dyDescent="0.3">
      <c r="A19" s="310"/>
      <c r="B19" s="81" t="s">
        <v>617</v>
      </c>
      <c r="C19" s="81" t="s">
        <v>620</v>
      </c>
      <c r="D19" s="82" t="s">
        <v>624</v>
      </c>
      <c r="E19" s="83"/>
      <c r="F19" s="83"/>
      <c r="G19" s="83"/>
      <c r="H19" s="47" t="s">
        <v>1427</v>
      </c>
      <c r="I19" s="48" t="s">
        <v>29</v>
      </c>
      <c r="J19" s="48" t="s">
        <v>111</v>
      </c>
      <c r="K19" s="47" t="s">
        <v>1432</v>
      </c>
    </row>
    <row r="20" spans="1:11" ht="50.1" customHeight="1" thickBot="1" x14ac:dyDescent="0.35">
      <c r="A20" s="311"/>
      <c r="B20" s="85" t="s">
        <v>617</v>
      </c>
      <c r="C20" s="85" t="s">
        <v>621</v>
      </c>
      <c r="D20" s="85" t="s">
        <v>625</v>
      </c>
      <c r="E20" s="86"/>
      <c r="F20" s="86"/>
      <c r="G20" s="86"/>
      <c r="H20" s="210" t="s">
        <v>1428</v>
      </c>
      <c r="I20" s="57" t="s">
        <v>29</v>
      </c>
      <c r="J20" s="57" t="s">
        <v>111</v>
      </c>
      <c r="K20" s="210" t="s">
        <v>1431</v>
      </c>
    </row>
    <row r="21" spans="1:11" ht="50.1" customHeight="1" x14ac:dyDescent="0.3">
      <c r="A21" s="310" t="s">
        <v>563</v>
      </c>
      <c r="B21" s="87" t="s">
        <v>629</v>
      </c>
      <c r="C21" s="87" t="s">
        <v>630</v>
      </c>
      <c r="D21" s="87" t="s">
        <v>632</v>
      </c>
      <c r="E21" s="88" t="s">
        <v>634</v>
      </c>
      <c r="F21" s="89" t="s">
        <v>627</v>
      </c>
      <c r="G21" s="90" t="s">
        <v>628</v>
      </c>
      <c r="H21" s="225" t="s">
        <v>1429</v>
      </c>
      <c r="I21" s="65" t="s">
        <v>29</v>
      </c>
      <c r="J21" s="65" t="s">
        <v>111</v>
      </c>
      <c r="K21" s="225" t="s">
        <v>1297</v>
      </c>
    </row>
    <row r="22" spans="1:11" ht="50.1" customHeight="1" thickBot="1" x14ac:dyDescent="0.35">
      <c r="A22" s="310"/>
      <c r="B22" s="91" t="s">
        <v>629</v>
      </c>
      <c r="C22" s="92" t="s">
        <v>631</v>
      </c>
      <c r="D22" s="92" t="s">
        <v>633</v>
      </c>
      <c r="E22" s="93"/>
      <c r="F22" s="93"/>
      <c r="G22" s="93"/>
      <c r="H22" s="227" t="s">
        <v>1430</v>
      </c>
      <c r="I22" s="69" t="s">
        <v>29</v>
      </c>
      <c r="J22" s="69" t="s">
        <v>111</v>
      </c>
      <c r="K22" s="227" t="s">
        <v>1433</v>
      </c>
    </row>
    <row r="23" spans="1:11" ht="50.1" customHeight="1" thickBot="1" x14ac:dyDescent="0.35">
      <c r="A23" s="258" t="s">
        <v>564</v>
      </c>
      <c r="B23" s="116" t="s">
        <v>635</v>
      </c>
      <c r="C23" s="116" t="s">
        <v>636</v>
      </c>
      <c r="D23" s="125" t="s">
        <v>637</v>
      </c>
      <c r="E23" s="126" t="s">
        <v>626</v>
      </c>
      <c r="F23" s="127" t="s">
        <v>627</v>
      </c>
      <c r="G23" s="128" t="s">
        <v>628</v>
      </c>
      <c r="H23" s="231" t="s">
        <v>1434</v>
      </c>
      <c r="I23" s="75" t="s">
        <v>29</v>
      </c>
      <c r="J23" s="75" t="s">
        <v>111</v>
      </c>
      <c r="K23" s="231" t="s">
        <v>1435</v>
      </c>
    </row>
    <row r="24" spans="1:11" ht="50.1" customHeight="1" x14ac:dyDescent="0.3">
      <c r="A24" s="310" t="s">
        <v>565</v>
      </c>
      <c r="B24" s="87" t="s">
        <v>638</v>
      </c>
      <c r="C24" s="87" t="s">
        <v>639</v>
      </c>
      <c r="D24" s="87" t="s">
        <v>641</v>
      </c>
      <c r="E24" s="88" t="s">
        <v>626</v>
      </c>
      <c r="F24" s="89" t="s">
        <v>627</v>
      </c>
      <c r="G24" s="90" t="s">
        <v>628</v>
      </c>
      <c r="H24" s="306" t="s">
        <v>1436</v>
      </c>
      <c r="I24" s="65" t="s">
        <v>29</v>
      </c>
      <c r="J24" s="65" t="s">
        <v>111</v>
      </c>
      <c r="K24" s="225" t="s">
        <v>1437</v>
      </c>
    </row>
    <row r="25" spans="1:11" ht="50.1" customHeight="1" thickBot="1" x14ac:dyDescent="0.35">
      <c r="A25" s="310"/>
      <c r="B25" s="91" t="s">
        <v>638</v>
      </c>
      <c r="C25" s="92" t="s">
        <v>640</v>
      </c>
      <c r="D25" s="92" t="s">
        <v>642</v>
      </c>
      <c r="E25" s="93"/>
      <c r="F25" s="93"/>
      <c r="G25" s="93"/>
      <c r="H25" s="307"/>
      <c r="I25" s="69" t="s">
        <v>29</v>
      </c>
      <c r="J25" s="69" t="s">
        <v>111</v>
      </c>
      <c r="K25" s="227" t="s">
        <v>1438</v>
      </c>
    </row>
    <row r="26" spans="1:11" ht="50.1" customHeight="1" thickBot="1" x14ac:dyDescent="0.35">
      <c r="A26" s="234" t="s">
        <v>566</v>
      </c>
      <c r="B26" s="116" t="s">
        <v>644</v>
      </c>
      <c r="C26" s="116" t="s">
        <v>645</v>
      </c>
      <c r="D26" s="125" t="s">
        <v>643</v>
      </c>
      <c r="E26" s="126" t="s">
        <v>646</v>
      </c>
      <c r="F26" s="127" t="s">
        <v>403</v>
      </c>
      <c r="G26" s="128" t="s">
        <v>647</v>
      </c>
      <c r="H26" s="231" t="s">
        <v>1439</v>
      </c>
      <c r="I26" s="75" t="s">
        <v>29</v>
      </c>
      <c r="J26" s="75" t="s">
        <v>111</v>
      </c>
      <c r="K26" s="231" t="s">
        <v>1440</v>
      </c>
    </row>
    <row r="27" spans="1:11" ht="50.1" customHeight="1" x14ac:dyDescent="0.3">
      <c r="A27" s="12"/>
      <c r="B27" s="106"/>
      <c r="C27" s="106"/>
      <c r="D27" s="106"/>
      <c r="E27" s="106"/>
      <c r="F27" s="107"/>
      <c r="G27" s="107"/>
    </row>
    <row r="28" spans="1:11" ht="50.1" customHeight="1" x14ac:dyDescent="0.3">
      <c r="A28" s="12"/>
      <c r="B28" s="106"/>
      <c r="C28" s="106"/>
      <c r="D28" s="106"/>
      <c r="E28" s="106"/>
      <c r="F28" s="107"/>
      <c r="G28" s="107"/>
    </row>
    <row r="29" spans="1:11" ht="50.1" customHeight="1" x14ac:dyDescent="0.3">
      <c r="A29" s="12"/>
      <c r="B29" s="106"/>
      <c r="C29" s="106"/>
      <c r="D29" s="106"/>
      <c r="E29" s="106"/>
      <c r="F29" s="107"/>
      <c r="G29" s="107"/>
    </row>
    <row r="30" spans="1:11" ht="50.1" customHeight="1" x14ac:dyDescent="0.3">
      <c r="A30" s="12"/>
      <c r="B30" s="106"/>
      <c r="C30" s="106"/>
      <c r="D30" s="106"/>
      <c r="E30" s="106"/>
      <c r="F30" s="107"/>
      <c r="G30" s="107"/>
    </row>
    <row r="31" spans="1:11" ht="50.1" customHeight="1" x14ac:dyDescent="0.3">
      <c r="A31" s="12"/>
      <c r="B31" s="106"/>
      <c r="C31" s="106"/>
      <c r="D31" s="106"/>
      <c r="E31" s="106"/>
      <c r="F31" s="107"/>
      <c r="G31" s="107"/>
    </row>
    <row r="32" spans="1:11" ht="50.1" customHeight="1" x14ac:dyDescent="0.3">
      <c r="A32" s="12"/>
      <c r="B32" s="106"/>
      <c r="C32" s="106"/>
      <c r="D32" s="106"/>
      <c r="E32" s="106"/>
      <c r="F32" s="107"/>
      <c r="G32" s="107"/>
    </row>
    <row r="33" spans="1:7" ht="50.1" customHeight="1" x14ac:dyDescent="0.3">
      <c r="A33" s="12"/>
      <c r="B33" s="106"/>
      <c r="C33" s="106"/>
      <c r="D33" s="106"/>
      <c r="E33" s="106"/>
      <c r="F33" s="106"/>
      <c r="G33" s="106"/>
    </row>
    <row r="34" spans="1:7" ht="50.1" customHeight="1" x14ac:dyDescent="0.3">
      <c r="A34" s="12"/>
      <c r="B34" s="106"/>
      <c r="C34" s="106"/>
      <c r="D34" s="106"/>
      <c r="E34" s="106"/>
      <c r="F34" s="107"/>
      <c r="G34" s="107"/>
    </row>
    <row r="35" spans="1:7" ht="50.1" customHeight="1" x14ac:dyDescent="0.3">
      <c r="A35" s="12"/>
      <c r="B35" s="106"/>
      <c r="C35" s="106"/>
      <c r="D35" s="106"/>
      <c r="E35" s="106"/>
      <c r="F35" s="106"/>
      <c r="G35" s="106"/>
    </row>
    <row r="36" spans="1:7" ht="50.1" customHeight="1" x14ac:dyDescent="0.3">
      <c r="A36" s="12"/>
      <c r="B36" s="106"/>
      <c r="C36" s="106"/>
      <c r="D36" s="106"/>
      <c r="E36" s="106"/>
      <c r="F36" s="107"/>
      <c r="G36" s="107"/>
    </row>
    <row r="37" spans="1:7" ht="50.1" customHeight="1" x14ac:dyDescent="0.3">
      <c r="A37" s="12"/>
      <c r="B37" s="106"/>
      <c r="C37" s="106"/>
      <c r="D37" s="106"/>
      <c r="E37" s="106"/>
      <c r="F37" s="106"/>
      <c r="G37" s="106"/>
    </row>
    <row r="38" spans="1:7" ht="50.1" customHeight="1" x14ac:dyDescent="0.3">
      <c r="A38" s="12"/>
      <c r="B38" s="106"/>
      <c r="C38" s="106"/>
      <c r="D38" s="106"/>
      <c r="E38" s="106"/>
      <c r="F38" s="107"/>
      <c r="G38" s="107"/>
    </row>
    <row r="39" spans="1:7" ht="50.1" customHeight="1" x14ac:dyDescent="0.3">
      <c r="A39" s="12"/>
      <c r="B39" s="106"/>
      <c r="C39" s="106"/>
      <c r="D39" s="106"/>
      <c r="E39" s="106"/>
      <c r="F39" s="107"/>
      <c r="G39" s="107"/>
    </row>
    <row r="40" spans="1:7" ht="50.1" customHeight="1" x14ac:dyDescent="0.3">
      <c r="A40" s="12"/>
      <c r="B40" s="106"/>
      <c r="C40" s="106"/>
      <c r="D40" s="106"/>
      <c r="E40" s="106"/>
      <c r="F40" s="107"/>
      <c r="G40" s="107"/>
    </row>
    <row r="41" spans="1:7" ht="50.1" customHeight="1" x14ac:dyDescent="0.3">
      <c r="A41" s="13"/>
      <c r="B41" s="106"/>
      <c r="C41" s="106"/>
      <c r="D41" s="106"/>
      <c r="E41" s="106"/>
      <c r="F41" s="106"/>
      <c r="G41" s="106"/>
    </row>
    <row r="42" spans="1:7" ht="50.1" customHeight="1" x14ac:dyDescent="0.3">
      <c r="A42" s="13"/>
      <c r="B42" s="106"/>
      <c r="C42" s="106"/>
      <c r="D42" s="106"/>
      <c r="E42" s="106"/>
      <c r="F42" s="106"/>
      <c r="G42" s="106"/>
    </row>
    <row r="43" spans="1:7" ht="50.1" customHeight="1" x14ac:dyDescent="0.3">
      <c r="A43" s="12"/>
      <c r="B43" s="106"/>
      <c r="C43" s="106"/>
      <c r="D43" s="106"/>
      <c r="E43" s="106"/>
      <c r="F43" s="106"/>
      <c r="G43" s="106"/>
    </row>
    <row r="44" spans="1:7" ht="50.1" customHeight="1" x14ac:dyDescent="0.3">
      <c r="A44" s="12"/>
      <c r="B44" s="106"/>
      <c r="C44" s="106"/>
      <c r="D44" s="106"/>
      <c r="E44" s="106"/>
      <c r="F44" s="107"/>
      <c r="G44" s="107"/>
    </row>
    <row r="45" spans="1:7" ht="50.1" customHeight="1" x14ac:dyDescent="0.3">
      <c r="A45" s="12"/>
      <c r="B45" s="106"/>
      <c r="C45" s="106"/>
      <c r="D45" s="106"/>
      <c r="E45" s="106"/>
      <c r="F45" s="107"/>
      <c r="G45" s="107"/>
    </row>
    <row r="46" spans="1:7" ht="50.1" customHeight="1" x14ac:dyDescent="0.3">
      <c r="A46" s="12"/>
      <c r="B46" s="106"/>
      <c r="C46" s="106"/>
      <c r="D46" s="106"/>
      <c r="E46" s="106"/>
      <c r="F46" s="107"/>
      <c r="G46" s="107"/>
    </row>
    <row r="47" spans="1:7" ht="50.1" customHeight="1" x14ac:dyDescent="0.3">
      <c r="A47" s="12"/>
      <c r="B47" s="106"/>
      <c r="C47" s="106"/>
      <c r="D47" s="106"/>
      <c r="E47" s="106"/>
      <c r="F47" s="107"/>
      <c r="G47" s="107"/>
    </row>
    <row r="48" spans="1:7" ht="50.1" customHeight="1" x14ac:dyDescent="0.3">
      <c r="A48" s="12"/>
      <c r="B48" s="106"/>
      <c r="C48" s="106"/>
      <c r="D48" s="106"/>
      <c r="E48" s="106"/>
      <c r="F48" s="107"/>
      <c r="G48" s="107"/>
    </row>
    <row r="49" spans="1:7" ht="50.1" customHeight="1" x14ac:dyDescent="0.3">
      <c r="A49" s="12"/>
      <c r="B49" s="106"/>
      <c r="C49" s="106"/>
      <c r="D49" s="106"/>
      <c r="E49" s="106"/>
      <c r="F49" s="107"/>
      <c r="G49" s="107"/>
    </row>
    <row r="50" spans="1:7" ht="50.1" customHeight="1" x14ac:dyDescent="0.3">
      <c r="A50" s="12"/>
      <c r="B50" s="106"/>
      <c r="C50" s="106"/>
      <c r="D50" s="106"/>
      <c r="E50" s="106"/>
      <c r="F50" s="107"/>
      <c r="G50" s="107"/>
    </row>
    <row r="51" spans="1:7" ht="50.1" customHeight="1" x14ac:dyDescent="0.3">
      <c r="A51" s="12"/>
      <c r="B51" s="106"/>
      <c r="C51" s="106"/>
      <c r="D51" s="106"/>
      <c r="E51" s="106"/>
      <c r="F51" s="106"/>
      <c r="G51" s="106"/>
    </row>
    <row r="52" spans="1:7" ht="50.1" customHeight="1" x14ac:dyDescent="0.3">
      <c r="A52" s="12"/>
      <c r="B52" s="106"/>
      <c r="C52" s="106"/>
      <c r="D52" s="106"/>
      <c r="E52" s="106"/>
      <c r="F52" s="107"/>
      <c r="G52" s="107"/>
    </row>
    <row r="53" spans="1:7" ht="50.1" customHeight="1" x14ac:dyDescent="0.3">
      <c r="A53" s="12"/>
      <c r="B53" s="106"/>
      <c r="C53" s="106"/>
      <c r="D53" s="106"/>
      <c r="E53" s="106"/>
      <c r="F53" s="107"/>
      <c r="G53" s="107"/>
    </row>
    <row r="54" spans="1:7" ht="50.1" customHeight="1" x14ac:dyDescent="0.3">
      <c r="A54" s="12"/>
      <c r="B54" s="106"/>
      <c r="C54" s="106"/>
      <c r="D54" s="106"/>
      <c r="E54" s="106"/>
      <c r="F54" s="107"/>
      <c r="G54" s="107"/>
    </row>
    <row r="55" spans="1:7" ht="50.1" customHeight="1" x14ac:dyDescent="0.3">
      <c r="A55" s="12"/>
      <c r="B55" s="106"/>
      <c r="C55" s="106"/>
      <c r="D55" s="106"/>
      <c r="E55" s="106"/>
      <c r="F55" s="107"/>
      <c r="G55" s="107"/>
    </row>
    <row r="56" spans="1:7" ht="50.1" customHeight="1" x14ac:dyDescent="0.3">
      <c r="A56" s="12"/>
      <c r="B56" s="106"/>
      <c r="C56" s="106"/>
      <c r="D56" s="106"/>
      <c r="E56" s="106"/>
      <c r="F56" s="107"/>
      <c r="G56" s="107"/>
    </row>
    <row r="57" spans="1:7" ht="50.1" customHeight="1" x14ac:dyDescent="0.3">
      <c r="A57" s="12"/>
      <c r="B57" s="106"/>
      <c r="C57" s="106"/>
      <c r="D57" s="106"/>
      <c r="E57" s="106"/>
      <c r="F57" s="107"/>
      <c r="G57" s="107"/>
    </row>
    <row r="58" spans="1:7" ht="50.1" customHeight="1" x14ac:dyDescent="0.3">
      <c r="A58" s="12"/>
      <c r="B58" s="106"/>
      <c r="C58" s="106"/>
      <c r="D58" s="106"/>
      <c r="E58" s="106"/>
      <c r="F58" s="107"/>
      <c r="G58" s="107"/>
    </row>
    <row r="59" spans="1:7" ht="50.1" customHeight="1" x14ac:dyDescent="0.3">
      <c r="A59" s="12"/>
      <c r="B59" s="106"/>
      <c r="C59" s="106"/>
      <c r="D59" s="106"/>
      <c r="E59" s="106"/>
      <c r="F59" s="107"/>
      <c r="G59" s="107"/>
    </row>
    <row r="60" spans="1:7" ht="50.1" customHeight="1" x14ac:dyDescent="0.3">
      <c r="A60" s="12"/>
      <c r="B60" s="106"/>
      <c r="C60" s="106"/>
      <c r="D60" s="106"/>
      <c r="E60" s="106"/>
      <c r="F60" s="107"/>
      <c r="G60" s="107"/>
    </row>
    <row r="61" spans="1:7" ht="50.1" customHeight="1" x14ac:dyDescent="0.3">
      <c r="A61" s="12"/>
      <c r="B61" s="106"/>
      <c r="C61" s="106"/>
      <c r="D61" s="106"/>
      <c r="E61" s="106"/>
      <c r="F61" s="107"/>
      <c r="G61" s="107"/>
    </row>
    <row r="62" spans="1:7" ht="50.1" customHeight="1" x14ac:dyDescent="0.3">
      <c r="A62" s="12"/>
      <c r="B62" s="106"/>
      <c r="C62" s="106"/>
      <c r="D62" s="106"/>
      <c r="E62" s="106"/>
      <c r="F62" s="106"/>
      <c r="G62" s="106"/>
    </row>
    <row r="63" spans="1:7" ht="50.1" customHeight="1" x14ac:dyDescent="0.3">
      <c r="A63" s="12"/>
      <c r="B63" s="106"/>
      <c r="C63" s="106"/>
      <c r="D63" s="106"/>
      <c r="E63" s="106"/>
      <c r="F63" s="107"/>
      <c r="G63" s="107"/>
    </row>
    <row r="64" spans="1:7" ht="50.1" customHeight="1" x14ac:dyDescent="0.3">
      <c r="A64" s="12"/>
      <c r="B64" s="106"/>
      <c r="C64" s="106"/>
      <c r="D64" s="106"/>
      <c r="E64" s="106"/>
      <c r="F64" s="107"/>
      <c r="G64" s="107"/>
    </row>
    <row r="65" spans="1:7" ht="50.1" customHeight="1" x14ac:dyDescent="0.3">
      <c r="A65" s="12"/>
      <c r="B65" s="106"/>
      <c r="C65" s="106"/>
      <c r="D65" s="106"/>
      <c r="E65" s="106"/>
      <c r="F65" s="107"/>
      <c r="G65" s="107"/>
    </row>
    <row r="66" spans="1:7" ht="50.1" customHeight="1" x14ac:dyDescent="0.3">
      <c r="A66" s="13"/>
      <c r="B66" s="106"/>
      <c r="C66" s="106"/>
      <c r="D66" s="106"/>
      <c r="E66" s="106"/>
      <c r="F66" s="106"/>
      <c r="G66" s="106"/>
    </row>
    <row r="67" spans="1:7" ht="50.1" customHeight="1" x14ac:dyDescent="0.3">
      <c r="A67" s="12"/>
      <c r="B67" s="106"/>
      <c r="C67" s="106"/>
      <c r="D67" s="106"/>
      <c r="E67" s="106"/>
      <c r="F67" s="106"/>
      <c r="G67" s="106"/>
    </row>
    <row r="68" spans="1:7" ht="50.1" customHeight="1" x14ac:dyDescent="0.3">
      <c r="A68" s="12"/>
      <c r="B68" s="106"/>
      <c r="C68" s="106"/>
      <c r="D68" s="106"/>
      <c r="E68" s="106"/>
      <c r="F68" s="107"/>
      <c r="G68" s="107"/>
    </row>
    <row r="69" spans="1:7" ht="50.1" customHeight="1" x14ac:dyDescent="0.3">
      <c r="A69" s="12"/>
      <c r="B69" s="106"/>
      <c r="C69" s="106"/>
      <c r="D69" s="106"/>
      <c r="E69" s="106"/>
      <c r="F69" s="106"/>
      <c r="G69" s="107"/>
    </row>
    <row r="70" spans="1:7" ht="50.1" customHeight="1" x14ac:dyDescent="0.3">
      <c r="A70" s="12"/>
      <c r="B70" s="106"/>
      <c r="C70" s="106"/>
      <c r="D70" s="106"/>
      <c r="E70" s="106"/>
      <c r="F70" s="107"/>
      <c r="G70" s="107"/>
    </row>
    <row r="71" spans="1:7" ht="50.1" customHeight="1" x14ac:dyDescent="0.3">
      <c r="A71" s="12"/>
      <c r="B71" s="106"/>
      <c r="C71" s="106"/>
      <c r="D71" s="106"/>
      <c r="E71" s="106"/>
      <c r="F71" s="107"/>
      <c r="G71" s="107"/>
    </row>
    <row r="72" spans="1:7" ht="50.1" customHeight="1" x14ac:dyDescent="0.3">
      <c r="A72" s="12"/>
      <c r="B72" s="106"/>
      <c r="C72" s="106"/>
      <c r="D72" s="106"/>
      <c r="E72" s="106"/>
      <c r="F72" s="107"/>
      <c r="G72" s="107"/>
    </row>
    <row r="73" spans="1:7" ht="50.1" customHeight="1" x14ac:dyDescent="0.3">
      <c r="A73" s="12"/>
      <c r="B73" s="106"/>
      <c r="C73" s="106"/>
      <c r="D73" s="106"/>
      <c r="E73" s="106"/>
      <c r="F73" s="106"/>
      <c r="G73" s="106"/>
    </row>
    <row r="74" spans="1:7" ht="50.1" customHeight="1" x14ac:dyDescent="0.3">
      <c r="A74" s="12"/>
      <c r="B74" s="106"/>
      <c r="C74" s="106"/>
      <c r="D74" s="106"/>
      <c r="E74" s="106"/>
      <c r="F74" s="107"/>
      <c r="G74" s="107"/>
    </row>
    <row r="75" spans="1:7" ht="50.1" customHeight="1" x14ac:dyDescent="0.3">
      <c r="A75" s="12"/>
      <c r="B75" s="106"/>
      <c r="C75" s="106"/>
      <c r="D75" s="106"/>
      <c r="E75" s="106"/>
      <c r="F75" s="107"/>
      <c r="G75" s="107"/>
    </row>
    <row r="76" spans="1:7" ht="50.1" customHeight="1" x14ac:dyDescent="0.3">
      <c r="A76" s="12"/>
      <c r="B76" s="106"/>
      <c r="C76" s="106"/>
      <c r="D76" s="106"/>
      <c r="E76" s="106"/>
      <c r="F76" s="107"/>
      <c r="G76" s="107"/>
    </row>
    <row r="77" spans="1:7" ht="50.1" customHeight="1" x14ac:dyDescent="0.3">
      <c r="A77" s="12"/>
      <c r="B77" s="106"/>
      <c r="C77" s="106"/>
      <c r="D77" s="106"/>
      <c r="E77" s="106"/>
      <c r="F77" s="106"/>
      <c r="G77" s="106"/>
    </row>
    <row r="78" spans="1:7" ht="50.1" customHeight="1" x14ac:dyDescent="0.3">
      <c r="A78" s="12"/>
      <c r="B78" s="106"/>
      <c r="C78" s="106"/>
      <c r="D78" s="106"/>
      <c r="E78" s="106"/>
      <c r="F78" s="107"/>
      <c r="G78" s="107"/>
    </row>
    <row r="79" spans="1:7" ht="50.1" customHeight="1" x14ac:dyDescent="0.3">
      <c r="A79" s="12"/>
      <c r="B79" s="106"/>
      <c r="C79" s="106"/>
      <c r="D79" s="106"/>
      <c r="E79" s="106"/>
      <c r="F79" s="106"/>
      <c r="G79" s="106"/>
    </row>
    <row r="80" spans="1:7" ht="50.1" customHeight="1" x14ac:dyDescent="0.3">
      <c r="A80" s="12"/>
      <c r="B80" s="106"/>
      <c r="C80" s="106"/>
      <c r="D80" s="106"/>
      <c r="E80" s="106"/>
      <c r="F80" s="106"/>
      <c r="G80" s="106"/>
    </row>
    <row r="81" spans="1:7" ht="50.1" customHeight="1" x14ac:dyDescent="0.3">
      <c r="A81" s="12"/>
      <c r="B81" s="106"/>
      <c r="C81" s="106"/>
      <c r="D81" s="106"/>
      <c r="E81" s="106"/>
      <c r="F81" s="106"/>
      <c r="G81" s="106"/>
    </row>
    <row r="82" spans="1:7" ht="50.1" customHeight="1" x14ac:dyDescent="0.3">
      <c r="A82" s="12"/>
      <c r="B82" s="106"/>
      <c r="C82" s="106"/>
      <c r="D82" s="106"/>
      <c r="E82" s="106"/>
      <c r="F82" s="107"/>
      <c r="G82" s="107"/>
    </row>
    <row r="83" spans="1:7" ht="50.1" customHeight="1" x14ac:dyDescent="0.3">
      <c r="A83" s="12"/>
      <c r="B83" s="106"/>
      <c r="C83" s="106"/>
      <c r="D83" s="106"/>
      <c r="E83" s="106"/>
      <c r="F83" s="107"/>
      <c r="G83" s="107"/>
    </row>
    <row r="84" spans="1:7" ht="50.1" customHeight="1" x14ac:dyDescent="0.3">
      <c r="A84" s="12"/>
      <c r="B84" s="106"/>
      <c r="C84" s="106"/>
      <c r="D84" s="106"/>
      <c r="E84" s="106"/>
      <c r="F84" s="107"/>
      <c r="G84" s="107"/>
    </row>
    <row r="85" spans="1:7" ht="50.1" customHeight="1" x14ac:dyDescent="0.3">
      <c r="A85" s="12"/>
      <c r="B85" s="106"/>
      <c r="C85" s="106"/>
      <c r="D85" s="106"/>
      <c r="E85" s="106"/>
      <c r="F85" s="107"/>
      <c r="G85" s="107"/>
    </row>
    <row r="86" spans="1:7" ht="50.1" customHeight="1" x14ac:dyDescent="0.3">
      <c r="A86" s="12"/>
      <c r="B86" s="106"/>
      <c r="C86" s="106"/>
      <c r="D86" s="106"/>
      <c r="E86" s="106"/>
      <c r="F86" s="107"/>
      <c r="G86" s="107"/>
    </row>
    <row r="87" spans="1:7" ht="50.1" customHeight="1" x14ac:dyDescent="0.3">
      <c r="A87" s="12"/>
      <c r="B87" s="106"/>
      <c r="C87" s="106"/>
      <c r="D87" s="106"/>
      <c r="E87" s="106"/>
      <c r="F87" s="107"/>
      <c r="G87" s="107"/>
    </row>
    <row r="88" spans="1:7" ht="50.1" customHeight="1" x14ac:dyDescent="0.3">
      <c r="A88" s="12"/>
      <c r="B88" s="106"/>
      <c r="C88" s="106"/>
      <c r="D88" s="106"/>
      <c r="E88" s="106"/>
      <c r="F88" s="106"/>
      <c r="G88" s="106"/>
    </row>
    <row r="89" spans="1:7" ht="50.1" customHeight="1" x14ac:dyDescent="0.3">
      <c r="A89" s="12"/>
      <c r="B89" s="106"/>
      <c r="C89" s="106"/>
      <c r="D89" s="106"/>
      <c r="E89" s="106"/>
      <c r="F89" s="107"/>
      <c r="G89" s="107"/>
    </row>
    <row r="90" spans="1:7" ht="50.1" customHeight="1" x14ac:dyDescent="0.3">
      <c r="A90" s="12"/>
      <c r="B90" s="106"/>
      <c r="C90" s="106"/>
      <c r="D90" s="106"/>
      <c r="E90" s="106"/>
      <c r="F90" s="107"/>
      <c r="G90" s="107"/>
    </row>
    <row r="91" spans="1:7" ht="50.1" customHeight="1" x14ac:dyDescent="0.3">
      <c r="A91" s="12"/>
      <c r="B91" s="106"/>
      <c r="C91" s="106"/>
      <c r="D91" s="106"/>
      <c r="E91" s="106"/>
      <c r="F91" s="107"/>
      <c r="G91" s="107"/>
    </row>
    <row r="92" spans="1:7" ht="50.1" customHeight="1" x14ac:dyDescent="0.3">
      <c r="A92" s="12"/>
      <c r="B92" s="106"/>
      <c r="C92" s="106"/>
      <c r="D92" s="106"/>
      <c r="E92" s="106"/>
      <c r="F92" s="106"/>
      <c r="G92" s="106"/>
    </row>
    <row r="93" spans="1:7" ht="50.1" customHeight="1" x14ac:dyDescent="0.3">
      <c r="A93" s="12"/>
      <c r="B93" s="106"/>
      <c r="C93" s="106"/>
      <c r="D93" s="106"/>
      <c r="E93" s="106"/>
      <c r="F93" s="107"/>
      <c r="G93" s="107"/>
    </row>
    <row r="94" spans="1:7" ht="50.1" customHeight="1" x14ac:dyDescent="0.3">
      <c r="A94" s="12"/>
      <c r="B94" s="106"/>
      <c r="C94" s="106"/>
      <c r="D94" s="106"/>
      <c r="E94" s="106"/>
      <c r="F94" s="107"/>
      <c r="G94" s="107"/>
    </row>
    <row r="95" spans="1:7" ht="50.1" customHeight="1" x14ac:dyDescent="0.3">
      <c r="A95" s="12"/>
      <c r="B95" s="106"/>
      <c r="C95" s="106"/>
      <c r="D95" s="106"/>
      <c r="E95" s="106"/>
      <c r="F95" s="106"/>
      <c r="G95" s="106"/>
    </row>
    <row r="96" spans="1:7" ht="50.1" customHeight="1" x14ac:dyDescent="0.3">
      <c r="A96" s="12"/>
      <c r="B96" s="106"/>
      <c r="C96" s="106"/>
      <c r="D96" s="106"/>
      <c r="E96" s="106"/>
      <c r="F96" s="106"/>
      <c r="G96" s="106"/>
    </row>
    <row r="97" spans="1:7" ht="50.1" customHeight="1" x14ac:dyDescent="0.3">
      <c r="A97" s="12"/>
      <c r="B97" s="106"/>
      <c r="C97" s="106"/>
      <c r="D97" s="106"/>
      <c r="E97" s="106"/>
      <c r="F97" s="107"/>
      <c r="G97" s="107"/>
    </row>
    <row r="98" spans="1:7" ht="50.1" customHeight="1" x14ac:dyDescent="0.3">
      <c r="A98" s="12"/>
      <c r="B98" s="106"/>
      <c r="C98" s="106"/>
      <c r="D98" s="106"/>
      <c r="E98" s="106"/>
      <c r="F98" s="107"/>
      <c r="G98" s="107"/>
    </row>
    <row r="99" spans="1:7" ht="50.1" customHeight="1" x14ac:dyDescent="0.3">
      <c r="A99" s="12"/>
      <c r="B99" s="106"/>
      <c r="C99" s="106"/>
      <c r="D99" s="106"/>
      <c r="E99" s="106"/>
      <c r="F99" s="107"/>
      <c r="G99" s="107"/>
    </row>
    <row r="100" spans="1:7" ht="50.1" customHeight="1" x14ac:dyDescent="0.3">
      <c r="A100" s="12"/>
      <c r="B100" s="106"/>
      <c r="C100" s="106"/>
      <c r="D100" s="106"/>
      <c r="E100" s="106"/>
      <c r="F100" s="106"/>
      <c r="G100" s="106"/>
    </row>
    <row r="101" spans="1:7" ht="50.1" customHeight="1" x14ac:dyDescent="0.3">
      <c r="A101" s="12"/>
      <c r="B101" s="106"/>
      <c r="C101" s="106"/>
      <c r="D101" s="106"/>
      <c r="E101" s="106"/>
      <c r="F101" s="107"/>
      <c r="G101" s="107"/>
    </row>
    <row r="102" spans="1:7" ht="50.1" customHeight="1" x14ac:dyDescent="0.3">
      <c r="A102" s="12"/>
      <c r="B102" s="106"/>
      <c r="C102" s="106"/>
      <c r="D102" s="106"/>
      <c r="E102" s="106"/>
      <c r="F102" s="107"/>
      <c r="G102" s="107"/>
    </row>
    <row r="103" spans="1:7" ht="50.1" customHeight="1" x14ac:dyDescent="0.3">
      <c r="A103" s="12"/>
      <c r="B103" s="106"/>
      <c r="C103" s="106"/>
      <c r="D103" s="106"/>
      <c r="E103" s="106"/>
      <c r="F103" s="106"/>
      <c r="G103" s="106"/>
    </row>
    <row r="104" spans="1:7" ht="50.1" customHeight="1" x14ac:dyDescent="0.3">
      <c r="A104" s="12"/>
      <c r="B104" s="106"/>
      <c r="C104" s="106"/>
      <c r="D104" s="106"/>
      <c r="E104" s="106"/>
      <c r="F104" s="107"/>
      <c r="G104" s="107"/>
    </row>
    <row r="105" spans="1:7" ht="50.1" customHeight="1" x14ac:dyDescent="0.3">
      <c r="A105" s="12"/>
      <c r="B105" s="106"/>
      <c r="C105" s="106"/>
      <c r="D105" s="106"/>
      <c r="E105" s="106"/>
      <c r="F105" s="107"/>
      <c r="G105" s="107"/>
    </row>
    <row r="106" spans="1:7" ht="50.1" customHeight="1" x14ac:dyDescent="0.3">
      <c r="A106" s="12"/>
      <c r="B106" s="106"/>
      <c r="C106" s="106"/>
      <c r="D106" s="106"/>
      <c r="E106" s="106"/>
      <c r="F106" s="107"/>
      <c r="G106" s="107"/>
    </row>
    <row r="107" spans="1:7" ht="50.1" customHeight="1" x14ac:dyDescent="0.3">
      <c r="A107" s="12"/>
      <c r="B107" s="106"/>
      <c r="C107" s="106"/>
      <c r="D107" s="106"/>
      <c r="E107" s="106"/>
      <c r="F107" s="107"/>
      <c r="G107" s="107"/>
    </row>
    <row r="108" spans="1:7" ht="50.1" customHeight="1" x14ac:dyDescent="0.3">
      <c r="A108" s="12"/>
      <c r="B108" s="106"/>
      <c r="C108" s="106"/>
      <c r="D108" s="106"/>
      <c r="E108" s="106"/>
      <c r="F108" s="107"/>
      <c r="G108" s="107"/>
    </row>
    <row r="109" spans="1:7" ht="50.1" customHeight="1" x14ac:dyDescent="0.3">
      <c r="A109" s="12"/>
      <c r="B109" s="106"/>
      <c r="C109" s="106"/>
      <c r="D109" s="106"/>
      <c r="E109" s="106"/>
      <c r="F109" s="107"/>
      <c r="G109" s="107"/>
    </row>
    <row r="110" spans="1:7" ht="50.1" customHeight="1" x14ac:dyDescent="0.3">
      <c r="A110" s="12"/>
      <c r="B110" s="106"/>
      <c r="C110" s="106"/>
      <c r="D110" s="106"/>
      <c r="E110" s="106"/>
      <c r="F110" s="106"/>
      <c r="G110" s="106"/>
    </row>
    <row r="111" spans="1:7" ht="50.1" customHeight="1" x14ac:dyDescent="0.3">
      <c r="A111" s="12"/>
      <c r="B111" s="106"/>
      <c r="C111" s="106"/>
      <c r="D111" s="106"/>
      <c r="E111" s="106"/>
      <c r="F111" s="107"/>
      <c r="G111" s="107"/>
    </row>
    <row r="112" spans="1:7" ht="50.1" customHeight="1" x14ac:dyDescent="0.3">
      <c r="A112" s="12"/>
      <c r="B112" s="106"/>
      <c r="C112" s="106"/>
      <c r="D112" s="106"/>
      <c r="E112" s="106"/>
      <c r="F112" s="106"/>
      <c r="G112" s="106"/>
    </row>
    <row r="113" spans="1:7" ht="50.1" customHeight="1" x14ac:dyDescent="0.3">
      <c r="A113" s="12"/>
      <c r="B113" s="106"/>
      <c r="C113" s="106"/>
      <c r="D113" s="106"/>
      <c r="E113" s="106"/>
      <c r="F113" s="107"/>
      <c r="G113" s="107"/>
    </row>
    <row r="114" spans="1:7" ht="50.1" customHeight="1" x14ac:dyDescent="0.3">
      <c r="A114" s="12"/>
      <c r="B114" s="106"/>
      <c r="C114" s="106"/>
      <c r="D114" s="106"/>
      <c r="E114" s="106"/>
      <c r="F114" s="106"/>
      <c r="G114" s="106"/>
    </row>
    <row r="115" spans="1:7" ht="50.1" customHeight="1" x14ac:dyDescent="0.3">
      <c r="A115" s="12"/>
      <c r="B115" s="106"/>
      <c r="C115" s="106"/>
      <c r="D115" s="106"/>
      <c r="E115" s="106"/>
      <c r="F115" s="107"/>
      <c r="G115" s="107"/>
    </row>
    <row r="116" spans="1:7" ht="50.1" customHeight="1" x14ac:dyDescent="0.3">
      <c r="A116" s="12"/>
      <c r="B116" s="106"/>
      <c r="C116" s="106"/>
      <c r="D116" s="106"/>
      <c r="E116" s="106"/>
      <c r="F116" s="107"/>
      <c r="G116" s="107"/>
    </row>
    <row r="117" spans="1:7" ht="50.1" customHeight="1" x14ac:dyDescent="0.3">
      <c r="A117" s="12"/>
      <c r="B117" s="106"/>
      <c r="C117" s="106"/>
      <c r="D117" s="106"/>
      <c r="E117" s="106"/>
      <c r="F117" s="107"/>
      <c r="G117" s="107"/>
    </row>
    <row r="118" spans="1:7" ht="50.1" customHeight="1" x14ac:dyDescent="0.3">
      <c r="A118" s="12"/>
      <c r="B118" s="106"/>
      <c r="C118" s="106"/>
      <c r="D118" s="106"/>
      <c r="E118" s="106"/>
      <c r="F118" s="106"/>
      <c r="G118" s="106"/>
    </row>
    <row r="119" spans="1:7" ht="50.1" customHeight="1" x14ac:dyDescent="0.3">
      <c r="A119" s="12"/>
      <c r="B119" s="106"/>
      <c r="C119" s="106"/>
      <c r="D119" s="106"/>
      <c r="E119" s="106"/>
      <c r="F119" s="107"/>
      <c r="G119" s="107"/>
    </row>
    <row r="120" spans="1:7" ht="50.1" customHeight="1" x14ac:dyDescent="0.3">
      <c r="A120" s="12"/>
      <c r="B120" s="106"/>
      <c r="C120" s="106"/>
      <c r="D120" s="106"/>
      <c r="E120" s="106"/>
      <c r="F120" s="107"/>
      <c r="G120" s="107"/>
    </row>
    <row r="121" spans="1:7" ht="50.1" customHeight="1" x14ac:dyDescent="0.3">
      <c r="A121" s="12"/>
      <c r="B121" s="106"/>
      <c r="C121" s="106"/>
      <c r="D121" s="106"/>
      <c r="E121" s="106"/>
      <c r="F121" s="107"/>
      <c r="G121" s="107"/>
    </row>
    <row r="122" spans="1:7" ht="50.1" customHeight="1" x14ac:dyDescent="0.3">
      <c r="A122" s="12"/>
      <c r="B122" s="106"/>
      <c r="C122" s="106"/>
      <c r="D122" s="106"/>
      <c r="E122" s="106"/>
      <c r="F122" s="107"/>
      <c r="G122" s="107"/>
    </row>
    <row r="123" spans="1:7" ht="50.1" customHeight="1" x14ac:dyDescent="0.3">
      <c r="A123" s="12"/>
      <c r="B123" s="106"/>
      <c r="C123" s="106"/>
      <c r="D123" s="106"/>
      <c r="E123" s="106"/>
      <c r="F123" s="107"/>
      <c r="G123" s="107"/>
    </row>
  </sheetData>
  <autoFilter ref="A1:K1" xr:uid="{1274E866-E84E-43B1-833A-A242DE9F51DD}"/>
  <mergeCells count="11">
    <mergeCell ref="H10:H11"/>
    <mergeCell ref="K10:K11"/>
    <mergeCell ref="H24:H25"/>
    <mergeCell ref="A17:A20"/>
    <mergeCell ref="A21:A22"/>
    <mergeCell ref="A24:A25"/>
    <mergeCell ref="A2:A4"/>
    <mergeCell ref="A5:A7"/>
    <mergeCell ref="A8:A11"/>
    <mergeCell ref="A13:A14"/>
    <mergeCell ref="A15:A16"/>
  </mergeCells>
  <conditionalFormatting sqref="I1 I5:I1048576">
    <cfRule type="containsText" dxfId="138" priority="17" operator="containsText" text="Planned">
      <formula>NOT(ISERROR(SEARCH("Planned",I1)))</formula>
    </cfRule>
  </conditionalFormatting>
  <conditionalFormatting sqref="I1:I1048576">
    <cfRule type="cellIs" dxfId="137" priority="2" operator="equal">
      <formula>"Not Selected"</formula>
    </cfRule>
    <cfRule type="containsText" dxfId="136" priority="9" operator="containsText" text="Inherited">
      <formula>NOT(ISERROR(SEARCH("Inherited",I1)))</formula>
    </cfRule>
    <cfRule type="containsText" dxfId="135" priority="11" operator="containsText" text="Implemented">
      <formula>NOT(ISERROR(SEARCH("Implemented",I1)))</formula>
    </cfRule>
  </conditionalFormatting>
  <conditionalFormatting sqref="I2:I4">
    <cfRule type="containsText" dxfId="134" priority="8" operator="containsText" text="Not Applicable">
      <formula>NOT(ISERROR(SEARCH("Not Applicable",I2)))</formula>
    </cfRule>
    <cfRule type="containsText" dxfId="133" priority="10" operator="containsText" text="Planned">
      <formula>NOT(ISERROR(SEARCH("Planned",I2)))</formula>
    </cfRule>
  </conditionalFormatting>
  <conditionalFormatting sqref="I1:J1 I5:J1048576">
    <cfRule type="containsText" dxfId="132" priority="18" operator="containsText" text="Not Applicable">
      <formula>NOT(ISERROR(SEARCH("Not Applicable",I1)))</formula>
    </cfRule>
  </conditionalFormatting>
  <conditionalFormatting sqref="J1 J5:J1048576">
    <cfRule type="containsText" dxfId="131" priority="13" operator="containsText" text="Satisfied">
      <formula>NOT(ISERROR(SEARCH("Satisfied",J1)))</formula>
    </cfRule>
    <cfRule type="containsText" dxfId="130" priority="14" operator="containsText" text="Other Than Satisfied">
      <formula>NOT(ISERROR(SEARCH("Other Than Satisfied",J1)))</formula>
    </cfRule>
  </conditionalFormatting>
  <conditionalFormatting sqref="J1:J1048576">
    <cfRule type="cellIs" dxfId="129" priority="1" operator="equal">
      <formula>"MET"</formula>
    </cfRule>
  </conditionalFormatting>
  <conditionalFormatting sqref="J2:J4">
    <cfRule type="containsText" dxfId="128" priority="6" operator="containsText" text="Other Than Satisfied">
      <formula>NOT(ISERROR(SEARCH("Other Than Satisfied",J2)))</formula>
    </cfRule>
    <cfRule type="containsText" dxfId="127" priority="7" operator="containsText" text="Not Applicable">
      <formula>NOT(ISERROR(SEARCH("Not Applicable",J2)))</formula>
    </cfRule>
  </conditionalFormatting>
  <conditionalFormatting sqref="J5:J1048576 J1">
    <cfRule type="containsText" dxfId="126" priority="12" operator="containsText" text="Partially Satisfied">
      <formula>NOT(ISERROR(SEARCH("Partially Satisfied",J1)))</formula>
    </cfRule>
  </conditionalFormatting>
  <conditionalFormatting sqref="J16">
    <cfRule type="containsText" dxfId="125" priority="3" operator="containsText" text="Inherited">
      <formula>NOT(ISERROR(SEARCH("Inherited",J16)))</formula>
    </cfRule>
    <cfRule type="containsText" dxfId="124" priority="4" operator="containsText" text="Implemented">
      <formula>NOT(ISERROR(SEARCH("Implemented",J16)))</formula>
    </cfRule>
    <cfRule type="containsText" dxfId="123" priority="5" operator="containsText" text="Planned">
      <formula>NOT(ISERROR(SEARCH("Planned",J16)))</formula>
    </cfRule>
  </conditionalFormatting>
  <dataValidations count="2">
    <dataValidation type="list" allowBlank="1" showInputMessage="1" showErrorMessage="1" sqref="I2:I26" xr:uid="{F3554604-7612-4B03-A6C0-107A04EDE2C4}">
      <formula1>"Not Selected,Planned,Inherited,Partially Implemented,Implemented"</formula1>
    </dataValidation>
    <dataValidation type="list" allowBlank="1" showInputMessage="1" showErrorMessage="1" sqref="J2:J26" xr:uid="{5D8AED14-0A8D-4554-A0DA-754250DB95DB}">
      <formula1>"MET,NOT MET"</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B12E7-B4C3-41FD-9DEA-20EEB4BCDFCE}">
  <sheetPr>
    <tabColor rgb="FF7030A0"/>
  </sheetPr>
  <dimension ref="A1:K114"/>
  <sheetViews>
    <sheetView showGridLines="0" zoomScale="70" zoomScaleNormal="70" workbookViewId="0">
      <pane ySplit="1" topLeftCell="A2" activePane="bottomLeft" state="frozen"/>
      <selection activeCell="D181" sqref="D181"/>
      <selection pane="bottomLeft" activeCell="J12" sqref="J12"/>
    </sheetView>
  </sheetViews>
  <sheetFormatPr defaultColWidth="8.6640625" defaultRowHeight="50.1" customHeight="1" x14ac:dyDescent="0.3"/>
  <cols>
    <col min="1" max="1" width="22.109375" style="76" customWidth="1"/>
    <col min="2" max="3" width="16.88671875" style="44" customWidth="1"/>
    <col min="4" max="4" width="56.44140625" style="44" customWidth="1"/>
    <col min="5" max="5" width="48.44140625" style="44" customWidth="1"/>
    <col min="6" max="6" width="57" style="44" customWidth="1"/>
    <col min="7" max="7" width="35" style="44" customWidth="1"/>
    <col min="8" max="8" width="74.44140625" style="44" customWidth="1"/>
    <col min="9" max="9" width="42.5546875" style="77" customWidth="1"/>
    <col min="10" max="10" width="42.109375" style="77" customWidth="1"/>
    <col min="11" max="11" width="42.88671875" style="44" customWidth="1"/>
    <col min="12" max="16384" width="8.6640625" style="44"/>
  </cols>
  <sheetData>
    <row r="1" spans="1:11" ht="50.1" customHeight="1" thickBot="1" x14ac:dyDescent="0.35">
      <c r="A1" s="20" t="s">
        <v>43</v>
      </c>
      <c r="B1" s="20" t="s">
        <v>42</v>
      </c>
      <c r="C1" s="20" t="s">
        <v>93</v>
      </c>
      <c r="D1" s="20" t="s">
        <v>94</v>
      </c>
      <c r="E1" s="20" t="s">
        <v>95</v>
      </c>
      <c r="F1" s="20" t="s">
        <v>96</v>
      </c>
      <c r="G1" s="20" t="s">
        <v>97</v>
      </c>
      <c r="H1" s="20" t="s">
        <v>98</v>
      </c>
      <c r="I1" s="20" t="s">
        <v>44</v>
      </c>
      <c r="J1" s="20" t="s">
        <v>45</v>
      </c>
      <c r="K1" s="20" t="s">
        <v>99</v>
      </c>
    </row>
    <row r="2" spans="1:11" ht="50.1" customHeight="1" x14ac:dyDescent="0.3">
      <c r="A2" s="312" t="s">
        <v>68</v>
      </c>
      <c r="B2" s="78" t="s">
        <v>648</v>
      </c>
      <c r="C2" s="78" t="s">
        <v>649</v>
      </c>
      <c r="D2" s="78" t="s">
        <v>656</v>
      </c>
      <c r="E2" s="79" t="s">
        <v>663</v>
      </c>
      <c r="F2" s="80" t="s">
        <v>664</v>
      </c>
      <c r="G2" s="103" t="s">
        <v>665</v>
      </c>
      <c r="H2" s="306" t="s">
        <v>1547</v>
      </c>
      <c r="I2" s="52" t="s">
        <v>29</v>
      </c>
      <c r="J2" s="52" t="s">
        <v>111</v>
      </c>
      <c r="K2" s="306" t="s">
        <v>1273</v>
      </c>
    </row>
    <row r="3" spans="1:11" ht="50.1" customHeight="1" x14ac:dyDescent="0.3">
      <c r="A3" s="313"/>
      <c r="B3" s="81" t="s">
        <v>648</v>
      </c>
      <c r="C3" s="82" t="s">
        <v>650</v>
      </c>
      <c r="D3" s="82" t="s">
        <v>657</v>
      </c>
      <c r="E3" s="83"/>
      <c r="F3" s="83"/>
      <c r="G3" s="83"/>
      <c r="H3" s="308"/>
      <c r="I3" s="48" t="s">
        <v>29</v>
      </c>
      <c r="J3" s="48" t="s">
        <v>111</v>
      </c>
      <c r="K3" s="308"/>
    </row>
    <row r="4" spans="1:11" ht="50.1" customHeight="1" x14ac:dyDescent="0.3">
      <c r="A4" s="313"/>
      <c r="B4" s="81" t="s">
        <v>648</v>
      </c>
      <c r="C4" s="81" t="s">
        <v>651</v>
      </c>
      <c r="D4" s="81" t="s">
        <v>658</v>
      </c>
      <c r="E4" s="84"/>
      <c r="F4" s="84"/>
      <c r="G4" s="84"/>
      <c r="H4" s="308"/>
      <c r="I4" s="48" t="s">
        <v>29</v>
      </c>
      <c r="J4" s="48" t="s">
        <v>111</v>
      </c>
      <c r="K4" s="308"/>
    </row>
    <row r="5" spans="1:11" ht="50.1" customHeight="1" x14ac:dyDescent="0.3">
      <c r="A5" s="313"/>
      <c r="B5" s="81" t="s">
        <v>648</v>
      </c>
      <c r="C5" s="82" t="s">
        <v>652</v>
      </c>
      <c r="D5" s="82" t="s">
        <v>659</v>
      </c>
      <c r="E5" s="83"/>
      <c r="F5" s="83"/>
      <c r="G5" s="83"/>
      <c r="H5" s="308"/>
      <c r="I5" s="48" t="s">
        <v>29</v>
      </c>
      <c r="J5" s="48" t="s">
        <v>111</v>
      </c>
      <c r="K5" s="308"/>
    </row>
    <row r="6" spans="1:11" ht="50.1" customHeight="1" x14ac:dyDescent="0.3">
      <c r="A6" s="313"/>
      <c r="B6" s="81" t="s">
        <v>648</v>
      </c>
      <c r="C6" s="81" t="s">
        <v>653</v>
      </c>
      <c r="D6" s="81" t="s">
        <v>660</v>
      </c>
      <c r="E6" s="84"/>
      <c r="F6" s="84"/>
      <c r="G6" s="84"/>
      <c r="H6" s="308"/>
      <c r="I6" s="48" t="s">
        <v>29</v>
      </c>
      <c r="J6" s="48" t="s">
        <v>111</v>
      </c>
      <c r="K6" s="308"/>
    </row>
    <row r="7" spans="1:11" ht="50.1" customHeight="1" x14ac:dyDescent="0.3">
      <c r="A7" s="313"/>
      <c r="B7" s="81" t="s">
        <v>648</v>
      </c>
      <c r="C7" s="82" t="s">
        <v>654</v>
      </c>
      <c r="D7" s="82" t="s">
        <v>661</v>
      </c>
      <c r="E7" s="83"/>
      <c r="F7" s="83"/>
      <c r="G7" s="83"/>
      <c r="H7" s="308"/>
      <c r="I7" s="48" t="s">
        <v>29</v>
      </c>
      <c r="J7" s="48" t="s">
        <v>111</v>
      </c>
      <c r="K7" s="308"/>
    </row>
    <row r="8" spans="1:11" ht="50.1" customHeight="1" thickBot="1" x14ac:dyDescent="0.35">
      <c r="A8" s="314"/>
      <c r="B8" s="85" t="s">
        <v>648</v>
      </c>
      <c r="C8" s="85" t="s">
        <v>655</v>
      </c>
      <c r="D8" s="85" t="s">
        <v>662</v>
      </c>
      <c r="E8" s="86"/>
      <c r="F8" s="86"/>
      <c r="G8" s="86"/>
      <c r="H8" s="307"/>
      <c r="I8" s="57" t="s">
        <v>29</v>
      </c>
      <c r="J8" s="57" t="s">
        <v>111</v>
      </c>
      <c r="K8" s="307"/>
    </row>
    <row r="9" spans="1:11" ht="50.1" customHeight="1" x14ac:dyDescent="0.3">
      <c r="A9" s="313" t="s">
        <v>69</v>
      </c>
      <c r="B9" s="87" t="s">
        <v>666</v>
      </c>
      <c r="C9" s="87" t="s">
        <v>667</v>
      </c>
      <c r="D9" s="87" t="s">
        <v>673</v>
      </c>
      <c r="E9" s="88" t="s">
        <v>679</v>
      </c>
      <c r="F9" s="89" t="s">
        <v>680</v>
      </c>
      <c r="G9" s="90" t="s">
        <v>681</v>
      </c>
      <c r="H9" s="306" t="s">
        <v>1548</v>
      </c>
      <c r="I9" s="65" t="s">
        <v>29</v>
      </c>
      <c r="J9" s="65" t="s">
        <v>111</v>
      </c>
      <c r="K9" s="306" t="s">
        <v>1273</v>
      </c>
    </row>
    <row r="10" spans="1:11" ht="50.1" customHeight="1" x14ac:dyDescent="0.3">
      <c r="A10" s="313"/>
      <c r="B10" s="81" t="s">
        <v>666</v>
      </c>
      <c r="C10" s="82" t="s">
        <v>668</v>
      </c>
      <c r="D10" s="82" t="s">
        <v>674</v>
      </c>
      <c r="E10" s="83"/>
      <c r="F10" s="83"/>
      <c r="G10" s="83"/>
      <c r="H10" s="308"/>
      <c r="I10" s="48" t="s">
        <v>29</v>
      </c>
      <c r="J10" s="48" t="s">
        <v>111</v>
      </c>
      <c r="K10" s="308"/>
    </row>
    <row r="11" spans="1:11" ht="50.1" customHeight="1" x14ac:dyDescent="0.3">
      <c r="A11" s="313"/>
      <c r="B11" s="81" t="s">
        <v>666</v>
      </c>
      <c r="C11" s="81" t="s">
        <v>669</v>
      </c>
      <c r="D11" s="81" t="s">
        <v>675</v>
      </c>
      <c r="E11" s="84"/>
      <c r="F11" s="84"/>
      <c r="G11" s="84"/>
      <c r="H11" s="308"/>
      <c r="I11" s="48" t="s">
        <v>29</v>
      </c>
      <c r="J11" s="48" t="s">
        <v>111</v>
      </c>
      <c r="K11" s="308"/>
    </row>
    <row r="12" spans="1:11" ht="50.1" customHeight="1" x14ac:dyDescent="0.3">
      <c r="A12" s="313"/>
      <c r="B12" s="81" t="s">
        <v>666</v>
      </c>
      <c r="C12" s="82" t="s">
        <v>670</v>
      </c>
      <c r="D12" s="82" t="s">
        <v>676</v>
      </c>
      <c r="E12" s="83"/>
      <c r="F12" s="83"/>
      <c r="G12" s="83"/>
      <c r="H12" s="308"/>
      <c r="I12" s="48" t="s">
        <v>29</v>
      </c>
      <c r="J12" s="48" t="s">
        <v>111</v>
      </c>
      <c r="K12" s="308"/>
    </row>
    <row r="13" spans="1:11" ht="50.1" customHeight="1" x14ac:dyDescent="0.3">
      <c r="A13" s="313"/>
      <c r="B13" s="81" t="s">
        <v>666</v>
      </c>
      <c r="C13" s="81" t="s">
        <v>671</v>
      </c>
      <c r="D13" s="81" t="s">
        <v>677</v>
      </c>
      <c r="E13" s="84"/>
      <c r="F13" s="84"/>
      <c r="G13" s="84"/>
      <c r="H13" s="308"/>
      <c r="I13" s="48" t="s">
        <v>29</v>
      </c>
      <c r="J13" s="48" t="s">
        <v>111</v>
      </c>
      <c r="K13" s="308"/>
    </row>
    <row r="14" spans="1:11" ht="50.1" customHeight="1" thickBot="1" x14ac:dyDescent="0.35">
      <c r="A14" s="313"/>
      <c r="B14" s="91" t="s">
        <v>666</v>
      </c>
      <c r="C14" s="92" t="s">
        <v>672</v>
      </c>
      <c r="D14" s="92" t="s">
        <v>678</v>
      </c>
      <c r="E14" s="93"/>
      <c r="F14" s="93"/>
      <c r="G14" s="93"/>
      <c r="H14" s="307"/>
      <c r="I14" s="69" t="s">
        <v>29</v>
      </c>
      <c r="J14" s="69" t="s">
        <v>111</v>
      </c>
      <c r="K14" s="307"/>
    </row>
    <row r="15" spans="1:11" ht="50.1" customHeight="1" thickBot="1" x14ac:dyDescent="0.35">
      <c r="A15" s="259" t="s">
        <v>67</v>
      </c>
      <c r="B15" s="116" t="s">
        <v>682</v>
      </c>
      <c r="C15" s="116" t="s">
        <v>683</v>
      </c>
      <c r="D15" s="116" t="s">
        <v>684</v>
      </c>
      <c r="E15" s="117" t="s">
        <v>685</v>
      </c>
      <c r="F15" s="118" t="s">
        <v>686</v>
      </c>
      <c r="G15" s="119" t="s">
        <v>687</v>
      </c>
      <c r="H15" s="124" t="s">
        <v>1549</v>
      </c>
      <c r="I15" s="75" t="s">
        <v>29</v>
      </c>
      <c r="J15" s="75" t="s">
        <v>111</v>
      </c>
      <c r="K15" s="231" t="s">
        <v>1273</v>
      </c>
    </row>
    <row r="16" spans="1:11" ht="50.1" customHeight="1" x14ac:dyDescent="0.3">
      <c r="A16" s="12"/>
      <c r="B16" s="106"/>
      <c r="C16" s="106"/>
      <c r="D16" s="106"/>
      <c r="E16" s="106"/>
      <c r="F16" s="107"/>
      <c r="G16" s="107"/>
    </row>
    <row r="17" spans="1:7" ht="50.1" customHeight="1" x14ac:dyDescent="0.3">
      <c r="A17" s="12"/>
      <c r="B17" s="106"/>
      <c r="C17" s="106"/>
      <c r="D17" s="106"/>
      <c r="E17" s="106"/>
      <c r="F17" s="107"/>
      <c r="G17" s="107"/>
    </row>
    <row r="18" spans="1:7" ht="50.1" customHeight="1" x14ac:dyDescent="0.3">
      <c r="A18" s="12"/>
      <c r="B18" s="106"/>
      <c r="C18" s="106"/>
      <c r="D18" s="106"/>
      <c r="E18" s="106"/>
      <c r="F18" s="107"/>
      <c r="G18" s="107"/>
    </row>
    <row r="19" spans="1:7" ht="50.1" customHeight="1" x14ac:dyDescent="0.3">
      <c r="A19" s="12"/>
      <c r="B19" s="106"/>
      <c r="C19" s="106"/>
      <c r="D19" s="106"/>
      <c r="E19" s="106"/>
      <c r="F19" s="107"/>
      <c r="G19" s="107"/>
    </row>
    <row r="20" spans="1:7" ht="50.1" customHeight="1" x14ac:dyDescent="0.3">
      <c r="A20" s="12"/>
      <c r="B20" s="106"/>
      <c r="C20" s="106"/>
      <c r="D20" s="106"/>
      <c r="E20" s="106"/>
      <c r="F20" s="107"/>
      <c r="G20" s="107"/>
    </row>
    <row r="21" spans="1:7" ht="50.1" customHeight="1" x14ac:dyDescent="0.3">
      <c r="A21" s="12"/>
      <c r="B21" s="106"/>
      <c r="C21" s="106"/>
      <c r="D21" s="106"/>
      <c r="E21" s="106"/>
      <c r="F21" s="107"/>
      <c r="G21" s="107"/>
    </row>
    <row r="22" spans="1:7" ht="50.1" customHeight="1" x14ac:dyDescent="0.3">
      <c r="A22" s="12"/>
      <c r="B22" s="106"/>
      <c r="C22" s="106"/>
      <c r="D22" s="106"/>
      <c r="E22" s="106"/>
      <c r="F22" s="107"/>
      <c r="G22" s="107"/>
    </row>
    <row r="23" spans="1:7" ht="50.1" customHeight="1" x14ac:dyDescent="0.3">
      <c r="A23" s="12"/>
      <c r="B23" s="106"/>
      <c r="C23" s="106"/>
      <c r="D23" s="106"/>
      <c r="E23" s="106"/>
      <c r="F23" s="107"/>
      <c r="G23" s="107"/>
    </row>
    <row r="24" spans="1:7" ht="50.1" customHeight="1" x14ac:dyDescent="0.3">
      <c r="A24" s="12"/>
      <c r="B24" s="106"/>
      <c r="C24" s="106"/>
      <c r="D24" s="106"/>
      <c r="E24" s="106"/>
      <c r="F24" s="106"/>
      <c r="G24" s="106"/>
    </row>
    <row r="25" spans="1:7" ht="50.1" customHeight="1" x14ac:dyDescent="0.3">
      <c r="A25" s="12"/>
      <c r="B25" s="106"/>
      <c r="C25" s="106"/>
      <c r="D25" s="106"/>
      <c r="E25" s="106"/>
      <c r="F25" s="107"/>
      <c r="G25" s="107"/>
    </row>
    <row r="26" spans="1:7" ht="50.1" customHeight="1" x14ac:dyDescent="0.3">
      <c r="A26" s="12"/>
      <c r="B26" s="106"/>
      <c r="C26" s="106"/>
      <c r="D26" s="106"/>
      <c r="E26" s="106"/>
      <c r="F26" s="106"/>
      <c r="G26" s="106"/>
    </row>
    <row r="27" spans="1:7" ht="50.1" customHeight="1" x14ac:dyDescent="0.3">
      <c r="A27" s="12"/>
      <c r="B27" s="106"/>
      <c r="C27" s="106"/>
      <c r="D27" s="106"/>
      <c r="E27" s="106"/>
      <c r="F27" s="107"/>
      <c r="G27" s="107"/>
    </row>
    <row r="28" spans="1:7" ht="50.1" customHeight="1" x14ac:dyDescent="0.3">
      <c r="A28" s="12"/>
      <c r="B28" s="106"/>
      <c r="C28" s="106"/>
      <c r="D28" s="106"/>
      <c r="E28" s="106"/>
      <c r="F28" s="106"/>
      <c r="G28" s="106"/>
    </row>
    <row r="29" spans="1:7" ht="50.1" customHeight="1" x14ac:dyDescent="0.3">
      <c r="A29" s="12"/>
      <c r="B29" s="106"/>
      <c r="C29" s="106"/>
      <c r="D29" s="106"/>
      <c r="E29" s="106"/>
      <c r="F29" s="107"/>
      <c r="G29" s="107"/>
    </row>
    <row r="30" spans="1:7" ht="50.1" customHeight="1" x14ac:dyDescent="0.3">
      <c r="A30" s="12"/>
      <c r="B30" s="106"/>
      <c r="C30" s="106"/>
      <c r="D30" s="106"/>
      <c r="E30" s="106"/>
      <c r="F30" s="107"/>
      <c r="G30" s="107"/>
    </row>
    <row r="31" spans="1:7" ht="50.1" customHeight="1" x14ac:dyDescent="0.3">
      <c r="A31" s="12"/>
      <c r="B31" s="106"/>
      <c r="C31" s="106"/>
      <c r="D31" s="106"/>
      <c r="E31" s="106"/>
      <c r="F31" s="107"/>
      <c r="G31" s="107"/>
    </row>
    <row r="32" spans="1:7" ht="50.1" customHeight="1" x14ac:dyDescent="0.3">
      <c r="A32" s="13"/>
      <c r="B32" s="106"/>
      <c r="C32" s="106"/>
      <c r="D32" s="106"/>
      <c r="E32" s="106"/>
      <c r="F32" s="106"/>
      <c r="G32" s="106"/>
    </row>
    <row r="33" spans="1:7" ht="50.1" customHeight="1" x14ac:dyDescent="0.3">
      <c r="A33" s="13"/>
      <c r="B33" s="106"/>
      <c r="C33" s="106"/>
      <c r="D33" s="106"/>
      <c r="E33" s="106"/>
      <c r="F33" s="106"/>
      <c r="G33" s="106"/>
    </row>
    <row r="34" spans="1:7" ht="50.1" customHeight="1" x14ac:dyDescent="0.3">
      <c r="A34" s="12"/>
      <c r="B34" s="106"/>
      <c r="C34" s="106"/>
      <c r="D34" s="106"/>
      <c r="E34" s="106"/>
      <c r="F34" s="106"/>
      <c r="G34" s="106"/>
    </row>
    <row r="35" spans="1:7" ht="50.1" customHeight="1" x14ac:dyDescent="0.3">
      <c r="A35" s="12"/>
      <c r="B35" s="106"/>
      <c r="C35" s="106"/>
      <c r="D35" s="106"/>
      <c r="E35" s="106"/>
      <c r="F35" s="107"/>
      <c r="G35" s="107"/>
    </row>
    <row r="36" spans="1:7" ht="50.1" customHeight="1" x14ac:dyDescent="0.3">
      <c r="A36" s="12"/>
      <c r="B36" s="106"/>
      <c r="C36" s="106"/>
      <c r="D36" s="106"/>
      <c r="E36" s="106"/>
      <c r="F36" s="107"/>
      <c r="G36" s="107"/>
    </row>
    <row r="37" spans="1:7" ht="50.1" customHeight="1" x14ac:dyDescent="0.3">
      <c r="A37" s="12"/>
      <c r="B37" s="106"/>
      <c r="C37" s="106"/>
      <c r="D37" s="106"/>
      <c r="E37" s="106"/>
      <c r="F37" s="107"/>
      <c r="G37" s="107"/>
    </row>
    <row r="38" spans="1:7" ht="50.1" customHeight="1" x14ac:dyDescent="0.3">
      <c r="A38" s="12"/>
      <c r="B38" s="106"/>
      <c r="C38" s="106"/>
      <c r="D38" s="106"/>
      <c r="E38" s="106"/>
      <c r="F38" s="107"/>
      <c r="G38" s="107"/>
    </row>
    <row r="39" spans="1:7" ht="50.1" customHeight="1" x14ac:dyDescent="0.3">
      <c r="A39" s="12"/>
      <c r="B39" s="106"/>
      <c r="C39" s="106"/>
      <c r="D39" s="106"/>
      <c r="E39" s="106"/>
      <c r="F39" s="107"/>
      <c r="G39" s="107"/>
    </row>
    <row r="40" spans="1:7" ht="50.1" customHeight="1" x14ac:dyDescent="0.3">
      <c r="A40" s="12"/>
      <c r="B40" s="106"/>
      <c r="C40" s="106"/>
      <c r="D40" s="106"/>
      <c r="E40" s="106"/>
      <c r="F40" s="107"/>
      <c r="G40" s="107"/>
    </row>
    <row r="41" spans="1:7" ht="50.1" customHeight="1" x14ac:dyDescent="0.3">
      <c r="A41" s="12"/>
      <c r="B41" s="106"/>
      <c r="C41" s="106"/>
      <c r="D41" s="106"/>
      <c r="E41" s="106"/>
      <c r="F41" s="107"/>
      <c r="G41" s="107"/>
    </row>
    <row r="42" spans="1:7" ht="50.1" customHeight="1" x14ac:dyDescent="0.3">
      <c r="A42" s="12"/>
      <c r="B42" s="106"/>
      <c r="C42" s="106"/>
      <c r="D42" s="106"/>
      <c r="E42" s="106"/>
      <c r="F42" s="106"/>
      <c r="G42" s="106"/>
    </row>
    <row r="43" spans="1:7" ht="50.1" customHeight="1" x14ac:dyDescent="0.3">
      <c r="A43" s="12"/>
      <c r="B43" s="106"/>
      <c r="C43" s="106"/>
      <c r="D43" s="106"/>
      <c r="E43" s="106"/>
      <c r="F43" s="107"/>
      <c r="G43" s="107"/>
    </row>
    <row r="44" spans="1:7" ht="50.1" customHeight="1" x14ac:dyDescent="0.3">
      <c r="A44" s="12"/>
      <c r="B44" s="106"/>
      <c r="C44" s="106"/>
      <c r="D44" s="106"/>
      <c r="E44" s="106"/>
      <c r="F44" s="107"/>
      <c r="G44" s="107"/>
    </row>
    <row r="45" spans="1:7" ht="50.1" customHeight="1" x14ac:dyDescent="0.3">
      <c r="A45" s="12"/>
      <c r="B45" s="106"/>
      <c r="C45" s="106"/>
      <c r="D45" s="106"/>
      <c r="E45" s="106"/>
      <c r="F45" s="107"/>
      <c r="G45" s="107"/>
    </row>
    <row r="46" spans="1:7" ht="50.1" customHeight="1" x14ac:dyDescent="0.3">
      <c r="A46" s="12"/>
      <c r="B46" s="106"/>
      <c r="C46" s="106"/>
      <c r="D46" s="106"/>
      <c r="E46" s="106"/>
      <c r="F46" s="107"/>
      <c r="G46" s="107"/>
    </row>
    <row r="47" spans="1:7" ht="50.1" customHeight="1" x14ac:dyDescent="0.3">
      <c r="A47" s="12"/>
      <c r="B47" s="106"/>
      <c r="C47" s="106"/>
      <c r="D47" s="106"/>
      <c r="E47" s="106"/>
      <c r="F47" s="107"/>
      <c r="G47" s="107"/>
    </row>
    <row r="48" spans="1:7" ht="50.1" customHeight="1" x14ac:dyDescent="0.3">
      <c r="A48" s="12"/>
      <c r="B48" s="106"/>
      <c r="C48" s="106"/>
      <c r="D48" s="106"/>
      <c r="E48" s="106"/>
      <c r="F48" s="107"/>
      <c r="G48" s="107"/>
    </row>
    <row r="49" spans="1:7" ht="50.1" customHeight="1" x14ac:dyDescent="0.3">
      <c r="A49" s="12"/>
      <c r="B49" s="106"/>
      <c r="C49" s="106"/>
      <c r="D49" s="106"/>
      <c r="E49" s="106"/>
      <c r="F49" s="107"/>
      <c r="G49" s="107"/>
    </row>
    <row r="50" spans="1:7" ht="50.1" customHeight="1" x14ac:dyDescent="0.3">
      <c r="A50" s="12"/>
      <c r="B50" s="106"/>
      <c r="C50" s="106"/>
      <c r="D50" s="106"/>
      <c r="E50" s="106"/>
      <c r="F50" s="107"/>
      <c r="G50" s="107"/>
    </row>
    <row r="51" spans="1:7" ht="50.1" customHeight="1" x14ac:dyDescent="0.3">
      <c r="A51" s="12"/>
      <c r="B51" s="106"/>
      <c r="C51" s="106"/>
      <c r="D51" s="106"/>
      <c r="E51" s="106"/>
      <c r="F51" s="107"/>
      <c r="G51" s="107"/>
    </row>
    <row r="52" spans="1:7" ht="50.1" customHeight="1" x14ac:dyDescent="0.3">
      <c r="A52" s="12"/>
      <c r="B52" s="106"/>
      <c r="C52" s="106"/>
      <c r="D52" s="106"/>
      <c r="E52" s="106"/>
      <c r="F52" s="107"/>
      <c r="G52" s="107"/>
    </row>
    <row r="53" spans="1:7" ht="50.1" customHeight="1" x14ac:dyDescent="0.3">
      <c r="A53" s="12"/>
      <c r="B53" s="106"/>
      <c r="C53" s="106"/>
      <c r="D53" s="106"/>
      <c r="E53" s="106"/>
      <c r="F53" s="106"/>
      <c r="G53" s="106"/>
    </row>
    <row r="54" spans="1:7" ht="50.1" customHeight="1" x14ac:dyDescent="0.3">
      <c r="A54" s="12"/>
      <c r="B54" s="106"/>
      <c r="C54" s="106"/>
      <c r="D54" s="106"/>
      <c r="E54" s="106"/>
      <c r="F54" s="107"/>
      <c r="G54" s="107"/>
    </row>
    <row r="55" spans="1:7" ht="50.1" customHeight="1" x14ac:dyDescent="0.3">
      <c r="A55" s="12"/>
      <c r="B55" s="106"/>
      <c r="C55" s="106"/>
      <c r="D55" s="106"/>
      <c r="E55" s="106"/>
      <c r="F55" s="107"/>
      <c r="G55" s="107"/>
    </row>
    <row r="56" spans="1:7" ht="50.1" customHeight="1" x14ac:dyDescent="0.3">
      <c r="A56" s="12"/>
      <c r="B56" s="106"/>
      <c r="C56" s="106"/>
      <c r="D56" s="106"/>
      <c r="E56" s="106"/>
      <c r="F56" s="107"/>
      <c r="G56" s="107"/>
    </row>
    <row r="57" spans="1:7" ht="50.1" customHeight="1" x14ac:dyDescent="0.3">
      <c r="A57" s="13"/>
      <c r="B57" s="106"/>
      <c r="C57" s="106"/>
      <c r="D57" s="106"/>
      <c r="E57" s="106"/>
      <c r="F57" s="106"/>
      <c r="G57" s="106"/>
    </row>
    <row r="58" spans="1:7" ht="50.1" customHeight="1" x14ac:dyDescent="0.3">
      <c r="A58" s="12"/>
      <c r="B58" s="106"/>
      <c r="C58" s="106"/>
      <c r="D58" s="106"/>
      <c r="E58" s="106"/>
      <c r="F58" s="106"/>
      <c r="G58" s="106"/>
    </row>
    <row r="59" spans="1:7" ht="50.1" customHeight="1" x14ac:dyDescent="0.3">
      <c r="A59" s="12"/>
      <c r="B59" s="106"/>
      <c r="C59" s="106"/>
      <c r="D59" s="106"/>
      <c r="E59" s="106"/>
      <c r="F59" s="107"/>
      <c r="G59" s="107"/>
    </row>
    <row r="60" spans="1:7" ht="50.1" customHeight="1" x14ac:dyDescent="0.3">
      <c r="A60" s="12"/>
      <c r="B60" s="106"/>
      <c r="C60" s="106"/>
      <c r="D60" s="106"/>
      <c r="E60" s="106"/>
      <c r="F60" s="106"/>
      <c r="G60" s="107"/>
    </row>
    <row r="61" spans="1:7" ht="50.1" customHeight="1" x14ac:dyDescent="0.3">
      <c r="A61" s="12"/>
      <c r="B61" s="106"/>
      <c r="C61" s="106"/>
      <c r="D61" s="106"/>
      <c r="E61" s="106"/>
      <c r="F61" s="107"/>
      <c r="G61" s="107"/>
    </row>
    <row r="62" spans="1:7" ht="50.1" customHeight="1" x14ac:dyDescent="0.3">
      <c r="A62" s="12"/>
      <c r="B62" s="106"/>
      <c r="C62" s="106"/>
      <c r="D62" s="106"/>
      <c r="E62" s="106"/>
      <c r="F62" s="107"/>
      <c r="G62" s="107"/>
    </row>
    <row r="63" spans="1:7" ht="50.1" customHeight="1" x14ac:dyDescent="0.3">
      <c r="A63" s="12"/>
      <c r="B63" s="106"/>
      <c r="C63" s="106"/>
      <c r="D63" s="106"/>
      <c r="E63" s="106"/>
      <c r="F63" s="107"/>
      <c r="G63" s="107"/>
    </row>
    <row r="64" spans="1:7" ht="50.1" customHeight="1" x14ac:dyDescent="0.3">
      <c r="A64" s="12"/>
      <c r="B64" s="106"/>
      <c r="C64" s="106"/>
      <c r="D64" s="106"/>
      <c r="E64" s="106"/>
      <c r="F64" s="106"/>
      <c r="G64" s="106"/>
    </row>
    <row r="65" spans="1:7" ht="50.1" customHeight="1" x14ac:dyDescent="0.3">
      <c r="A65" s="12"/>
      <c r="B65" s="106"/>
      <c r="C65" s="106"/>
      <c r="D65" s="106"/>
      <c r="E65" s="106"/>
      <c r="F65" s="107"/>
      <c r="G65" s="107"/>
    </row>
    <row r="66" spans="1:7" ht="50.1" customHeight="1" x14ac:dyDescent="0.3">
      <c r="A66" s="12"/>
      <c r="B66" s="106"/>
      <c r="C66" s="106"/>
      <c r="D66" s="106"/>
      <c r="E66" s="106"/>
      <c r="F66" s="107"/>
      <c r="G66" s="107"/>
    </row>
    <row r="67" spans="1:7" ht="50.1" customHeight="1" x14ac:dyDescent="0.3">
      <c r="A67" s="12"/>
      <c r="B67" s="106"/>
      <c r="C67" s="106"/>
      <c r="D67" s="106"/>
      <c r="E67" s="106"/>
      <c r="F67" s="107"/>
      <c r="G67" s="107"/>
    </row>
    <row r="68" spans="1:7" ht="50.1" customHeight="1" x14ac:dyDescent="0.3">
      <c r="A68" s="12"/>
      <c r="B68" s="106"/>
      <c r="C68" s="106"/>
      <c r="D68" s="106"/>
      <c r="E68" s="106"/>
      <c r="F68" s="106"/>
      <c r="G68" s="106"/>
    </row>
    <row r="69" spans="1:7" ht="50.1" customHeight="1" x14ac:dyDescent="0.3">
      <c r="A69" s="12"/>
      <c r="B69" s="106"/>
      <c r="C69" s="106"/>
      <c r="D69" s="106"/>
      <c r="E69" s="106"/>
      <c r="F69" s="107"/>
      <c r="G69" s="107"/>
    </row>
    <row r="70" spans="1:7" ht="50.1" customHeight="1" x14ac:dyDescent="0.3">
      <c r="A70" s="12"/>
      <c r="B70" s="106"/>
      <c r="C70" s="106"/>
      <c r="D70" s="106"/>
      <c r="E70" s="106"/>
      <c r="F70" s="106"/>
      <c r="G70" s="106"/>
    </row>
    <row r="71" spans="1:7" ht="50.1" customHeight="1" x14ac:dyDescent="0.3">
      <c r="A71" s="12"/>
      <c r="B71" s="106"/>
      <c r="C71" s="106"/>
      <c r="D71" s="106"/>
      <c r="E71" s="106"/>
      <c r="F71" s="106"/>
      <c r="G71" s="106"/>
    </row>
    <row r="72" spans="1:7" ht="50.1" customHeight="1" x14ac:dyDescent="0.3">
      <c r="A72" s="12"/>
      <c r="B72" s="106"/>
      <c r="C72" s="106"/>
      <c r="D72" s="106"/>
      <c r="E72" s="106"/>
      <c r="F72" s="106"/>
      <c r="G72" s="106"/>
    </row>
    <row r="73" spans="1:7" ht="50.1" customHeight="1" x14ac:dyDescent="0.3">
      <c r="A73" s="12"/>
      <c r="B73" s="106"/>
      <c r="C73" s="106"/>
      <c r="D73" s="106"/>
      <c r="E73" s="106"/>
      <c r="F73" s="107"/>
      <c r="G73" s="107"/>
    </row>
    <row r="74" spans="1:7" ht="50.1" customHeight="1" x14ac:dyDescent="0.3">
      <c r="A74" s="12"/>
      <c r="B74" s="106"/>
      <c r="C74" s="106"/>
      <c r="D74" s="106"/>
      <c r="E74" s="106"/>
      <c r="F74" s="107"/>
      <c r="G74" s="107"/>
    </row>
    <row r="75" spans="1:7" ht="50.1" customHeight="1" x14ac:dyDescent="0.3">
      <c r="A75" s="12"/>
      <c r="B75" s="106"/>
      <c r="C75" s="106"/>
      <c r="D75" s="106"/>
      <c r="E75" s="106"/>
      <c r="F75" s="107"/>
      <c r="G75" s="107"/>
    </row>
    <row r="76" spans="1:7" ht="50.1" customHeight="1" x14ac:dyDescent="0.3">
      <c r="A76" s="12"/>
      <c r="B76" s="106"/>
      <c r="C76" s="106"/>
      <c r="D76" s="106"/>
      <c r="E76" s="106"/>
      <c r="F76" s="107"/>
      <c r="G76" s="107"/>
    </row>
    <row r="77" spans="1:7" ht="50.1" customHeight="1" x14ac:dyDescent="0.3">
      <c r="A77" s="12"/>
      <c r="B77" s="106"/>
      <c r="C77" s="106"/>
      <c r="D77" s="106"/>
      <c r="E77" s="106"/>
      <c r="F77" s="107"/>
      <c r="G77" s="107"/>
    </row>
    <row r="78" spans="1:7" ht="50.1" customHeight="1" x14ac:dyDescent="0.3">
      <c r="A78" s="12"/>
      <c r="B78" s="106"/>
      <c r="C78" s="106"/>
      <c r="D78" s="106"/>
      <c r="E78" s="106"/>
      <c r="F78" s="107"/>
      <c r="G78" s="107"/>
    </row>
    <row r="79" spans="1:7" ht="50.1" customHeight="1" x14ac:dyDescent="0.3">
      <c r="A79" s="12"/>
      <c r="B79" s="106"/>
      <c r="C79" s="106"/>
      <c r="D79" s="106"/>
      <c r="E79" s="106"/>
      <c r="F79" s="106"/>
      <c r="G79" s="106"/>
    </row>
    <row r="80" spans="1:7" ht="50.1" customHeight="1" x14ac:dyDescent="0.3">
      <c r="A80" s="12"/>
      <c r="B80" s="106"/>
      <c r="C80" s="106"/>
      <c r="D80" s="106"/>
      <c r="E80" s="106"/>
      <c r="F80" s="107"/>
      <c r="G80" s="107"/>
    </row>
    <row r="81" spans="1:7" ht="50.1" customHeight="1" x14ac:dyDescent="0.3">
      <c r="A81" s="12"/>
      <c r="B81" s="106"/>
      <c r="C81" s="106"/>
      <c r="D81" s="106"/>
      <c r="E81" s="106"/>
      <c r="F81" s="107"/>
      <c r="G81" s="107"/>
    </row>
    <row r="82" spans="1:7" ht="50.1" customHeight="1" x14ac:dyDescent="0.3">
      <c r="A82" s="12"/>
      <c r="B82" s="106"/>
      <c r="C82" s="106"/>
      <c r="D82" s="106"/>
      <c r="E82" s="106"/>
      <c r="F82" s="107"/>
      <c r="G82" s="107"/>
    </row>
    <row r="83" spans="1:7" ht="50.1" customHeight="1" x14ac:dyDescent="0.3">
      <c r="A83" s="12"/>
      <c r="B83" s="106"/>
      <c r="C83" s="106"/>
      <c r="D83" s="106"/>
      <c r="E83" s="106"/>
      <c r="F83" s="106"/>
      <c r="G83" s="106"/>
    </row>
    <row r="84" spans="1:7" ht="50.1" customHeight="1" x14ac:dyDescent="0.3">
      <c r="A84" s="12"/>
      <c r="B84" s="106"/>
      <c r="C84" s="106"/>
      <c r="D84" s="106"/>
      <c r="E84" s="106"/>
      <c r="F84" s="107"/>
      <c r="G84" s="107"/>
    </row>
    <row r="85" spans="1:7" ht="50.1" customHeight="1" x14ac:dyDescent="0.3">
      <c r="A85" s="12"/>
      <c r="B85" s="106"/>
      <c r="C85" s="106"/>
      <c r="D85" s="106"/>
      <c r="E85" s="106"/>
      <c r="F85" s="107"/>
      <c r="G85" s="107"/>
    </row>
    <row r="86" spans="1:7" ht="50.1" customHeight="1" x14ac:dyDescent="0.3">
      <c r="A86" s="12"/>
      <c r="B86" s="106"/>
      <c r="C86" s="106"/>
      <c r="D86" s="106"/>
      <c r="E86" s="106"/>
      <c r="F86" s="106"/>
      <c r="G86" s="106"/>
    </row>
    <row r="87" spans="1:7" ht="50.1" customHeight="1" x14ac:dyDescent="0.3">
      <c r="A87" s="12"/>
      <c r="B87" s="106"/>
      <c r="C87" s="106"/>
      <c r="D87" s="106"/>
      <c r="E87" s="106"/>
      <c r="F87" s="106"/>
      <c r="G87" s="106"/>
    </row>
    <row r="88" spans="1:7" ht="50.1" customHeight="1" x14ac:dyDescent="0.3">
      <c r="A88" s="12"/>
      <c r="B88" s="106"/>
      <c r="C88" s="106"/>
      <c r="D88" s="106"/>
      <c r="E88" s="106"/>
      <c r="F88" s="107"/>
      <c r="G88" s="107"/>
    </row>
    <row r="89" spans="1:7" ht="50.1" customHeight="1" x14ac:dyDescent="0.3">
      <c r="A89" s="12"/>
      <c r="B89" s="106"/>
      <c r="C89" s="106"/>
      <c r="D89" s="106"/>
      <c r="E89" s="106"/>
      <c r="F89" s="107"/>
      <c r="G89" s="107"/>
    </row>
    <row r="90" spans="1:7" ht="50.1" customHeight="1" x14ac:dyDescent="0.3">
      <c r="A90" s="12"/>
      <c r="B90" s="106"/>
      <c r="C90" s="106"/>
      <c r="D90" s="106"/>
      <c r="E90" s="106"/>
      <c r="F90" s="107"/>
      <c r="G90" s="107"/>
    </row>
    <row r="91" spans="1:7" ht="50.1" customHeight="1" x14ac:dyDescent="0.3">
      <c r="A91" s="12"/>
      <c r="B91" s="106"/>
      <c r="C91" s="106"/>
      <c r="D91" s="106"/>
      <c r="E91" s="106"/>
      <c r="F91" s="106"/>
      <c r="G91" s="106"/>
    </row>
    <row r="92" spans="1:7" ht="50.1" customHeight="1" x14ac:dyDescent="0.3">
      <c r="A92" s="12"/>
      <c r="B92" s="106"/>
      <c r="C92" s="106"/>
      <c r="D92" s="106"/>
      <c r="E92" s="106"/>
      <c r="F92" s="107"/>
      <c r="G92" s="107"/>
    </row>
    <row r="93" spans="1:7" ht="50.1" customHeight="1" x14ac:dyDescent="0.3">
      <c r="A93" s="12"/>
      <c r="B93" s="106"/>
      <c r="C93" s="106"/>
      <c r="D93" s="106"/>
      <c r="E93" s="106"/>
      <c r="F93" s="107"/>
      <c r="G93" s="107"/>
    </row>
    <row r="94" spans="1:7" ht="50.1" customHeight="1" x14ac:dyDescent="0.3">
      <c r="A94" s="12"/>
      <c r="B94" s="106"/>
      <c r="C94" s="106"/>
      <c r="D94" s="106"/>
      <c r="E94" s="106"/>
      <c r="F94" s="106"/>
      <c r="G94" s="106"/>
    </row>
    <row r="95" spans="1:7" ht="50.1" customHeight="1" x14ac:dyDescent="0.3">
      <c r="A95" s="12"/>
      <c r="B95" s="106"/>
      <c r="C95" s="106"/>
      <c r="D95" s="106"/>
      <c r="E95" s="106"/>
      <c r="F95" s="107"/>
      <c r="G95" s="107"/>
    </row>
    <row r="96" spans="1:7" ht="50.1" customHeight="1" x14ac:dyDescent="0.3">
      <c r="A96" s="12"/>
      <c r="B96" s="106"/>
      <c r="C96" s="106"/>
      <c r="D96" s="106"/>
      <c r="E96" s="106"/>
      <c r="F96" s="107"/>
      <c r="G96" s="107"/>
    </row>
    <row r="97" spans="1:7" ht="50.1" customHeight="1" x14ac:dyDescent="0.3">
      <c r="A97" s="12"/>
      <c r="B97" s="106"/>
      <c r="C97" s="106"/>
      <c r="D97" s="106"/>
      <c r="E97" s="106"/>
      <c r="F97" s="107"/>
      <c r="G97" s="107"/>
    </row>
    <row r="98" spans="1:7" ht="50.1" customHeight="1" x14ac:dyDescent="0.3">
      <c r="A98" s="12"/>
      <c r="B98" s="106"/>
      <c r="C98" s="106"/>
      <c r="D98" s="106"/>
      <c r="E98" s="106"/>
      <c r="F98" s="107"/>
      <c r="G98" s="107"/>
    </row>
    <row r="99" spans="1:7" ht="50.1" customHeight="1" x14ac:dyDescent="0.3">
      <c r="A99" s="12"/>
      <c r="B99" s="106"/>
      <c r="C99" s="106"/>
      <c r="D99" s="106"/>
      <c r="E99" s="106"/>
      <c r="F99" s="107"/>
      <c r="G99" s="107"/>
    </row>
    <row r="100" spans="1:7" ht="50.1" customHeight="1" x14ac:dyDescent="0.3">
      <c r="A100" s="12"/>
      <c r="B100" s="106"/>
      <c r="C100" s="106"/>
      <c r="D100" s="106"/>
      <c r="E100" s="106"/>
      <c r="F100" s="107"/>
      <c r="G100" s="107"/>
    </row>
    <row r="101" spans="1:7" ht="50.1" customHeight="1" x14ac:dyDescent="0.3">
      <c r="A101" s="12"/>
      <c r="B101" s="106"/>
      <c r="C101" s="106"/>
      <c r="D101" s="106"/>
      <c r="E101" s="106"/>
      <c r="F101" s="106"/>
      <c r="G101" s="106"/>
    </row>
    <row r="102" spans="1:7" ht="50.1" customHeight="1" x14ac:dyDescent="0.3">
      <c r="A102" s="12"/>
      <c r="B102" s="106"/>
      <c r="C102" s="106"/>
      <c r="D102" s="106"/>
      <c r="E102" s="106"/>
      <c r="F102" s="107"/>
      <c r="G102" s="107"/>
    </row>
    <row r="103" spans="1:7" ht="50.1" customHeight="1" x14ac:dyDescent="0.3">
      <c r="A103" s="12"/>
      <c r="B103" s="106"/>
      <c r="C103" s="106"/>
      <c r="D103" s="106"/>
      <c r="E103" s="106"/>
      <c r="F103" s="106"/>
      <c r="G103" s="106"/>
    </row>
    <row r="104" spans="1:7" ht="50.1" customHeight="1" x14ac:dyDescent="0.3">
      <c r="A104" s="12"/>
      <c r="B104" s="106"/>
      <c r="C104" s="106"/>
      <c r="D104" s="106"/>
      <c r="E104" s="106"/>
      <c r="F104" s="107"/>
      <c r="G104" s="107"/>
    </row>
    <row r="105" spans="1:7" ht="50.1" customHeight="1" x14ac:dyDescent="0.3">
      <c r="A105" s="12"/>
      <c r="B105" s="106"/>
      <c r="C105" s="106"/>
      <c r="D105" s="106"/>
      <c r="E105" s="106"/>
      <c r="F105" s="106"/>
      <c r="G105" s="106"/>
    </row>
    <row r="106" spans="1:7" ht="50.1" customHeight="1" x14ac:dyDescent="0.3">
      <c r="A106" s="12"/>
      <c r="B106" s="106"/>
      <c r="C106" s="106"/>
      <c r="D106" s="106"/>
      <c r="E106" s="106"/>
      <c r="F106" s="107"/>
      <c r="G106" s="107"/>
    </row>
    <row r="107" spans="1:7" ht="50.1" customHeight="1" x14ac:dyDescent="0.3">
      <c r="A107" s="12"/>
      <c r="B107" s="106"/>
      <c r="C107" s="106"/>
      <c r="D107" s="106"/>
      <c r="E107" s="106"/>
      <c r="F107" s="107"/>
      <c r="G107" s="107"/>
    </row>
    <row r="108" spans="1:7" ht="50.1" customHeight="1" x14ac:dyDescent="0.3">
      <c r="A108" s="12"/>
      <c r="B108" s="106"/>
      <c r="C108" s="106"/>
      <c r="D108" s="106"/>
      <c r="E108" s="106"/>
      <c r="F108" s="107"/>
      <c r="G108" s="107"/>
    </row>
    <row r="109" spans="1:7" ht="50.1" customHeight="1" x14ac:dyDescent="0.3">
      <c r="A109" s="12"/>
      <c r="B109" s="106"/>
      <c r="C109" s="106"/>
      <c r="D109" s="106"/>
      <c r="E109" s="106"/>
      <c r="F109" s="106"/>
      <c r="G109" s="106"/>
    </row>
    <row r="110" spans="1:7" ht="50.1" customHeight="1" x14ac:dyDescent="0.3">
      <c r="A110" s="12"/>
      <c r="B110" s="106"/>
      <c r="C110" s="106"/>
      <c r="D110" s="106"/>
      <c r="E110" s="106"/>
      <c r="F110" s="107"/>
      <c r="G110" s="107"/>
    </row>
    <row r="111" spans="1:7" ht="50.1" customHeight="1" x14ac:dyDescent="0.3">
      <c r="A111" s="12"/>
      <c r="B111" s="106"/>
      <c r="C111" s="106"/>
      <c r="D111" s="106"/>
      <c r="E111" s="106"/>
      <c r="F111" s="107"/>
      <c r="G111" s="107"/>
    </row>
    <row r="112" spans="1:7" ht="50.1" customHeight="1" x14ac:dyDescent="0.3">
      <c r="A112" s="12"/>
      <c r="B112" s="106"/>
      <c r="C112" s="106"/>
      <c r="D112" s="106"/>
      <c r="E112" s="106"/>
      <c r="F112" s="107"/>
      <c r="G112" s="107"/>
    </row>
    <row r="113" spans="1:7" ht="50.1" customHeight="1" x14ac:dyDescent="0.3">
      <c r="A113" s="12"/>
      <c r="B113" s="106"/>
      <c r="C113" s="106"/>
      <c r="D113" s="106"/>
      <c r="E113" s="106"/>
      <c r="F113" s="107"/>
      <c r="G113" s="107"/>
    </row>
    <row r="114" spans="1:7" ht="50.1" customHeight="1" x14ac:dyDescent="0.3">
      <c r="A114" s="12"/>
      <c r="B114" s="106"/>
      <c r="C114" s="106"/>
      <c r="D114" s="106"/>
      <c r="E114" s="106"/>
      <c r="F114" s="107"/>
      <c r="G114" s="107"/>
    </row>
  </sheetData>
  <autoFilter ref="A1:K15" xr:uid="{A7CB12E7-B4C3-41FD-9DEA-20EEB4BCDFCE}"/>
  <mergeCells count="6">
    <mergeCell ref="A2:A8"/>
    <mergeCell ref="A9:A14"/>
    <mergeCell ref="H2:H8"/>
    <mergeCell ref="H9:H14"/>
    <mergeCell ref="K2:K8"/>
    <mergeCell ref="K9:K14"/>
  </mergeCells>
  <conditionalFormatting sqref="I1 I9:I1048576">
    <cfRule type="containsText" dxfId="122" priority="23" operator="containsText" text="Planned">
      <formula>NOT(ISERROR(SEARCH("Planned",I1)))</formula>
    </cfRule>
  </conditionalFormatting>
  <conditionalFormatting sqref="I1:I1048576">
    <cfRule type="cellIs" dxfId="121" priority="3" operator="equal">
      <formula>"Partially Implemented"</formula>
    </cfRule>
    <cfRule type="cellIs" dxfId="120" priority="5" operator="equal">
      <formula>"Not Selected"</formula>
    </cfRule>
    <cfRule type="containsText" dxfId="119" priority="15" operator="containsText" text="Inherited">
      <formula>NOT(ISERROR(SEARCH("Inherited",I1)))</formula>
    </cfRule>
    <cfRule type="containsText" dxfId="118" priority="17" operator="containsText" text="Implemented">
      <formula>NOT(ISERROR(SEARCH("Implemented",I1)))</formula>
    </cfRule>
  </conditionalFormatting>
  <conditionalFormatting sqref="I2:I8">
    <cfRule type="containsText" dxfId="117" priority="14" operator="containsText" text="Not Applicable">
      <formula>NOT(ISERROR(SEARCH("Not Applicable",I2)))</formula>
    </cfRule>
    <cfRule type="containsText" dxfId="116" priority="16" operator="containsText" text="Planned">
      <formula>NOT(ISERROR(SEARCH("Planned",I2)))</formula>
    </cfRule>
  </conditionalFormatting>
  <conditionalFormatting sqref="I1:J1 I9:J1048576">
    <cfRule type="containsText" dxfId="115" priority="24" operator="containsText" text="Not Applicable">
      <formula>NOT(ISERROR(SEARCH("Not Applicable",I1)))</formula>
    </cfRule>
  </conditionalFormatting>
  <conditionalFormatting sqref="J1 J9:J1048576">
    <cfRule type="containsText" dxfId="114" priority="18" operator="containsText" text="Partially Satisfied">
      <formula>NOT(ISERROR(SEARCH("Partially Satisfied",J1)))</formula>
    </cfRule>
    <cfRule type="containsText" dxfId="113" priority="19" operator="containsText" text="Satisfied">
      <formula>NOT(ISERROR(SEARCH("Satisfied",J1)))</formula>
    </cfRule>
    <cfRule type="containsText" dxfId="112" priority="20" operator="containsText" text="Other Than Satisfied">
      <formula>NOT(ISERROR(SEARCH("Other Than Satisfied",J1)))</formula>
    </cfRule>
  </conditionalFormatting>
  <conditionalFormatting sqref="J1:J1048576">
    <cfRule type="cellIs" dxfId="111" priority="1" operator="equal">
      <formula>"MET"</formula>
    </cfRule>
    <cfRule type="cellIs" dxfId="110" priority="2" operator="equal">
      <formula>"Partially Satisfied"</formula>
    </cfRule>
    <cfRule type="cellIs" dxfId="109" priority="4" operator="equal">
      <formula>"Other Than Satisfied"</formula>
    </cfRule>
  </conditionalFormatting>
  <conditionalFormatting sqref="J2:J8">
    <cfRule type="containsText" dxfId="108" priority="12" operator="containsText" text="Other Than Satisfied">
      <formula>NOT(ISERROR(SEARCH("Other Than Satisfied",J2)))</formula>
    </cfRule>
    <cfRule type="containsText" dxfId="107" priority="13" operator="containsText" text="Not Applicable">
      <formula>NOT(ISERROR(SEARCH("Not Applicable",J2)))</formula>
    </cfRule>
  </conditionalFormatting>
  <dataValidations count="2">
    <dataValidation type="list" allowBlank="1" showInputMessage="1" showErrorMessage="1" sqref="I2:I15" xr:uid="{96EDD942-43C6-4631-B5BF-F4BDF365A0DA}">
      <formula1>"Not Selected,Planned,Inherited,Partially Implemented,Implemented"</formula1>
    </dataValidation>
    <dataValidation type="list" allowBlank="1" showInputMessage="1" showErrorMessage="1" sqref="J2:J15" xr:uid="{EE066B70-0D61-4925-ACA5-E90EBB224A99}">
      <formula1>"MET,NOT MET"</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570AE-F153-4E96-B932-F38A0DDC371F}">
  <sheetPr>
    <tabColor rgb="FF002060"/>
  </sheetPr>
  <dimension ref="A1:K136"/>
  <sheetViews>
    <sheetView showGridLines="0" zoomScale="70" zoomScaleNormal="70" workbookViewId="0">
      <pane ySplit="1" topLeftCell="A2" activePane="bottomLeft" state="frozen"/>
      <selection activeCell="D181" sqref="D181"/>
      <selection pane="bottomLeft" activeCell="H3" sqref="H3"/>
    </sheetView>
  </sheetViews>
  <sheetFormatPr defaultColWidth="8.6640625" defaultRowHeight="50.1" customHeight="1" x14ac:dyDescent="0.3"/>
  <cols>
    <col min="1" max="1" width="22.109375" style="76" customWidth="1"/>
    <col min="2" max="3" width="16.88671875" style="44" customWidth="1"/>
    <col min="4" max="4" width="56.44140625" style="44" customWidth="1"/>
    <col min="5" max="5" width="48.44140625" style="44" customWidth="1"/>
    <col min="6" max="6" width="57" style="44" customWidth="1"/>
    <col min="7" max="7" width="35" style="44" customWidth="1"/>
    <col min="8" max="8" width="74.44140625" style="44" customWidth="1"/>
    <col min="9" max="9" width="42.5546875" style="77" customWidth="1"/>
    <col min="10" max="10" width="42.109375" style="77" customWidth="1"/>
    <col min="11" max="11" width="42.88671875" style="44" customWidth="1"/>
    <col min="12" max="16384" width="8.6640625" style="44"/>
  </cols>
  <sheetData>
    <row r="1" spans="1:11" ht="50.1" customHeight="1" thickBot="1" x14ac:dyDescent="0.35">
      <c r="A1" s="20" t="s">
        <v>125</v>
      </c>
      <c r="B1" s="20" t="s">
        <v>762</v>
      </c>
      <c r="C1" s="20" t="s">
        <v>93</v>
      </c>
      <c r="D1" s="20" t="s">
        <v>94</v>
      </c>
      <c r="E1" s="20" t="s">
        <v>95</v>
      </c>
      <c r="F1" s="20" t="s">
        <v>96</v>
      </c>
      <c r="G1" s="20" t="s">
        <v>97</v>
      </c>
      <c r="H1" s="20" t="s">
        <v>98</v>
      </c>
      <c r="I1" s="20" t="s">
        <v>44</v>
      </c>
      <c r="J1" s="20" t="s">
        <v>45</v>
      </c>
      <c r="K1" s="20" t="s">
        <v>99</v>
      </c>
    </row>
    <row r="2" spans="1:11" ht="50.1" customHeight="1" thickBot="1" x14ac:dyDescent="0.35">
      <c r="A2" s="235" t="s">
        <v>809</v>
      </c>
      <c r="B2" s="116" t="s">
        <v>810</v>
      </c>
      <c r="C2" s="238" t="s">
        <v>811</v>
      </c>
      <c r="D2" s="116" t="s">
        <v>817</v>
      </c>
      <c r="E2" s="117" t="s">
        <v>818</v>
      </c>
      <c r="F2" s="118" t="s">
        <v>819</v>
      </c>
      <c r="G2" s="119" t="s">
        <v>820</v>
      </c>
      <c r="H2" s="124" t="s">
        <v>1295</v>
      </c>
      <c r="I2" s="75" t="s">
        <v>34</v>
      </c>
      <c r="J2" s="75" t="s">
        <v>111</v>
      </c>
      <c r="K2" s="231" t="s">
        <v>1292</v>
      </c>
    </row>
    <row r="3" spans="1:11" ht="50.1" customHeight="1" x14ac:dyDescent="0.3">
      <c r="A3" s="309" t="s">
        <v>821</v>
      </c>
      <c r="B3" s="87" t="s">
        <v>812</v>
      </c>
      <c r="C3" s="61" t="s">
        <v>813</v>
      </c>
      <c r="D3" s="87" t="s">
        <v>828</v>
      </c>
      <c r="E3" s="88" t="s">
        <v>832</v>
      </c>
      <c r="F3" s="89" t="s">
        <v>833</v>
      </c>
      <c r="G3" s="90" t="s">
        <v>834</v>
      </c>
      <c r="H3" s="225" t="s">
        <v>1295</v>
      </c>
      <c r="I3" s="65" t="s">
        <v>34</v>
      </c>
      <c r="J3" s="65" t="s">
        <v>111</v>
      </c>
      <c r="K3" s="306" t="s">
        <v>1292</v>
      </c>
    </row>
    <row r="4" spans="1:11" ht="50.1" customHeight="1" x14ac:dyDescent="0.3">
      <c r="A4" s="310"/>
      <c r="B4" s="81" t="s">
        <v>812</v>
      </c>
      <c r="C4" s="53" t="s">
        <v>814</v>
      </c>
      <c r="D4" s="82" t="s">
        <v>829</v>
      </c>
      <c r="E4" s="83"/>
      <c r="F4" s="83"/>
      <c r="G4" s="83"/>
      <c r="H4" s="47" t="s">
        <v>1295</v>
      </c>
      <c r="I4" s="48" t="s">
        <v>34</v>
      </c>
      <c r="J4" s="48" t="s">
        <v>111</v>
      </c>
      <c r="K4" s="308"/>
    </row>
    <row r="5" spans="1:11" ht="50.1" customHeight="1" x14ac:dyDescent="0.3">
      <c r="A5" s="310"/>
      <c r="B5" s="81" t="s">
        <v>812</v>
      </c>
      <c r="C5" s="53" t="s">
        <v>815</v>
      </c>
      <c r="D5" s="81" t="s">
        <v>830</v>
      </c>
      <c r="E5" s="84"/>
      <c r="F5" s="84"/>
      <c r="G5" s="84"/>
      <c r="H5" s="47" t="s">
        <v>1295</v>
      </c>
      <c r="I5" s="48" t="s">
        <v>34</v>
      </c>
      <c r="J5" s="48" t="s">
        <v>111</v>
      </c>
      <c r="K5" s="308"/>
    </row>
    <row r="6" spans="1:11" ht="50.1" customHeight="1" thickBot="1" x14ac:dyDescent="0.35">
      <c r="A6" s="311"/>
      <c r="B6" s="91" t="s">
        <v>812</v>
      </c>
      <c r="C6" s="66" t="s">
        <v>816</v>
      </c>
      <c r="D6" s="92" t="s">
        <v>831</v>
      </c>
      <c r="E6" s="93"/>
      <c r="F6" s="93"/>
      <c r="G6" s="93"/>
      <c r="H6" s="227" t="s">
        <v>1295</v>
      </c>
      <c r="I6" s="69" t="s">
        <v>34</v>
      </c>
      <c r="J6" s="69" t="s">
        <v>111</v>
      </c>
      <c r="K6" s="307"/>
    </row>
    <row r="7" spans="1:11" ht="50.1" customHeight="1" thickBot="1" x14ac:dyDescent="0.35">
      <c r="A7" s="235" t="s">
        <v>822</v>
      </c>
      <c r="B7" s="116" t="s">
        <v>823</v>
      </c>
      <c r="C7" s="116" t="s">
        <v>835</v>
      </c>
      <c r="D7" s="116" t="s">
        <v>836</v>
      </c>
      <c r="E7" s="117" t="s">
        <v>818</v>
      </c>
      <c r="F7" s="118" t="s">
        <v>819</v>
      </c>
      <c r="G7" s="243" t="s">
        <v>820</v>
      </c>
      <c r="H7" s="231" t="s">
        <v>1295</v>
      </c>
      <c r="I7" s="75" t="s">
        <v>34</v>
      </c>
      <c r="J7" s="75" t="s">
        <v>111</v>
      </c>
      <c r="K7" s="231" t="s">
        <v>1292</v>
      </c>
    </row>
    <row r="8" spans="1:11" ht="50.1" customHeight="1" thickBot="1" x14ac:dyDescent="0.35">
      <c r="A8" s="232" t="s">
        <v>824</v>
      </c>
      <c r="B8" s="87" t="s">
        <v>825</v>
      </c>
      <c r="C8" s="87" t="s">
        <v>838</v>
      </c>
      <c r="D8" s="87" t="s">
        <v>837</v>
      </c>
      <c r="E8" s="88" t="s">
        <v>839</v>
      </c>
      <c r="F8" s="89" t="s">
        <v>833</v>
      </c>
      <c r="G8" s="90" t="s">
        <v>840</v>
      </c>
      <c r="H8" s="225" t="s">
        <v>1295</v>
      </c>
      <c r="I8" s="65" t="s">
        <v>34</v>
      </c>
      <c r="J8" s="65" t="s">
        <v>111</v>
      </c>
      <c r="K8" s="306" t="s">
        <v>1292</v>
      </c>
    </row>
    <row r="9" spans="1:11" ht="50.1" customHeight="1" x14ac:dyDescent="0.3">
      <c r="A9" s="309" t="s">
        <v>72</v>
      </c>
      <c r="B9" s="239" t="s">
        <v>826</v>
      </c>
      <c r="C9" s="211" t="s">
        <v>841</v>
      </c>
      <c r="D9" s="239" t="s">
        <v>843</v>
      </c>
      <c r="E9" s="240" t="s">
        <v>845</v>
      </c>
      <c r="F9" s="241" t="s">
        <v>846</v>
      </c>
      <c r="G9" s="242" t="s">
        <v>847</v>
      </c>
      <c r="H9" s="227" t="s">
        <v>1295</v>
      </c>
      <c r="I9" s="69" t="s">
        <v>34</v>
      </c>
      <c r="J9" s="69" t="s">
        <v>111</v>
      </c>
      <c r="K9" s="308"/>
    </row>
    <row r="10" spans="1:11" ht="50.1" customHeight="1" thickBot="1" x14ac:dyDescent="0.35">
      <c r="A10" s="311"/>
      <c r="B10" s="85" t="s">
        <v>826</v>
      </c>
      <c r="C10" s="55" t="s">
        <v>842</v>
      </c>
      <c r="D10" s="97" t="s">
        <v>844</v>
      </c>
      <c r="E10" s="98"/>
      <c r="F10" s="98"/>
      <c r="G10" s="98"/>
      <c r="H10" s="210" t="s">
        <v>1295</v>
      </c>
      <c r="I10" s="57" t="s">
        <v>34</v>
      </c>
      <c r="J10" s="57" t="s">
        <v>111</v>
      </c>
      <c r="K10" s="307"/>
    </row>
    <row r="11" spans="1:11" ht="50.1" customHeight="1" thickBot="1" x14ac:dyDescent="0.35">
      <c r="A11" s="235" t="s">
        <v>73</v>
      </c>
      <c r="B11" s="116" t="s">
        <v>827</v>
      </c>
      <c r="C11" s="116" t="s">
        <v>848</v>
      </c>
      <c r="D11" s="116" t="s">
        <v>851</v>
      </c>
      <c r="E11" s="117" t="s">
        <v>849</v>
      </c>
      <c r="F11" s="118" t="s">
        <v>833</v>
      </c>
      <c r="G11" s="119" t="s">
        <v>850</v>
      </c>
      <c r="H11" s="231" t="s">
        <v>1295</v>
      </c>
      <c r="I11" s="75" t="s">
        <v>34</v>
      </c>
      <c r="J11" s="75" t="s">
        <v>111</v>
      </c>
      <c r="K11" s="231" t="s">
        <v>1292</v>
      </c>
    </row>
    <row r="12" spans="1:11" ht="50.1" customHeight="1" x14ac:dyDescent="0.3">
      <c r="A12" s="12"/>
      <c r="B12" s="106"/>
      <c r="C12" s="106"/>
      <c r="D12" s="106"/>
      <c r="E12" s="106"/>
      <c r="F12" s="107"/>
      <c r="G12" s="107"/>
    </row>
    <row r="13" spans="1:11" ht="50.1" customHeight="1" x14ac:dyDescent="0.3">
      <c r="A13" s="12"/>
      <c r="B13" s="106"/>
      <c r="C13" s="106"/>
      <c r="D13" s="106"/>
      <c r="E13" s="106"/>
      <c r="F13" s="107"/>
      <c r="G13" s="107"/>
    </row>
    <row r="14" spans="1:11" ht="50.1" customHeight="1" x14ac:dyDescent="0.3">
      <c r="A14" s="12"/>
      <c r="B14" s="106"/>
      <c r="C14" s="106"/>
      <c r="D14" s="106"/>
      <c r="E14" s="106"/>
      <c r="F14" s="106"/>
      <c r="G14" s="106"/>
    </row>
    <row r="15" spans="1:11" ht="50.1" customHeight="1" x14ac:dyDescent="0.3">
      <c r="A15" s="12"/>
      <c r="B15" s="106"/>
      <c r="C15" s="106"/>
      <c r="D15" s="106"/>
      <c r="E15" s="106"/>
      <c r="F15" s="107"/>
      <c r="G15" s="107"/>
    </row>
    <row r="16" spans="1:11" ht="50.1" customHeight="1" x14ac:dyDescent="0.3">
      <c r="A16" s="12"/>
      <c r="B16" s="106"/>
      <c r="C16" s="106"/>
      <c r="D16" s="106"/>
      <c r="E16" s="106"/>
      <c r="F16" s="107"/>
      <c r="G16" s="107"/>
    </row>
    <row r="17" spans="1:7" ht="50.1" customHeight="1" x14ac:dyDescent="0.3">
      <c r="A17" s="12"/>
      <c r="B17" s="106"/>
      <c r="C17" s="106"/>
      <c r="D17" s="106"/>
      <c r="E17" s="106"/>
      <c r="F17" s="107"/>
      <c r="G17" s="107"/>
    </row>
    <row r="18" spans="1:7" ht="50.1" customHeight="1" x14ac:dyDescent="0.3">
      <c r="A18" s="12"/>
      <c r="B18" s="106"/>
      <c r="C18" s="106"/>
      <c r="D18" s="106"/>
      <c r="E18" s="106"/>
      <c r="F18" s="107"/>
      <c r="G18" s="107"/>
    </row>
    <row r="19" spans="1:7" ht="50.1" customHeight="1" x14ac:dyDescent="0.3">
      <c r="A19" s="12"/>
      <c r="B19" s="106"/>
      <c r="C19" s="106"/>
      <c r="D19" s="106"/>
      <c r="E19" s="106"/>
      <c r="F19" s="107"/>
      <c r="G19" s="107"/>
    </row>
    <row r="20" spans="1:7" ht="50.1" customHeight="1" x14ac:dyDescent="0.3">
      <c r="A20" s="12"/>
      <c r="B20" s="106"/>
      <c r="C20" s="106"/>
      <c r="D20" s="106"/>
      <c r="E20" s="106"/>
      <c r="F20" s="106"/>
      <c r="G20" s="106"/>
    </row>
    <row r="21" spans="1:7" ht="50.1" customHeight="1" x14ac:dyDescent="0.3">
      <c r="A21" s="12"/>
      <c r="B21" s="106"/>
      <c r="C21" s="106"/>
      <c r="D21" s="106"/>
      <c r="E21" s="106"/>
      <c r="F21" s="107"/>
      <c r="G21" s="107"/>
    </row>
    <row r="22" spans="1:7" ht="50.1" customHeight="1" x14ac:dyDescent="0.3">
      <c r="A22" s="12"/>
      <c r="B22" s="106"/>
      <c r="C22" s="106"/>
      <c r="D22" s="106"/>
      <c r="E22" s="106"/>
      <c r="F22" s="107"/>
      <c r="G22" s="107"/>
    </row>
    <row r="23" spans="1:7" ht="50.1" customHeight="1" x14ac:dyDescent="0.3">
      <c r="A23" s="12"/>
      <c r="B23" s="106"/>
      <c r="C23" s="106"/>
      <c r="D23" s="106"/>
      <c r="E23" s="106"/>
      <c r="F23" s="107"/>
      <c r="G23" s="107"/>
    </row>
    <row r="24" spans="1:7" ht="50.1" customHeight="1" x14ac:dyDescent="0.3">
      <c r="A24" s="12"/>
      <c r="B24" s="106"/>
      <c r="C24" s="106"/>
      <c r="D24" s="106"/>
      <c r="E24" s="106"/>
      <c r="F24" s="107"/>
      <c r="G24" s="107"/>
    </row>
    <row r="25" spans="1:7" ht="50.1" customHeight="1" x14ac:dyDescent="0.3">
      <c r="A25" s="12"/>
      <c r="B25" s="106"/>
      <c r="C25" s="106"/>
      <c r="D25" s="106"/>
      <c r="E25" s="106"/>
      <c r="F25" s="106"/>
      <c r="G25" s="107"/>
    </row>
    <row r="26" spans="1:7" ht="50.1" customHeight="1" x14ac:dyDescent="0.3">
      <c r="A26" s="12"/>
      <c r="B26" s="106"/>
      <c r="C26" s="106"/>
      <c r="D26" s="106"/>
      <c r="E26" s="106"/>
      <c r="F26" s="107"/>
      <c r="G26" s="107"/>
    </row>
    <row r="27" spans="1:7" ht="50.1" customHeight="1" x14ac:dyDescent="0.3">
      <c r="A27" s="12"/>
      <c r="B27" s="106"/>
      <c r="C27" s="106"/>
      <c r="D27" s="106"/>
      <c r="E27" s="106"/>
      <c r="F27" s="106"/>
      <c r="G27" s="106"/>
    </row>
    <row r="28" spans="1:7" ht="50.1" customHeight="1" x14ac:dyDescent="0.3">
      <c r="A28" s="12"/>
      <c r="B28" s="106"/>
      <c r="C28" s="106"/>
      <c r="D28" s="106"/>
      <c r="E28" s="106"/>
      <c r="F28" s="107"/>
      <c r="G28" s="107"/>
    </row>
    <row r="29" spans="1:7" ht="50.1" customHeight="1" x14ac:dyDescent="0.3">
      <c r="A29" s="12"/>
      <c r="B29" s="106"/>
      <c r="C29" s="106"/>
      <c r="D29" s="106"/>
      <c r="E29" s="106"/>
      <c r="F29" s="107"/>
      <c r="G29" s="107"/>
    </row>
    <row r="30" spans="1:7" ht="50.1" customHeight="1" x14ac:dyDescent="0.3">
      <c r="A30" s="13"/>
      <c r="B30" s="106"/>
      <c r="C30" s="106"/>
      <c r="D30" s="106"/>
      <c r="E30" s="106"/>
      <c r="F30" s="106"/>
      <c r="G30" s="106"/>
    </row>
    <row r="31" spans="1:7" ht="50.1" customHeight="1" x14ac:dyDescent="0.3">
      <c r="A31" s="12"/>
      <c r="B31" s="106"/>
      <c r="C31" s="106"/>
      <c r="D31" s="106"/>
      <c r="E31" s="106"/>
      <c r="F31" s="106"/>
      <c r="G31" s="106"/>
    </row>
    <row r="32" spans="1:7" ht="50.1" customHeight="1" x14ac:dyDescent="0.3">
      <c r="A32" s="12"/>
      <c r="B32" s="106"/>
      <c r="C32" s="106"/>
      <c r="D32" s="106"/>
      <c r="E32" s="106"/>
      <c r="F32" s="107"/>
      <c r="G32" s="107"/>
    </row>
    <row r="33" spans="1:7" ht="50.1" customHeight="1" x14ac:dyDescent="0.3">
      <c r="A33" s="12"/>
      <c r="B33" s="106"/>
      <c r="C33" s="106"/>
      <c r="D33" s="106"/>
      <c r="E33" s="106"/>
      <c r="F33" s="106"/>
      <c r="G33" s="106"/>
    </row>
    <row r="34" spans="1:7" ht="50.1" customHeight="1" x14ac:dyDescent="0.3">
      <c r="A34" s="12"/>
      <c r="B34" s="106"/>
      <c r="C34" s="106"/>
      <c r="D34" s="106"/>
      <c r="E34" s="106"/>
      <c r="F34" s="107"/>
      <c r="G34" s="107"/>
    </row>
    <row r="35" spans="1:7" ht="50.1" customHeight="1" x14ac:dyDescent="0.3">
      <c r="A35" s="12"/>
      <c r="B35" s="106"/>
      <c r="C35" s="106"/>
      <c r="D35" s="106"/>
      <c r="E35" s="106"/>
      <c r="F35" s="107"/>
      <c r="G35" s="107"/>
    </row>
    <row r="36" spans="1:7" ht="50.1" customHeight="1" x14ac:dyDescent="0.3">
      <c r="A36" s="13"/>
      <c r="B36" s="106"/>
      <c r="C36" s="106"/>
      <c r="D36" s="106"/>
      <c r="E36" s="106"/>
      <c r="F36" s="106"/>
      <c r="G36" s="106"/>
    </row>
    <row r="37" spans="1:7" ht="50.1" customHeight="1" x14ac:dyDescent="0.3">
      <c r="A37" s="12"/>
      <c r="B37" s="106"/>
      <c r="C37" s="106"/>
      <c r="D37" s="106"/>
      <c r="E37" s="106"/>
      <c r="F37" s="106"/>
      <c r="G37" s="106"/>
    </row>
    <row r="38" spans="1:7" ht="50.1" customHeight="1" x14ac:dyDescent="0.3">
      <c r="A38" s="12"/>
      <c r="B38" s="106"/>
      <c r="C38" s="106"/>
      <c r="D38" s="106"/>
      <c r="E38" s="106"/>
      <c r="F38" s="107"/>
      <c r="G38" s="107"/>
    </row>
    <row r="39" spans="1:7" ht="50.1" customHeight="1" x14ac:dyDescent="0.3">
      <c r="A39" s="12"/>
      <c r="B39" s="106"/>
      <c r="C39" s="106"/>
      <c r="D39" s="106"/>
      <c r="E39" s="106"/>
      <c r="F39" s="107"/>
      <c r="G39" s="107"/>
    </row>
    <row r="40" spans="1:7" ht="50.1" customHeight="1" x14ac:dyDescent="0.3">
      <c r="A40" s="12"/>
      <c r="B40" s="106"/>
      <c r="C40" s="106"/>
      <c r="D40" s="106"/>
      <c r="E40" s="106"/>
      <c r="F40" s="107"/>
      <c r="G40" s="107"/>
    </row>
    <row r="41" spans="1:7" ht="50.1" customHeight="1" x14ac:dyDescent="0.3">
      <c r="A41" s="12"/>
      <c r="B41" s="106"/>
      <c r="C41" s="106"/>
      <c r="D41" s="106"/>
      <c r="E41" s="106"/>
      <c r="F41" s="107"/>
      <c r="G41" s="107"/>
    </row>
    <row r="42" spans="1:7" ht="50.1" customHeight="1" x14ac:dyDescent="0.3">
      <c r="A42" s="12"/>
      <c r="B42" s="106"/>
      <c r="C42" s="106"/>
      <c r="D42" s="106"/>
      <c r="E42" s="106"/>
      <c r="F42" s="107"/>
      <c r="G42" s="107"/>
    </row>
    <row r="43" spans="1:7" ht="50.1" customHeight="1" x14ac:dyDescent="0.3">
      <c r="A43" s="12"/>
      <c r="B43" s="106"/>
      <c r="C43" s="106"/>
      <c r="D43" s="106"/>
      <c r="E43" s="106"/>
      <c r="F43" s="107"/>
      <c r="G43" s="107"/>
    </row>
    <row r="44" spans="1:7" ht="50.1" customHeight="1" x14ac:dyDescent="0.3">
      <c r="A44" s="12"/>
      <c r="B44" s="106"/>
      <c r="C44" s="106"/>
      <c r="D44" s="106"/>
      <c r="E44" s="106"/>
      <c r="F44" s="107"/>
      <c r="G44" s="107"/>
    </row>
    <row r="45" spans="1:7" ht="50.1" customHeight="1" x14ac:dyDescent="0.3">
      <c r="A45" s="12"/>
      <c r="B45" s="106"/>
      <c r="C45" s="106"/>
      <c r="D45" s="106"/>
      <c r="E45" s="106"/>
      <c r="F45" s="107"/>
      <c r="G45" s="107"/>
    </row>
    <row r="46" spans="1:7" ht="50.1" customHeight="1" x14ac:dyDescent="0.3">
      <c r="A46" s="12"/>
      <c r="B46" s="106"/>
      <c r="C46" s="106"/>
      <c r="D46" s="106"/>
      <c r="E46" s="106"/>
      <c r="F46" s="106"/>
      <c r="G46" s="106"/>
    </row>
    <row r="47" spans="1:7" ht="50.1" customHeight="1" x14ac:dyDescent="0.3">
      <c r="A47" s="12"/>
      <c r="B47" s="106"/>
      <c r="C47" s="106"/>
      <c r="D47" s="106"/>
      <c r="E47" s="106"/>
      <c r="F47" s="107"/>
      <c r="G47" s="107"/>
    </row>
    <row r="48" spans="1:7" ht="50.1" customHeight="1" x14ac:dyDescent="0.3">
      <c r="A48" s="12"/>
      <c r="B48" s="106"/>
      <c r="C48" s="106"/>
      <c r="D48" s="106"/>
      <c r="E48" s="106"/>
      <c r="F48" s="106"/>
      <c r="G48" s="106"/>
    </row>
    <row r="49" spans="1:7" ht="50.1" customHeight="1" x14ac:dyDescent="0.3">
      <c r="A49" s="12"/>
      <c r="B49" s="106"/>
      <c r="C49" s="106"/>
      <c r="D49" s="106"/>
      <c r="E49" s="106"/>
      <c r="F49" s="107"/>
      <c r="G49" s="107"/>
    </row>
    <row r="50" spans="1:7" ht="50.1" customHeight="1" x14ac:dyDescent="0.3">
      <c r="A50" s="12"/>
      <c r="B50" s="106"/>
      <c r="C50" s="106"/>
      <c r="D50" s="106"/>
      <c r="E50" s="106"/>
      <c r="F50" s="106"/>
      <c r="G50" s="106"/>
    </row>
    <row r="51" spans="1:7" ht="50.1" customHeight="1" x14ac:dyDescent="0.3">
      <c r="A51" s="12"/>
      <c r="B51" s="106"/>
      <c r="C51" s="106"/>
      <c r="D51" s="106"/>
      <c r="E51" s="106"/>
      <c r="F51" s="107"/>
      <c r="G51" s="107"/>
    </row>
    <row r="52" spans="1:7" ht="50.1" customHeight="1" x14ac:dyDescent="0.3">
      <c r="A52" s="12"/>
      <c r="B52" s="106"/>
      <c r="C52" s="106"/>
      <c r="D52" s="106"/>
      <c r="E52" s="106"/>
      <c r="F52" s="107"/>
      <c r="G52" s="107"/>
    </row>
    <row r="53" spans="1:7" ht="50.1" customHeight="1" x14ac:dyDescent="0.3">
      <c r="A53" s="12"/>
      <c r="B53" s="106"/>
      <c r="C53" s="106"/>
      <c r="D53" s="106"/>
      <c r="E53" s="106"/>
      <c r="F53" s="107"/>
      <c r="G53" s="107"/>
    </row>
    <row r="54" spans="1:7" ht="50.1" customHeight="1" x14ac:dyDescent="0.3">
      <c r="A54" s="13"/>
      <c r="B54" s="106"/>
      <c r="C54" s="106"/>
      <c r="D54" s="106"/>
      <c r="E54" s="106"/>
      <c r="F54" s="106"/>
      <c r="G54" s="106"/>
    </row>
    <row r="55" spans="1:7" ht="50.1" customHeight="1" x14ac:dyDescent="0.3">
      <c r="A55" s="13"/>
      <c r="B55" s="106"/>
      <c r="C55" s="106"/>
      <c r="D55" s="106"/>
      <c r="E55" s="106"/>
      <c r="F55" s="106"/>
      <c r="G55" s="106"/>
    </row>
    <row r="56" spans="1:7" ht="50.1" customHeight="1" x14ac:dyDescent="0.3">
      <c r="A56" s="12"/>
      <c r="B56" s="106"/>
      <c r="C56" s="106"/>
      <c r="D56" s="106"/>
      <c r="E56" s="106"/>
      <c r="F56" s="106"/>
      <c r="G56" s="106"/>
    </row>
    <row r="57" spans="1:7" ht="50.1" customHeight="1" x14ac:dyDescent="0.3">
      <c r="A57" s="12"/>
      <c r="B57" s="106"/>
      <c r="C57" s="106"/>
      <c r="D57" s="106"/>
      <c r="E57" s="106"/>
      <c r="F57" s="107"/>
      <c r="G57" s="107"/>
    </row>
    <row r="58" spans="1:7" ht="50.1" customHeight="1" x14ac:dyDescent="0.3">
      <c r="A58" s="12"/>
      <c r="B58" s="106"/>
      <c r="C58" s="106"/>
      <c r="D58" s="106"/>
      <c r="E58" s="106"/>
      <c r="F58" s="107"/>
      <c r="G58" s="107"/>
    </row>
    <row r="59" spans="1:7" ht="50.1" customHeight="1" x14ac:dyDescent="0.3">
      <c r="A59" s="12"/>
      <c r="B59" s="106"/>
      <c r="C59" s="106"/>
      <c r="D59" s="106"/>
      <c r="E59" s="106"/>
      <c r="F59" s="107"/>
      <c r="G59" s="107"/>
    </row>
    <row r="60" spans="1:7" ht="50.1" customHeight="1" x14ac:dyDescent="0.3">
      <c r="A60" s="12"/>
      <c r="B60" s="106"/>
      <c r="C60" s="106"/>
      <c r="D60" s="106"/>
      <c r="E60" s="106"/>
      <c r="F60" s="107"/>
      <c r="G60" s="107"/>
    </row>
    <row r="61" spans="1:7" ht="50.1" customHeight="1" x14ac:dyDescent="0.3">
      <c r="A61" s="12"/>
      <c r="B61" s="106"/>
      <c r="C61" s="106"/>
      <c r="D61" s="106"/>
      <c r="E61" s="106"/>
      <c r="F61" s="107"/>
      <c r="G61" s="107"/>
    </row>
    <row r="62" spans="1:7" ht="50.1" customHeight="1" x14ac:dyDescent="0.3">
      <c r="A62" s="12"/>
      <c r="B62" s="106"/>
      <c r="C62" s="106"/>
      <c r="D62" s="106"/>
      <c r="E62" s="106"/>
      <c r="F62" s="107"/>
      <c r="G62" s="107"/>
    </row>
    <row r="63" spans="1:7" ht="50.1" customHeight="1" x14ac:dyDescent="0.3">
      <c r="A63" s="12"/>
      <c r="B63" s="106"/>
      <c r="C63" s="106"/>
      <c r="D63" s="106"/>
      <c r="E63" s="106"/>
      <c r="F63" s="107"/>
      <c r="G63" s="107"/>
    </row>
    <row r="64" spans="1:7" ht="50.1" customHeight="1" x14ac:dyDescent="0.3">
      <c r="A64" s="12"/>
      <c r="B64" s="106"/>
      <c r="C64" s="106"/>
      <c r="D64" s="106"/>
      <c r="E64" s="106"/>
      <c r="F64" s="106"/>
      <c r="G64" s="106"/>
    </row>
    <row r="65" spans="1:7" ht="50.1" customHeight="1" x14ac:dyDescent="0.3">
      <c r="A65" s="12"/>
      <c r="B65" s="106"/>
      <c r="C65" s="106"/>
      <c r="D65" s="106"/>
      <c r="E65" s="106"/>
      <c r="F65" s="107"/>
      <c r="G65" s="107"/>
    </row>
    <row r="66" spans="1:7" ht="50.1" customHeight="1" x14ac:dyDescent="0.3">
      <c r="A66" s="12"/>
      <c r="B66" s="106"/>
      <c r="C66" s="106"/>
      <c r="D66" s="106"/>
      <c r="E66" s="106"/>
      <c r="F66" s="107"/>
      <c r="G66" s="107"/>
    </row>
    <row r="67" spans="1:7" ht="50.1" customHeight="1" x14ac:dyDescent="0.3">
      <c r="A67" s="12"/>
      <c r="B67" s="106"/>
      <c r="C67" s="106"/>
      <c r="D67" s="106"/>
      <c r="E67" s="106"/>
      <c r="F67" s="107"/>
      <c r="G67" s="107"/>
    </row>
    <row r="68" spans="1:7" ht="50.1" customHeight="1" x14ac:dyDescent="0.3">
      <c r="A68" s="12"/>
      <c r="B68" s="106"/>
      <c r="C68" s="106"/>
      <c r="D68" s="106"/>
      <c r="E68" s="106"/>
      <c r="F68" s="107"/>
      <c r="G68" s="107"/>
    </row>
    <row r="69" spans="1:7" ht="50.1" customHeight="1" x14ac:dyDescent="0.3">
      <c r="A69" s="12"/>
      <c r="B69" s="106"/>
      <c r="C69" s="106"/>
      <c r="D69" s="106"/>
      <c r="E69" s="106"/>
      <c r="F69" s="107"/>
      <c r="G69" s="107"/>
    </row>
    <row r="70" spans="1:7" ht="50.1" customHeight="1" x14ac:dyDescent="0.3">
      <c r="A70" s="12"/>
      <c r="B70" s="106"/>
      <c r="C70" s="106"/>
      <c r="D70" s="106"/>
      <c r="E70" s="106"/>
      <c r="F70" s="107"/>
      <c r="G70" s="107"/>
    </row>
    <row r="71" spans="1:7" ht="50.1" customHeight="1" x14ac:dyDescent="0.3">
      <c r="A71" s="12"/>
      <c r="B71" s="106"/>
      <c r="C71" s="106"/>
      <c r="D71" s="106"/>
      <c r="E71" s="106"/>
      <c r="F71" s="107"/>
      <c r="G71" s="107"/>
    </row>
    <row r="72" spans="1:7" ht="50.1" customHeight="1" x14ac:dyDescent="0.3">
      <c r="A72" s="12"/>
      <c r="B72" s="106"/>
      <c r="C72" s="106"/>
      <c r="D72" s="106"/>
      <c r="E72" s="106"/>
      <c r="F72" s="107"/>
      <c r="G72" s="107"/>
    </row>
    <row r="73" spans="1:7" ht="50.1" customHeight="1" x14ac:dyDescent="0.3">
      <c r="A73" s="12"/>
      <c r="B73" s="106"/>
      <c r="C73" s="106"/>
      <c r="D73" s="106"/>
      <c r="E73" s="106"/>
      <c r="F73" s="107"/>
      <c r="G73" s="107"/>
    </row>
    <row r="74" spans="1:7" ht="50.1" customHeight="1" x14ac:dyDescent="0.3">
      <c r="A74" s="12"/>
      <c r="B74" s="106"/>
      <c r="C74" s="106"/>
      <c r="D74" s="106"/>
      <c r="E74" s="106"/>
      <c r="F74" s="107"/>
      <c r="G74" s="107"/>
    </row>
    <row r="75" spans="1:7" ht="50.1" customHeight="1" x14ac:dyDescent="0.3">
      <c r="A75" s="12"/>
      <c r="B75" s="106"/>
      <c r="C75" s="106"/>
      <c r="D75" s="106"/>
      <c r="E75" s="106"/>
      <c r="F75" s="106"/>
      <c r="G75" s="106"/>
    </row>
    <row r="76" spans="1:7" ht="50.1" customHeight="1" x14ac:dyDescent="0.3">
      <c r="A76" s="12"/>
      <c r="B76" s="106"/>
      <c r="C76" s="106"/>
      <c r="D76" s="106"/>
      <c r="E76" s="106"/>
      <c r="F76" s="107"/>
      <c r="G76" s="107"/>
    </row>
    <row r="77" spans="1:7" ht="50.1" customHeight="1" x14ac:dyDescent="0.3">
      <c r="A77" s="12"/>
      <c r="B77" s="106"/>
      <c r="C77" s="106"/>
      <c r="D77" s="106"/>
      <c r="E77" s="106"/>
      <c r="F77" s="107"/>
      <c r="G77" s="107"/>
    </row>
    <row r="78" spans="1:7" ht="50.1" customHeight="1" x14ac:dyDescent="0.3">
      <c r="A78" s="12"/>
      <c r="B78" s="106"/>
      <c r="C78" s="106"/>
      <c r="D78" s="106"/>
      <c r="E78" s="106"/>
      <c r="F78" s="107"/>
      <c r="G78" s="107"/>
    </row>
    <row r="79" spans="1:7" ht="50.1" customHeight="1" x14ac:dyDescent="0.3">
      <c r="A79" s="13"/>
      <c r="B79" s="106"/>
      <c r="C79" s="106"/>
      <c r="D79" s="106"/>
      <c r="E79" s="106"/>
      <c r="F79" s="106"/>
      <c r="G79" s="106"/>
    </row>
    <row r="80" spans="1:7" ht="50.1" customHeight="1" x14ac:dyDescent="0.3">
      <c r="A80" s="12"/>
      <c r="B80" s="106"/>
      <c r="C80" s="106"/>
      <c r="D80" s="106"/>
      <c r="E80" s="106"/>
      <c r="F80" s="106"/>
      <c r="G80" s="106"/>
    </row>
    <row r="81" spans="1:7" ht="50.1" customHeight="1" x14ac:dyDescent="0.3">
      <c r="A81" s="12"/>
      <c r="B81" s="106"/>
      <c r="C81" s="106"/>
      <c r="D81" s="106"/>
      <c r="E81" s="106"/>
      <c r="F81" s="107"/>
      <c r="G81" s="107"/>
    </row>
    <row r="82" spans="1:7" ht="50.1" customHeight="1" x14ac:dyDescent="0.3">
      <c r="A82" s="12"/>
      <c r="B82" s="106"/>
      <c r="C82" s="106"/>
      <c r="D82" s="106"/>
      <c r="E82" s="106"/>
      <c r="F82" s="106"/>
      <c r="G82" s="107"/>
    </row>
    <row r="83" spans="1:7" ht="50.1" customHeight="1" x14ac:dyDescent="0.3">
      <c r="A83" s="12"/>
      <c r="B83" s="106"/>
      <c r="C83" s="106"/>
      <c r="D83" s="106"/>
      <c r="E83" s="106"/>
      <c r="F83" s="107"/>
      <c r="G83" s="107"/>
    </row>
    <row r="84" spans="1:7" ht="50.1" customHeight="1" x14ac:dyDescent="0.3">
      <c r="A84" s="12"/>
      <c r="B84" s="106"/>
      <c r="C84" s="106"/>
      <c r="D84" s="106"/>
      <c r="E84" s="106"/>
      <c r="F84" s="107"/>
      <c r="G84" s="107"/>
    </row>
    <row r="85" spans="1:7" ht="50.1" customHeight="1" x14ac:dyDescent="0.3">
      <c r="A85" s="12"/>
      <c r="B85" s="106"/>
      <c r="C85" s="106"/>
      <c r="D85" s="106"/>
      <c r="E85" s="106"/>
      <c r="F85" s="107"/>
      <c r="G85" s="107"/>
    </row>
    <row r="86" spans="1:7" ht="50.1" customHeight="1" x14ac:dyDescent="0.3">
      <c r="A86" s="12"/>
      <c r="B86" s="106"/>
      <c r="C86" s="106"/>
      <c r="D86" s="106"/>
      <c r="E86" s="106"/>
      <c r="F86" s="106"/>
      <c r="G86" s="106"/>
    </row>
    <row r="87" spans="1:7" ht="50.1" customHeight="1" x14ac:dyDescent="0.3">
      <c r="A87" s="12"/>
      <c r="B87" s="106"/>
      <c r="C87" s="106"/>
      <c r="D87" s="106"/>
      <c r="E87" s="106"/>
      <c r="F87" s="107"/>
      <c r="G87" s="107"/>
    </row>
    <row r="88" spans="1:7" ht="50.1" customHeight="1" x14ac:dyDescent="0.3">
      <c r="A88" s="12"/>
      <c r="B88" s="106"/>
      <c r="C88" s="106"/>
      <c r="D88" s="106"/>
      <c r="E88" s="106"/>
      <c r="F88" s="107"/>
      <c r="G88" s="107"/>
    </row>
    <row r="89" spans="1:7" ht="50.1" customHeight="1" x14ac:dyDescent="0.3">
      <c r="A89" s="12"/>
      <c r="B89" s="106"/>
      <c r="C89" s="106"/>
      <c r="D89" s="106"/>
      <c r="E89" s="106"/>
      <c r="F89" s="107"/>
      <c r="G89" s="107"/>
    </row>
    <row r="90" spans="1:7" ht="50.1" customHeight="1" x14ac:dyDescent="0.3">
      <c r="A90" s="12"/>
      <c r="B90" s="106"/>
      <c r="C90" s="106"/>
      <c r="D90" s="106"/>
      <c r="E90" s="106"/>
      <c r="F90" s="106"/>
      <c r="G90" s="106"/>
    </row>
    <row r="91" spans="1:7" ht="50.1" customHeight="1" x14ac:dyDescent="0.3">
      <c r="A91" s="12"/>
      <c r="B91" s="106"/>
      <c r="C91" s="106"/>
      <c r="D91" s="106"/>
      <c r="E91" s="106"/>
      <c r="F91" s="107"/>
      <c r="G91" s="107"/>
    </row>
    <row r="92" spans="1:7" ht="50.1" customHeight="1" x14ac:dyDescent="0.3">
      <c r="A92" s="12"/>
      <c r="B92" s="106"/>
      <c r="C92" s="106"/>
      <c r="D92" s="106"/>
      <c r="E92" s="106"/>
      <c r="F92" s="106"/>
      <c r="G92" s="106"/>
    </row>
    <row r="93" spans="1:7" ht="50.1" customHeight="1" x14ac:dyDescent="0.3">
      <c r="A93" s="12"/>
      <c r="B93" s="106"/>
      <c r="C93" s="106"/>
      <c r="D93" s="106"/>
      <c r="E93" s="106"/>
      <c r="F93" s="106"/>
      <c r="G93" s="106"/>
    </row>
    <row r="94" spans="1:7" ht="50.1" customHeight="1" x14ac:dyDescent="0.3">
      <c r="A94" s="12"/>
      <c r="B94" s="106"/>
      <c r="C94" s="106"/>
      <c r="D94" s="106"/>
      <c r="E94" s="106"/>
      <c r="F94" s="106"/>
      <c r="G94" s="106"/>
    </row>
    <row r="95" spans="1:7" ht="50.1" customHeight="1" x14ac:dyDescent="0.3">
      <c r="A95" s="12"/>
      <c r="B95" s="106"/>
      <c r="C95" s="106"/>
      <c r="D95" s="106"/>
      <c r="E95" s="106"/>
      <c r="F95" s="107"/>
      <c r="G95" s="107"/>
    </row>
    <row r="96" spans="1:7" ht="50.1" customHeight="1" x14ac:dyDescent="0.3">
      <c r="A96" s="12"/>
      <c r="B96" s="106"/>
      <c r="C96" s="106"/>
      <c r="D96" s="106"/>
      <c r="E96" s="106"/>
      <c r="F96" s="107"/>
      <c r="G96" s="107"/>
    </row>
    <row r="97" spans="1:7" ht="50.1" customHeight="1" x14ac:dyDescent="0.3">
      <c r="A97" s="12"/>
      <c r="B97" s="106"/>
      <c r="C97" s="106"/>
      <c r="D97" s="106"/>
      <c r="E97" s="106"/>
      <c r="F97" s="107"/>
      <c r="G97" s="107"/>
    </row>
    <row r="98" spans="1:7" ht="50.1" customHeight="1" x14ac:dyDescent="0.3">
      <c r="A98" s="12"/>
      <c r="B98" s="106"/>
      <c r="C98" s="106"/>
      <c r="D98" s="106"/>
      <c r="E98" s="106"/>
      <c r="F98" s="107"/>
      <c r="G98" s="107"/>
    </row>
    <row r="99" spans="1:7" ht="50.1" customHeight="1" x14ac:dyDescent="0.3">
      <c r="A99" s="12"/>
      <c r="B99" s="106"/>
      <c r="C99" s="106"/>
      <c r="D99" s="106"/>
      <c r="E99" s="106"/>
      <c r="F99" s="107"/>
      <c r="G99" s="107"/>
    </row>
    <row r="100" spans="1:7" ht="50.1" customHeight="1" x14ac:dyDescent="0.3">
      <c r="A100" s="12"/>
      <c r="B100" s="106"/>
      <c r="C100" s="106"/>
      <c r="D100" s="106"/>
      <c r="E100" s="106"/>
      <c r="F100" s="107"/>
      <c r="G100" s="107"/>
    </row>
    <row r="101" spans="1:7" ht="50.1" customHeight="1" x14ac:dyDescent="0.3">
      <c r="A101" s="12"/>
      <c r="B101" s="106"/>
      <c r="C101" s="106"/>
      <c r="D101" s="106"/>
      <c r="E101" s="106"/>
      <c r="F101" s="106"/>
      <c r="G101" s="106"/>
    </row>
    <row r="102" spans="1:7" ht="50.1" customHeight="1" x14ac:dyDescent="0.3">
      <c r="A102" s="12"/>
      <c r="B102" s="106"/>
      <c r="C102" s="106"/>
      <c r="D102" s="106"/>
      <c r="E102" s="106"/>
      <c r="F102" s="107"/>
      <c r="G102" s="107"/>
    </row>
    <row r="103" spans="1:7" ht="50.1" customHeight="1" x14ac:dyDescent="0.3">
      <c r="A103" s="12"/>
      <c r="B103" s="106"/>
      <c r="C103" s="106"/>
      <c r="D103" s="106"/>
      <c r="E103" s="106"/>
      <c r="F103" s="107"/>
      <c r="G103" s="107"/>
    </row>
    <row r="104" spans="1:7" ht="50.1" customHeight="1" x14ac:dyDescent="0.3">
      <c r="A104" s="12"/>
      <c r="B104" s="106"/>
      <c r="C104" s="106"/>
      <c r="D104" s="106"/>
      <c r="E104" s="106"/>
      <c r="F104" s="107"/>
      <c r="G104" s="107"/>
    </row>
    <row r="105" spans="1:7" ht="50.1" customHeight="1" x14ac:dyDescent="0.3">
      <c r="A105" s="12"/>
      <c r="B105" s="106"/>
      <c r="C105" s="106"/>
      <c r="D105" s="106"/>
      <c r="E105" s="106"/>
      <c r="F105" s="106"/>
      <c r="G105" s="106"/>
    </row>
    <row r="106" spans="1:7" ht="50.1" customHeight="1" x14ac:dyDescent="0.3">
      <c r="A106" s="12"/>
      <c r="B106" s="106"/>
      <c r="C106" s="106"/>
      <c r="D106" s="106"/>
      <c r="E106" s="106"/>
      <c r="F106" s="107"/>
      <c r="G106" s="107"/>
    </row>
    <row r="107" spans="1:7" ht="50.1" customHeight="1" x14ac:dyDescent="0.3">
      <c r="A107" s="12"/>
      <c r="B107" s="106"/>
      <c r="C107" s="106"/>
      <c r="D107" s="106"/>
      <c r="E107" s="106"/>
      <c r="F107" s="107"/>
      <c r="G107" s="107"/>
    </row>
    <row r="108" spans="1:7" ht="50.1" customHeight="1" x14ac:dyDescent="0.3">
      <c r="A108" s="12"/>
      <c r="B108" s="106"/>
      <c r="C108" s="106"/>
      <c r="D108" s="106"/>
      <c r="E108" s="106"/>
      <c r="F108" s="106"/>
      <c r="G108" s="106"/>
    </row>
    <row r="109" spans="1:7" ht="50.1" customHeight="1" x14ac:dyDescent="0.3">
      <c r="A109" s="12"/>
      <c r="B109" s="106"/>
      <c r="C109" s="106"/>
      <c r="D109" s="106"/>
      <c r="E109" s="106"/>
      <c r="F109" s="106"/>
      <c r="G109" s="106"/>
    </row>
    <row r="110" spans="1:7" ht="50.1" customHeight="1" x14ac:dyDescent="0.3">
      <c r="A110" s="12"/>
      <c r="B110" s="106"/>
      <c r="C110" s="106"/>
      <c r="D110" s="106"/>
      <c r="E110" s="106"/>
      <c r="F110" s="107"/>
      <c r="G110" s="107"/>
    </row>
    <row r="111" spans="1:7" ht="50.1" customHeight="1" x14ac:dyDescent="0.3">
      <c r="A111" s="12"/>
      <c r="B111" s="106"/>
      <c r="C111" s="106"/>
      <c r="D111" s="106"/>
      <c r="E111" s="106"/>
      <c r="F111" s="107"/>
      <c r="G111" s="107"/>
    </row>
    <row r="112" spans="1:7" ht="50.1" customHeight="1" x14ac:dyDescent="0.3">
      <c r="A112" s="12"/>
      <c r="B112" s="106"/>
      <c r="C112" s="106"/>
      <c r="D112" s="106"/>
      <c r="E112" s="106"/>
      <c r="F112" s="107"/>
      <c r="G112" s="107"/>
    </row>
    <row r="113" spans="1:7" ht="50.1" customHeight="1" x14ac:dyDescent="0.3">
      <c r="A113" s="12"/>
      <c r="B113" s="106"/>
      <c r="C113" s="106"/>
      <c r="D113" s="106"/>
      <c r="E113" s="106"/>
      <c r="F113" s="106"/>
      <c r="G113" s="106"/>
    </row>
    <row r="114" spans="1:7" ht="50.1" customHeight="1" x14ac:dyDescent="0.3">
      <c r="A114" s="12"/>
      <c r="B114" s="106"/>
      <c r="C114" s="106"/>
      <c r="D114" s="106"/>
      <c r="E114" s="106"/>
      <c r="F114" s="107"/>
      <c r="G114" s="107"/>
    </row>
    <row r="115" spans="1:7" ht="50.1" customHeight="1" x14ac:dyDescent="0.3">
      <c r="A115" s="12"/>
      <c r="B115" s="106"/>
      <c r="C115" s="106"/>
      <c r="D115" s="106"/>
      <c r="E115" s="106"/>
      <c r="F115" s="107"/>
      <c r="G115" s="107"/>
    </row>
    <row r="116" spans="1:7" ht="50.1" customHeight="1" x14ac:dyDescent="0.3">
      <c r="A116" s="12"/>
      <c r="B116" s="106"/>
      <c r="C116" s="106"/>
      <c r="D116" s="106"/>
      <c r="E116" s="106"/>
      <c r="F116" s="106"/>
      <c r="G116" s="106"/>
    </row>
    <row r="117" spans="1:7" ht="50.1" customHeight="1" x14ac:dyDescent="0.3">
      <c r="A117" s="12"/>
      <c r="B117" s="106"/>
      <c r="C117" s="106"/>
      <c r="D117" s="106"/>
      <c r="E117" s="106"/>
      <c r="F117" s="107"/>
      <c r="G117" s="107"/>
    </row>
    <row r="118" spans="1:7" ht="50.1" customHeight="1" x14ac:dyDescent="0.3">
      <c r="A118" s="12"/>
      <c r="B118" s="106"/>
      <c r="C118" s="106"/>
      <c r="D118" s="106"/>
      <c r="E118" s="106"/>
      <c r="F118" s="107"/>
      <c r="G118" s="107"/>
    </row>
    <row r="119" spans="1:7" ht="50.1" customHeight="1" x14ac:dyDescent="0.3">
      <c r="A119" s="12"/>
      <c r="B119" s="106"/>
      <c r="C119" s="106"/>
      <c r="D119" s="106"/>
      <c r="E119" s="106"/>
      <c r="F119" s="107"/>
      <c r="G119" s="107"/>
    </row>
    <row r="120" spans="1:7" ht="50.1" customHeight="1" x14ac:dyDescent="0.3">
      <c r="A120" s="12"/>
      <c r="B120" s="106"/>
      <c r="C120" s="106"/>
      <c r="D120" s="106"/>
      <c r="E120" s="106"/>
      <c r="F120" s="107"/>
      <c r="G120" s="107"/>
    </row>
    <row r="121" spans="1:7" ht="50.1" customHeight="1" x14ac:dyDescent="0.3">
      <c r="A121" s="12"/>
      <c r="B121" s="106"/>
      <c r="C121" s="106"/>
      <c r="D121" s="106"/>
      <c r="E121" s="106"/>
      <c r="F121" s="107"/>
      <c r="G121" s="107"/>
    </row>
    <row r="122" spans="1:7" ht="50.1" customHeight="1" x14ac:dyDescent="0.3">
      <c r="A122" s="12"/>
      <c r="B122" s="106"/>
      <c r="C122" s="106"/>
      <c r="D122" s="106"/>
      <c r="E122" s="106"/>
      <c r="F122" s="107"/>
      <c r="G122" s="107"/>
    </row>
    <row r="123" spans="1:7" ht="50.1" customHeight="1" x14ac:dyDescent="0.3">
      <c r="A123" s="12"/>
      <c r="B123" s="106"/>
      <c r="C123" s="106"/>
      <c r="D123" s="106"/>
      <c r="E123" s="106"/>
      <c r="F123" s="106"/>
      <c r="G123" s="106"/>
    </row>
    <row r="124" spans="1:7" ht="50.1" customHeight="1" x14ac:dyDescent="0.3">
      <c r="A124" s="12"/>
      <c r="B124" s="106"/>
      <c r="C124" s="106"/>
      <c r="D124" s="106"/>
      <c r="E124" s="106"/>
      <c r="F124" s="107"/>
      <c r="G124" s="107"/>
    </row>
    <row r="125" spans="1:7" ht="50.1" customHeight="1" x14ac:dyDescent="0.3">
      <c r="A125" s="12"/>
      <c r="B125" s="106"/>
      <c r="C125" s="106"/>
      <c r="D125" s="106"/>
      <c r="E125" s="106"/>
      <c r="F125" s="106"/>
      <c r="G125" s="106"/>
    </row>
    <row r="126" spans="1:7" ht="50.1" customHeight="1" x14ac:dyDescent="0.3">
      <c r="A126" s="12"/>
      <c r="B126" s="106"/>
      <c r="C126" s="106"/>
      <c r="D126" s="106"/>
      <c r="E126" s="106"/>
      <c r="F126" s="107"/>
      <c r="G126" s="107"/>
    </row>
    <row r="127" spans="1:7" ht="50.1" customHeight="1" x14ac:dyDescent="0.3">
      <c r="A127" s="12"/>
      <c r="B127" s="106"/>
      <c r="C127" s="106"/>
      <c r="D127" s="106"/>
      <c r="E127" s="106"/>
      <c r="F127" s="106"/>
      <c r="G127" s="106"/>
    </row>
    <row r="128" spans="1:7" ht="50.1" customHeight="1" x14ac:dyDescent="0.3">
      <c r="A128" s="12"/>
      <c r="B128" s="106"/>
      <c r="C128" s="106"/>
      <c r="D128" s="106"/>
      <c r="E128" s="106"/>
      <c r="F128" s="107"/>
      <c r="G128" s="107"/>
    </row>
    <row r="129" spans="1:7" ht="50.1" customHeight="1" x14ac:dyDescent="0.3">
      <c r="A129" s="12"/>
      <c r="B129" s="106"/>
      <c r="C129" s="106"/>
      <c r="D129" s="106"/>
      <c r="E129" s="106"/>
      <c r="F129" s="107"/>
      <c r="G129" s="107"/>
    </row>
    <row r="130" spans="1:7" ht="50.1" customHeight="1" x14ac:dyDescent="0.3">
      <c r="A130" s="12"/>
      <c r="B130" s="106"/>
      <c r="C130" s="106"/>
      <c r="D130" s="106"/>
      <c r="E130" s="106"/>
      <c r="F130" s="107"/>
      <c r="G130" s="107"/>
    </row>
    <row r="131" spans="1:7" ht="50.1" customHeight="1" x14ac:dyDescent="0.3">
      <c r="A131" s="12"/>
      <c r="B131" s="106"/>
      <c r="C131" s="106"/>
      <c r="D131" s="106"/>
      <c r="E131" s="106"/>
      <c r="F131" s="106"/>
      <c r="G131" s="106"/>
    </row>
    <row r="132" spans="1:7" ht="50.1" customHeight="1" x14ac:dyDescent="0.3">
      <c r="A132" s="12"/>
      <c r="B132" s="106"/>
      <c r="C132" s="106"/>
      <c r="D132" s="106"/>
      <c r="E132" s="106"/>
      <c r="F132" s="107"/>
      <c r="G132" s="107"/>
    </row>
    <row r="133" spans="1:7" ht="50.1" customHeight="1" x14ac:dyDescent="0.3">
      <c r="A133" s="12"/>
      <c r="B133" s="106"/>
      <c r="C133" s="106"/>
      <c r="D133" s="106"/>
      <c r="E133" s="106"/>
      <c r="F133" s="107"/>
      <c r="G133" s="107"/>
    </row>
    <row r="134" spans="1:7" ht="50.1" customHeight="1" x14ac:dyDescent="0.3">
      <c r="A134" s="12"/>
      <c r="B134" s="106"/>
      <c r="C134" s="106"/>
      <c r="D134" s="106"/>
      <c r="E134" s="106"/>
      <c r="F134" s="107"/>
      <c r="G134" s="107"/>
    </row>
    <row r="135" spans="1:7" ht="50.1" customHeight="1" x14ac:dyDescent="0.3">
      <c r="A135" s="12"/>
      <c r="B135" s="106"/>
      <c r="C135" s="106"/>
      <c r="D135" s="106"/>
      <c r="E135" s="106"/>
      <c r="F135" s="107"/>
      <c r="G135" s="107"/>
    </row>
    <row r="136" spans="1:7" ht="50.1" customHeight="1" x14ac:dyDescent="0.3">
      <c r="A136" s="12"/>
      <c r="B136" s="106"/>
      <c r="C136" s="106"/>
      <c r="D136" s="106"/>
      <c r="E136" s="106"/>
      <c r="F136" s="107"/>
      <c r="G136" s="107"/>
    </row>
  </sheetData>
  <autoFilter ref="A1:K11" xr:uid="{DB2570AE-F153-4E96-B932-F38A0DDC371F}"/>
  <mergeCells count="4">
    <mergeCell ref="A3:A6"/>
    <mergeCell ref="A9:A10"/>
    <mergeCell ref="K8:K10"/>
    <mergeCell ref="K3:K6"/>
  </mergeCells>
  <conditionalFormatting sqref="I1 I3:I1048576">
    <cfRule type="containsText" dxfId="106" priority="17" operator="containsText" text="Planned">
      <formula>NOT(ISERROR(SEARCH("Planned",I1)))</formula>
    </cfRule>
    <cfRule type="containsText" dxfId="105" priority="20" operator="containsText" text="Implemented">
      <formula>NOT(ISERROR(SEARCH("Implemented",I1)))</formula>
    </cfRule>
    <cfRule type="containsText" dxfId="104" priority="21" operator="containsText" text="Planned">
      <formula>NOT(ISERROR(SEARCH("Planned",I1)))</formula>
    </cfRule>
    <cfRule type="containsText" dxfId="103" priority="22" operator="containsText" text="Inherited">
      <formula>NOT(ISERROR(SEARCH("Inherited",I1)))</formula>
    </cfRule>
  </conditionalFormatting>
  <conditionalFormatting sqref="I1:I1048576">
    <cfRule type="cellIs" dxfId="102" priority="4" operator="equal">
      <formula>"Partially Implemented"</formula>
    </cfRule>
    <cfRule type="cellIs" dxfId="101" priority="5" operator="equal">
      <formula>"Not Selected"</formula>
    </cfRule>
    <cfRule type="containsText" dxfId="100" priority="9" operator="containsText" text="Inherited">
      <formula>NOT(ISERROR(SEARCH("Inherited",I1)))</formula>
    </cfRule>
    <cfRule type="containsText" dxfId="99" priority="11" operator="containsText" text="Implemented">
      <formula>NOT(ISERROR(SEARCH("Implemented",I1)))</formula>
    </cfRule>
  </conditionalFormatting>
  <conditionalFormatting sqref="I2">
    <cfRule type="containsText" dxfId="98" priority="8" operator="containsText" text="Not Applicable">
      <formula>NOT(ISERROR(SEARCH("Not Applicable",I2)))</formula>
    </cfRule>
    <cfRule type="containsText" dxfId="97" priority="10" operator="containsText" text="Planned">
      <formula>NOT(ISERROR(SEARCH("Planned",I2)))</formula>
    </cfRule>
  </conditionalFormatting>
  <conditionalFormatting sqref="I1:J1 I3:J1048576">
    <cfRule type="containsText" dxfId="96" priority="14" operator="containsText" text="Other Than Satisfied">
      <formula>NOT(ISERROR(SEARCH("Other Than Satisfied",I1)))</formula>
    </cfRule>
    <cfRule type="containsText" dxfId="95" priority="19" operator="containsText" text="Not Applicable">
      <formula>NOT(ISERROR(SEARCH("Not Applicable",I1)))</formula>
    </cfRule>
  </conditionalFormatting>
  <conditionalFormatting sqref="J1 J3:J1048576">
    <cfRule type="containsText" dxfId="94" priority="12" operator="containsText" text="Partially Satisfied">
      <formula>NOT(ISERROR(SEARCH("Partially Satisfied",J1)))</formula>
    </cfRule>
    <cfRule type="containsText" dxfId="93" priority="13" operator="containsText" text="Satisfied">
      <formula>NOT(ISERROR(SEARCH("Satisfied",J1)))</formula>
    </cfRule>
  </conditionalFormatting>
  <conditionalFormatting sqref="J1:J1048576">
    <cfRule type="cellIs" dxfId="92" priority="1" operator="equal">
      <formula>"NOT MET"</formula>
    </cfRule>
    <cfRule type="cellIs" dxfId="91" priority="2" operator="equal">
      <formula>"MET"</formula>
    </cfRule>
    <cfRule type="cellIs" dxfId="90" priority="3" operator="equal">
      <formula>"Partially Satisfied"</formula>
    </cfRule>
  </conditionalFormatting>
  <conditionalFormatting sqref="J2">
    <cfRule type="containsText" dxfId="89" priority="6" operator="containsText" text="Other Than Satisfied">
      <formula>NOT(ISERROR(SEARCH("Other Than Satisfied",J2)))</formula>
    </cfRule>
    <cfRule type="containsText" dxfId="88" priority="7" operator="containsText" text="Not Applicable">
      <formula>NOT(ISERROR(SEARCH("Not Applicable",J2)))</formula>
    </cfRule>
  </conditionalFormatting>
  <dataValidations count="2">
    <dataValidation type="list" allowBlank="1" showInputMessage="1" showErrorMessage="1" sqref="I2:I11" xr:uid="{0F541771-C9FB-4613-BFEA-69C38E5FB81B}">
      <formula1>"Not Selected,Planned,Inherited,Partially Implemented,Implemented"</formula1>
    </dataValidation>
    <dataValidation type="list" allowBlank="1" showInputMessage="1" showErrorMessage="1" sqref="J2:J11" xr:uid="{04ED7805-9530-4B29-B484-7623C5A557F4}">
      <formula1>"MET,NOT MET"</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56BD8-EF2E-4442-BD42-975927733791}">
  <sheetPr>
    <tabColor rgb="FF002060"/>
  </sheetPr>
  <dimension ref="A1:K122"/>
  <sheetViews>
    <sheetView showGridLines="0" zoomScale="70" zoomScaleNormal="70" workbookViewId="0">
      <pane ySplit="1" topLeftCell="A2" activePane="bottomLeft" state="frozen"/>
      <selection activeCell="D181" sqref="D181"/>
      <selection pane="bottomLeft" activeCell="H2" sqref="H2"/>
    </sheetView>
  </sheetViews>
  <sheetFormatPr defaultColWidth="8.6640625" defaultRowHeight="50.1" customHeight="1" x14ac:dyDescent="0.3"/>
  <cols>
    <col min="1" max="1" width="22.109375" style="76" customWidth="1"/>
    <col min="2" max="3" width="16.88671875" style="44" customWidth="1"/>
    <col min="4" max="4" width="56.44140625" style="44" customWidth="1"/>
    <col min="5" max="5" width="48.44140625" style="44" customWidth="1"/>
    <col min="6" max="6" width="57" style="44" customWidth="1"/>
    <col min="7" max="7" width="35" style="44" customWidth="1"/>
    <col min="8" max="8" width="74.44140625" style="44" customWidth="1"/>
    <col min="9" max="9" width="42.5546875" style="77" customWidth="1"/>
    <col min="10" max="10" width="42.109375" style="77" customWidth="1"/>
    <col min="11" max="11" width="42.88671875" style="44" customWidth="1"/>
    <col min="12" max="16384" width="8.6640625" style="44"/>
  </cols>
  <sheetData>
    <row r="1" spans="1:11" ht="50.1" customHeight="1" thickBot="1" x14ac:dyDescent="0.35">
      <c r="A1" s="20" t="s">
        <v>43</v>
      </c>
      <c r="B1" s="20" t="s">
        <v>42</v>
      </c>
      <c r="C1" s="20" t="s">
        <v>93</v>
      </c>
      <c r="D1" s="20" t="s">
        <v>94</v>
      </c>
      <c r="E1" s="20" t="s">
        <v>95</v>
      </c>
      <c r="F1" s="20" t="s">
        <v>96</v>
      </c>
      <c r="G1" s="20" t="s">
        <v>97</v>
      </c>
      <c r="H1" s="20" t="s">
        <v>98</v>
      </c>
      <c r="I1" s="20" t="s">
        <v>44</v>
      </c>
      <c r="J1" s="20" t="s">
        <v>45</v>
      </c>
      <c r="K1" s="20" t="s">
        <v>99</v>
      </c>
    </row>
    <row r="2" spans="1:11" ht="50.1" customHeight="1" x14ac:dyDescent="0.3">
      <c r="A2" s="309" t="s">
        <v>852</v>
      </c>
      <c r="B2" s="78" t="s">
        <v>853</v>
      </c>
      <c r="C2" s="78" t="s">
        <v>869</v>
      </c>
      <c r="D2" s="78" t="s">
        <v>873</v>
      </c>
      <c r="E2" s="79" t="s">
        <v>877</v>
      </c>
      <c r="F2" s="80" t="s">
        <v>878</v>
      </c>
      <c r="G2" s="103" t="s">
        <v>879</v>
      </c>
      <c r="H2" s="121" t="s">
        <v>1294</v>
      </c>
      <c r="I2" s="52" t="s">
        <v>34</v>
      </c>
      <c r="J2" s="52" t="s">
        <v>111</v>
      </c>
      <c r="K2" s="306" t="s">
        <v>1292</v>
      </c>
    </row>
    <row r="3" spans="1:11" ht="50.1" customHeight="1" x14ac:dyDescent="0.3">
      <c r="A3" s="310"/>
      <c r="B3" s="81" t="s">
        <v>853</v>
      </c>
      <c r="C3" s="82" t="s">
        <v>870</v>
      </c>
      <c r="D3" s="82" t="s">
        <v>874</v>
      </c>
      <c r="E3" s="83"/>
      <c r="F3" s="83"/>
      <c r="G3" s="83"/>
      <c r="H3" s="122" t="s">
        <v>1294</v>
      </c>
      <c r="I3" s="48" t="s">
        <v>34</v>
      </c>
      <c r="J3" s="48" t="s">
        <v>111</v>
      </c>
      <c r="K3" s="308"/>
    </row>
    <row r="4" spans="1:11" ht="50.1" customHeight="1" x14ac:dyDescent="0.3">
      <c r="A4" s="310"/>
      <c r="B4" s="81" t="s">
        <v>853</v>
      </c>
      <c r="C4" s="81" t="s">
        <v>871</v>
      </c>
      <c r="D4" s="81" t="s">
        <v>875</v>
      </c>
      <c r="E4" s="84"/>
      <c r="F4" s="84"/>
      <c r="G4" s="84"/>
      <c r="H4" s="122" t="s">
        <v>1294</v>
      </c>
      <c r="I4" s="48" t="s">
        <v>34</v>
      </c>
      <c r="J4" s="48" t="s">
        <v>111</v>
      </c>
      <c r="K4" s="308"/>
    </row>
    <row r="5" spans="1:11" ht="50.1" customHeight="1" thickBot="1" x14ac:dyDescent="0.35">
      <c r="A5" s="311"/>
      <c r="B5" s="85" t="s">
        <v>853</v>
      </c>
      <c r="C5" s="97" t="s">
        <v>872</v>
      </c>
      <c r="D5" s="97" t="s">
        <v>876</v>
      </c>
      <c r="E5" s="98"/>
      <c r="F5" s="98"/>
      <c r="G5" s="98"/>
      <c r="H5" s="123" t="s">
        <v>1294</v>
      </c>
      <c r="I5" s="57" t="s">
        <v>34</v>
      </c>
      <c r="J5" s="57" t="s">
        <v>111</v>
      </c>
      <c r="K5" s="307"/>
    </row>
    <row r="6" spans="1:11" ht="50.1" customHeight="1" thickBot="1" x14ac:dyDescent="0.35">
      <c r="A6" s="232" t="s">
        <v>76</v>
      </c>
      <c r="B6" s="108" t="s">
        <v>854</v>
      </c>
      <c r="C6" s="108" t="s">
        <v>923</v>
      </c>
      <c r="D6" s="108" t="s">
        <v>880</v>
      </c>
      <c r="E6" s="109" t="s">
        <v>881</v>
      </c>
      <c r="F6" s="110" t="s">
        <v>882</v>
      </c>
      <c r="G6" s="111" t="s">
        <v>883</v>
      </c>
      <c r="H6" s="203" t="s">
        <v>1294</v>
      </c>
      <c r="I6" s="74" t="s">
        <v>34</v>
      </c>
      <c r="J6" s="74" t="s">
        <v>111</v>
      </c>
      <c r="K6" s="203" t="s">
        <v>1292</v>
      </c>
    </row>
    <row r="7" spans="1:11" ht="50.1" customHeight="1" x14ac:dyDescent="0.3">
      <c r="A7" s="316" t="s">
        <v>855</v>
      </c>
      <c r="B7" s="94" t="s">
        <v>856</v>
      </c>
      <c r="C7" s="78" t="s">
        <v>884</v>
      </c>
      <c r="D7" s="94" t="s">
        <v>886</v>
      </c>
      <c r="E7" s="95" t="s">
        <v>888</v>
      </c>
      <c r="F7" s="96" t="s">
        <v>889</v>
      </c>
      <c r="G7" s="105" t="s">
        <v>890</v>
      </c>
      <c r="H7" s="209" t="s">
        <v>1294</v>
      </c>
      <c r="I7" s="52" t="s">
        <v>34</v>
      </c>
      <c r="J7" s="52" t="s">
        <v>111</v>
      </c>
      <c r="K7" s="306" t="s">
        <v>1292</v>
      </c>
    </row>
    <row r="8" spans="1:11" ht="50.1" customHeight="1" thickBot="1" x14ac:dyDescent="0.35">
      <c r="A8" s="317"/>
      <c r="B8" s="97" t="s">
        <v>856</v>
      </c>
      <c r="C8" s="97" t="s">
        <v>885</v>
      </c>
      <c r="D8" s="85" t="s">
        <v>887</v>
      </c>
      <c r="E8" s="86"/>
      <c r="F8" s="86"/>
      <c r="G8" s="86"/>
      <c r="H8" s="210" t="s">
        <v>1294</v>
      </c>
      <c r="I8" s="57" t="s">
        <v>34</v>
      </c>
      <c r="J8" s="57" t="s">
        <v>111</v>
      </c>
      <c r="K8" s="307"/>
    </row>
    <row r="9" spans="1:11" ht="50.1" customHeight="1" x14ac:dyDescent="0.3">
      <c r="A9" s="310" t="s">
        <v>858</v>
      </c>
      <c r="B9" s="87" t="s">
        <v>857</v>
      </c>
      <c r="C9" s="87" t="s">
        <v>891</v>
      </c>
      <c r="D9" s="87" t="s">
        <v>893</v>
      </c>
      <c r="E9" s="88" t="s">
        <v>895</v>
      </c>
      <c r="F9" s="89" t="s">
        <v>896</v>
      </c>
      <c r="G9" s="90" t="s">
        <v>897</v>
      </c>
      <c r="H9" s="225" t="s">
        <v>1294</v>
      </c>
      <c r="I9" s="65" t="s">
        <v>34</v>
      </c>
      <c r="J9" s="65" t="s">
        <v>111</v>
      </c>
      <c r="K9" s="306" t="s">
        <v>1292</v>
      </c>
    </row>
    <row r="10" spans="1:11" ht="50.1" customHeight="1" thickBot="1" x14ac:dyDescent="0.35">
      <c r="A10" s="310"/>
      <c r="B10" s="108" t="s">
        <v>857</v>
      </c>
      <c r="C10" s="92" t="s">
        <v>892</v>
      </c>
      <c r="D10" s="92" t="s">
        <v>894</v>
      </c>
      <c r="E10" s="93"/>
      <c r="F10" s="93"/>
      <c r="G10" s="93"/>
      <c r="H10" s="227" t="s">
        <v>1294</v>
      </c>
      <c r="I10" s="69" t="s">
        <v>34</v>
      </c>
      <c r="J10" s="69" t="s">
        <v>111</v>
      </c>
      <c r="K10" s="307"/>
    </row>
    <row r="11" spans="1:11" ht="50.1" customHeight="1" x14ac:dyDescent="0.3">
      <c r="A11" s="309" t="s">
        <v>859</v>
      </c>
      <c r="B11" s="78" t="s">
        <v>860</v>
      </c>
      <c r="C11" s="78" t="s">
        <v>898</v>
      </c>
      <c r="D11" s="78" t="s">
        <v>900</v>
      </c>
      <c r="E11" s="79" t="s">
        <v>881</v>
      </c>
      <c r="F11" s="80" t="s">
        <v>902</v>
      </c>
      <c r="G11" s="103" t="s">
        <v>903</v>
      </c>
      <c r="H11" s="209" t="s">
        <v>1294</v>
      </c>
      <c r="I11" s="52" t="s">
        <v>34</v>
      </c>
      <c r="J11" s="52" t="s">
        <v>111</v>
      </c>
      <c r="K11" s="306" t="s">
        <v>1292</v>
      </c>
    </row>
    <row r="12" spans="1:11" ht="50.1" customHeight="1" thickBot="1" x14ac:dyDescent="0.35">
      <c r="A12" s="311"/>
      <c r="B12" s="85" t="s">
        <v>860</v>
      </c>
      <c r="C12" s="97" t="s">
        <v>899</v>
      </c>
      <c r="D12" s="97" t="s">
        <v>901</v>
      </c>
      <c r="E12" s="98"/>
      <c r="F12" s="98"/>
      <c r="G12" s="98"/>
      <c r="H12" s="210" t="s">
        <v>1294</v>
      </c>
      <c r="I12" s="57" t="s">
        <v>34</v>
      </c>
      <c r="J12" s="57" t="s">
        <v>111</v>
      </c>
      <c r="K12" s="307"/>
    </row>
    <row r="13" spans="1:11" ht="50.1" customHeight="1" thickBot="1" x14ac:dyDescent="0.35">
      <c r="A13" s="232" t="s">
        <v>861</v>
      </c>
      <c r="B13" s="108" t="s">
        <v>862</v>
      </c>
      <c r="C13" s="108" t="s">
        <v>904</v>
      </c>
      <c r="D13" s="108" t="s">
        <v>905</v>
      </c>
      <c r="E13" s="109" t="s">
        <v>906</v>
      </c>
      <c r="F13" s="110" t="s">
        <v>907</v>
      </c>
      <c r="G13" s="111" t="s">
        <v>908</v>
      </c>
      <c r="H13" s="203" t="s">
        <v>1294</v>
      </c>
      <c r="I13" s="74" t="s">
        <v>34</v>
      </c>
      <c r="J13" s="74" t="s">
        <v>111</v>
      </c>
      <c r="K13" s="203" t="s">
        <v>1292</v>
      </c>
    </row>
    <row r="14" spans="1:11" ht="50.1" customHeight="1" thickBot="1" x14ac:dyDescent="0.35">
      <c r="A14" s="235" t="s">
        <v>863</v>
      </c>
      <c r="B14" s="116" t="s">
        <v>864</v>
      </c>
      <c r="C14" s="116" t="s">
        <v>909</v>
      </c>
      <c r="D14" s="116" t="s">
        <v>910</v>
      </c>
      <c r="E14" s="117" t="s">
        <v>911</v>
      </c>
      <c r="F14" s="118" t="s">
        <v>912</v>
      </c>
      <c r="G14" s="119" t="s">
        <v>913</v>
      </c>
      <c r="H14" s="231" t="s">
        <v>1294</v>
      </c>
      <c r="I14" s="75" t="s">
        <v>34</v>
      </c>
      <c r="J14" s="75" t="s">
        <v>111</v>
      </c>
      <c r="K14" s="231" t="s">
        <v>1292</v>
      </c>
    </row>
    <row r="15" spans="1:11" ht="50.1" customHeight="1" thickBot="1" x14ac:dyDescent="0.35">
      <c r="A15" s="232" t="s">
        <v>865</v>
      </c>
      <c r="B15" s="108" t="s">
        <v>866</v>
      </c>
      <c r="C15" s="108" t="s">
        <v>914</v>
      </c>
      <c r="D15" s="108" t="s">
        <v>915</v>
      </c>
      <c r="E15" s="109" t="s">
        <v>916</v>
      </c>
      <c r="F15" s="110" t="s">
        <v>912</v>
      </c>
      <c r="G15" s="111" t="s">
        <v>917</v>
      </c>
      <c r="H15" s="203" t="s">
        <v>1294</v>
      </c>
      <c r="I15" s="74" t="s">
        <v>34</v>
      </c>
      <c r="J15" s="74" t="s">
        <v>111</v>
      </c>
      <c r="K15" s="203" t="s">
        <v>1292</v>
      </c>
    </row>
    <row r="16" spans="1:11" ht="50.1" customHeight="1" thickBot="1" x14ac:dyDescent="0.35">
      <c r="A16" s="235" t="s">
        <v>867</v>
      </c>
      <c r="B16" s="116" t="s">
        <v>868</v>
      </c>
      <c r="C16" s="116" t="s">
        <v>918</v>
      </c>
      <c r="D16" s="116" t="s">
        <v>919</v>
      </c>
      <c r="E16" s="117" t="s">
        <v>920</v>
      </c>
      <c r="F16" s="118" t="s">
        <v>921</v>
      </c>
      <c r="G16" s="119" t="s">
        <v>922</v>
      </c>
      <c r="H16" s="231" t="s">
        <v>1294</v>
      </c>
      <c r="I16" s="75" t="s">
        <v>34</v>
      </c>
      <c r="J16" s="75" t="s">
        <v>111</v>
      </c>
      <c r="K16" s="231" t="s">
        <v>1292</v>
      </c>
    </row>
    <row r="17" spans="1:7" ht="50.1" customHeight="1" x14ac:dyDescent="0.3">
      <c r="A17" s="12"/>
      <c r="B17" s="106"/>
      <c r="C17" s="106"/>
      <c r="D17" s="106"/>
      <c r="E17" s="106"/>
      <c r="F17" s="106"/>
      <c r="G17" s="106"/>
    </row>
    <row r="18" spans="1:7" ht="50.1" customHeight="1" x14ac:dyDescent="0.3">
      <c r="A18" s="12"/>
      <c r="B18" s="106"/>
      <c r="C18" s="106"/>
      <c r="D18" s="106"/>
      <c r="E18" s="106"/>
      <c r="F18" s="107"/>
      <c r="G18" s="107"/>
    </row>
    <row r="19" spans="1:7" ht="50.1" customHeight="1" x14ac:dyDescent="0.3">
      <c r="A19" s="12"/>
      <c r="B19" s="106"/>
      <c r="C19" s="106"/>
      <c r="D19" s="106"/>
      <c r="E19" s="106"/>
      <c r="F19" s="106"/>
      <c r="G19" s="106"/>
    </row>
    <row r="20" spans="1:7" ht="50.1" customHeight="1" x14ac:dyDescent="0.3">
      <c r="A20" s="12"/>
      <c r="B20" s="106"/>
      <c r="C20" s="106"/>
      <c r="D20" s="106"/>
      <c r="E20" s="106"/>
      <c r="F20" s="107"/>
      <c r="G20" s="107"/>
    </row>
    <row r="21" spans="1:7" ht="50.1" customHeight="1" x14ac:dyDescent="0.3">
      <c r="A21" s="12"/>
      <c r="B21" s="106"/>
      <c r="C21" s="106"/>
      <c r="D21" s="106"/>
      <c r="E21" s="106"/>
      <c r="F21" s="107"/>
      <c r="G21" s="107"/>
    </row>
    <row r="22" spans="1:7" ht="50.1" customHeight="1" x14ac:dyDescent="0.3">
      <c r="A22" s="13"/>
      <c r="B22" s="106"/>
      <c r="C22" s="106"/>
      <c r="D22" s="106"/>
      <c r="E22" s="106"/>
      <c r="F22" s="106"/>
      <c r="G22" s="106"/>
    </row>
    <row r="23" spans="1:7" ht="50.1" customHeight="1" x14ac:dyDescent="0.3">
      <c r="A23" s="12"/>
      <c r="B23" s="106"/>
      <c r="C23" s="106"/>
      <c r="D23" s="106"/>
      <c r="E23" s="106"/>
      <c r="F23" s="106"/>
      <c r="G23" s="106"/>
    </row>
    <row r="24" spans="1:7" ht="50.1" customHeight="1" x14ac:dyDescent="0.3">
      <c r="A24" s="12"/>
      <c r="B24" s="106"/>
      <c r="C24" s="106"/>
      <c r="D24" s="106"/>
      <c r="E24" s="106"/>
      <c r="F24" s="107"/>
      <c r="G24" s="107"/>
    </row>
    <row r="25" spans="1:7" ht="50.1" customHeight="1" x14ac:dyDescent="0.3">
      <c r="A25" s="12"/>
      <c r="B25" s="106"/>
      <c r="C25" s="106"/>
      <c r="D25" s="106"/>
      <c r="E25" s="106"/>
      <c r="F25" s="107"/>
      <c r="G25" s="107"/>
    </row>
    <row r="26" spans="1:7" ht="50.1" customHeight="1" x14ac:dyDescent="0.3">
      <c r="A26" s="12"/>
      <c r="B26" s="106"/>
      <c r="C26" s="106"/>
      <c r="D26" s="106"/>
      <c r="E26" s="106"/>
      <c r="F26" s="107"/>
      <c r="G26" s="107"/>
    </row>
    <row r="27" spans="1:7" ht="50.1" customHeight="1" x14ac:dyDescent="0.3">
      <c r="A27" s="12"/>
      <c r="B27" s="106"/>
      <c r="C27" s="106"/>
      <c r="D27" s="106"/>
      <c r="E27" s="106"/>
      <c r="F27" s="107"/>
      <c r="G27" s="107"/>
    </row>
    <row r="28" spans="1:7" ht="50.1" customHeight="1" x14ac:dyDescent="0.3">
      <c r="A28" s="12"/>
      <c r="B28" s="106"/>
      <c r="C28" s="106"/>
      <c r="D28" s="106"/>
      <c r="E28" s="106"/>
      <c r="F28" s="107"/>
      <c r="G28" s="107"/>
    </row>
    <row r="29" spans="1:7" ht="50.1" customHeight="1" x14ac:dyDescent="0.3">
      <c r="A29" s="12"/>
      <c r="B29" s="106"/>
      <c r="C29" s="106"/>
      <c r="D29" s="106"/>
      <c r="E29" s="106"/>
      <c r="F29" s="107"/>
      <c r="G29" s="107"/>
    </row>
    <row r="30" spans="1:7" ht="50.1" customHeight="1" x14ac:dyDescent="0.3">
      <c r="A30" s="12"/>
      <c r="B30" s="106"/>
      <c r="C30" s="106"/>
      <c r="D30" s="106"/>
      <c r="E30" s="106"/>
      <c r="F30" s="107"/>
      <c r="G30" s="107"/>
    </row>
    <row r="31" spans="1:7" ht="50.1" customHeight="1" x14ac:dyDescent="0.3">
      <c r="A31" s="12"/>
      <c r="B31" s="106"/>
      <c r="C31" s="106"/>
      <c r="D31" s="106"/>
      <c r="E31" s="106"/>
      <c r="F31" s="107"/>
      <c r="G31" s="107"/>
    </row>
    <row r="32" spans="1:7" ht="50.1" customHeight="1" x14ac:dyDescent="0.3">
      <c r="A32" s="12"/>
      <c r="B32" s="106"/>
      <c r="C32" s="106"/>
      <c r="D32" s="106"/>
      <c r="E32" s="106"/>
      <c r="F32" s="106"/>
      <c r="G32" s="106"/>
    </row>
    <row r="33" spans="1:7" ht="50.1" customHeight="1" x14ac:dyDescent="0.3">
      <c r="A33" s="12"/>
      <c r="B33" s="106"/>
      <c r="C33" s="106"/>
      <c r="D33" s="106"/>
      <c r="E33" s="106"/>
      <c r="F33" s="107"/>
      <c r="G33" s="107"/>
    </row>
    <row r="34" spans="1:7" ht="50.1" customHeight="1" x14ac:dyDescent="0.3">
      <c r="A34" s="12"/>
      <c r="B34" s="106"/>
      <c r="C34" s="106"/>
      <c r="D34" s="106"/>
      <c r="E34" s="106"/>
      <c r="F34" s="106"/>
      <c r="G34" s="106"/>
    </row>
    <row r="35" spans="1:7" ht="50.1" customHeight="1" x14ac:dyDescent="0.3">
      <c r="A35" s="12"/>
      <c r="B35" s="106"/>
      <c r="C35" s="106"/>
      <c r="D35" s="106"/>
      <c r="E35" s="106"/>
      <c r="F35" s="107"/>
      <c r="G35" s="107"/>
    </row>
    <row r="36" spans="1:7" ht="50.1" customHeight="1" x14ac:dyDescent="0.3">
      <c r="A36" s="12"/>
      <c r="B36" s="106"/>
      <c r="C36" s="106"/>
      <c r="D36" s="106"/>
      <c r="E36" s="106"/>
      <c r="F36" s="106"/>
      <c r="G36" s="106"/>
    </row>
    <row r="37" spans="1:7" ht="50.1" customHeight="1" x14ac:dyDescent="0.3">
      <c r="A37" s="12"/>
      <c r="B37" s="106"/>
      <c r="C37" s="106"/>
      <c r="D37" s="106"/>
      <c r="E37" s="106"/>
      <c r="F37" s="107"/>
      <c r="G37" s="107"/>
    </row>
    <row r="38" spans="1:7" ht="50.1" customHeight="1" x14ac:dyDescent="0.3">
      <c r="A38" s="12"/>
      <c r="B38" s="106"/>
      <c r="C38" s="106"/>
      <c r="D38" s="106"/>
      <c r="E38" s="106"/>
      <c r="F38" s="107"/>
      <c r="G38" s="107"/>
    </row>
    <row r="39" spans="1:7" ht="50.1" customHeight="1" x14ac:dyDescent="0.3">
      <c r="A39" s="12"/>
      <c r="B39" s="106"/>
      <c r="C39" s="106"/>
      <c r="D39" s="106"/>
      <c r="E39" s="106"/>
      <c r="F39" s="107"/>
      <c r="G39" s="107"/>
    </row>
    <row r="40" spans="1:7" ht="50.1" customHeight="1" x14ac:dyDescent="0.3">
      <c r="A40" s="13"/>
      <c r="B40" s="106"/>
      <c r="C40" s="106"/>
      <c r="D40" s="106"/>
      <c r="E40" s="106"/>
      <c r="F40" s="106"/>
      <c r="G40" s="106"/>
    </row>
    <row r="41" spans="1:7" ht="50.1" customHeight="1" x14ac:dyDescent="0.3">
      <c r="A41" s="13"/>
      <c r="B41" s="106"/>
      <c r="C41" s="106"/>
      <c r="D41" s="106"/>
      <c r="E41" s="106"/>
      <c r="F41" s="106"/>
      <c r="G41" s="106"/>
    </row>
    <row r="42" spans="1:7" ht="50.1" customHeight="1" x14ac:dyDescent="0.3">
      <c r="A42" s="12"/>
      <c r="B42" s="106"/>
      <c r="C42" s="106"/>
      <c r="D42" s="106"/>
      <c r="E42" s="106"/>
      <c r="F42" s="106"/>
      <c r="G42" s="106"/>
    </row>
    <row r="43" spans="1:7" ht="50.1" customHeight="1" x14ac:dyDescent="0.3">
      <c r="A43" s="12"/>
      <c r="B43" s="106"/>
      <c r="C43" s="106"/>
      <c r="D43" s="106"/>
      <c r="E43" s="106"/>
      <c r="F43" s="107"/>
      <c r="G43" s="107"/>
    </row>
    <row r="44" spans="1:7" ht="50.1" customHeight="1" x14ac:dyDescent="0.3">
      <c r="A44" s="12"/>
      <c r="B44" s="106"/>
      <c r="C44" s="106"/>
      <c r="D44" s="106"/>
      <c r="E44" s="106"/>
      <c r="F44" s="107"/>
      <c r="G44" s="107"/>
    </row>
    <row r="45" spans="1:7" ht="50.1" customHeight="1" x14ac:dyDescent="0.3">
      <c r="A45" s="12"/>
      <c r="B45" s="106"/>
      <c r="C45" s="106"/>
      <c r="D45" s="106"/>
      <c r="E45" s="106"/>
      <c r="F45" s="107"/>
      <c r="G45" s="107"/>
    </row>
    <row r="46" spans="1:7" ht="50.1" customHeight="1" x14ac:dyDescent="0.3">
      <c r="A46" s="12"/>
      <c r="B46" s="106"/>
      <c r="C46" s="106"/>
      <c r="D46" s="106"/>
      <c r="E46" s="106"/>
      <c r="F46" s="107"/>
      <c r="G46" s="107"/>
    </row>
    <row r="47" spans="1:7" ht="50.1" customHeight="1" x14ac:dyDescent="0.3">
      <c r="A47" s="12"/>
      <c r="B47" s="106"/>
      <c r="C47" s="106"/>
      <c r="D47" s="106"/>
      <c r="E47" s="106"/>
      <c r="F47" s="107"/>
      <c r="G47" s="107"/>
    </row>
    <row r="48" spans="1:7" ht="50.1" customHeight="1" x14ac:dyDescent="0.3">
      <c r="A48" s="12"/>
      <c r="B48" s="106"/>
      <c r="C48" s="106"/>
      <c r="D48" s="106"/>
      <c r="E48" s="106"/>
      <c r="F48" s="107"/>
      <c r="G48" s="107"/>
    </row>
    <row r="49" spans="1:7" ht="50.1" customHeight="1" x14ac:dyDescent="0.3">
      <c r="A49" s="12"/>
      <c r="B49" s="106"/>
      <c r="C49" s="106"/>
      <c r="D49" s="106"/>
      <c r="E49" s="106"/>
      <c r="F49" s="107"/>
      <c r="G49" s="107"/>
    </row>
    <row r="50" spans="1:7" ht="50.1" customHeight="1" x14ac:dyDescent="0.3">
      <c r="A50" s="12"/>
      <c r="B50" s="106"/>
      <c r="C50" s="106"/>
      <c r="D50" s="106"/>
      <c r="E50" s="106"/>
      <c r="F50" s="106"/>
      <c r="G50" s="106"/>
    </row>
    <row r="51" spans="1:7" ht="50.1" customHeight="1" x14ac:dyDescent="0.3">
      <c r="A51" s="12"/>
      <c r="B51" s="106"/>
      <c r="C51" s="106"/>
      <c r="D51" s="106"/>
      <c r="E51" s="106"/>
      <c r="F51" s="107"/>
      <c r="G51" s="107"/>
    </row>
    <row r="52" spans="1:7" ht="50.1" customHeight="1" x14ac:dyDescent="0.3">
      <c r="A52" s="12"/>
      <c r="B52" s="106"/>
      <c r="C52" s="106"/>
      <c r="D52" s="106"/>
      <c r="E52" s="106"/>
      <c r="F52" s="107"/>
      <c r="G52" s="107"/>
    </row>
    <row r="53" spans="1:7" ht="50.1" customHeight="1" x14ac:dyDescent="0.3">
      <c r="A53" s="12"/>
      <c r="B53" s="106"/>
      <c r="C53" s="106"/>
      <c r="D53" s="106"/>
      <c r="E53" s="106"/>
      <c r="F53" s="107"/>
      <c r="G53" s="107"/>
    </row>
    <row r="54" spans="1:7" ht="50.1" customHeight="1" x14ac:dyDescent="0.3">
      <c r="A54" s="12"/>
      <c r="B54" s="106"/>
      <c r="C54" s="106"/>
      <c r="D54" s="106"/>
      <c r="E54" s="106"/>
      <c r="F54" s="107"/>
      <c r="G54" s="107"/>
    </row>
    <row r="55" spans="1:7" ht="50.1" customHeight="1" x14ac:dyDescent="0.3">
      <c r="A55" s="12"/>
      <c r="B55" s="106"/>
      <c r="C55" s="106"/>
      <c r="D55" s="106"/>
      <c r="E55" s="106"/>
      <c r="F55" s="107"/>
      <c r="G55" s="107"/>
    </row>
    <row r="56" spans="1:7" ht="50.1" customHeight="1" x14ac:dyDescent="0.3">
      <c r="A56" s="12"/>
      <c r="B56" s="106"/>
      <c r="C56" s="106"/>
      <c r="D56" s="106"/>
      <c r="E56" s="106"/>
      <c r="F56" s="107"/>
      <c r="G56" s="107"/>
    </row>
    <row r="57" spans="1:7" ht="50.1" customHeight="1" x14ac:dyDescent="0.3">
      <c r="A57" s="12"/>
      <c r="B57" s="106"/>
      <c r="C57" s="106"/>
      <c r="D57" s="106"/>
      <c r="E57" s="106"/>
      <c r="F57" s="107"/>
      <c r="G57" s="107"/>
    </row>
    <row r="58" spans="1:7" ht="50.1" customHeight="1" x14ac:dyDescent="0.3">
      <c r="A58" s="12"/>
      <c r="B58" s="106"/>
      <c r="C58" s="106"/>
      <c r="D58" s="106"/>
      <c r="E58" s="106"/>
      <c r="F58" s="107"/>
      <c r="G58" s="107"/>
    </row>
    <row r="59" spans="1:7" ht="50.1" customHeight="1" x14ac:dyDescent="0.3">
      <c r="A59" s="12"/>
      <c r="B59" s="106"/>
      <c r="C59" s="106"/>
      <c r="D59" s="106"/>
      <c r="E59" s="106"/>
      <c r="F59" s="107"/>
      <c r="G59" s="107"/>
    </row>
    <row r="60" spans="1:7" ht="50.1" customHeight="1" x14ac:dyDescent="0.3">
      <c r="A60" s="12"/>
      <c r="B60" s="106"/>
      <c r="C60" s="106"/>
      <c r="D60" s="106"/>
      <c r="E60" s="106"/>
      <c r="F60" s="107"/>
      <c r="G60" s="107"/>
    </row>
    <row r="61" spans="1:7" ht="50.1" customHeight="1" x14ac:dyDescent="0.3">
      <c r="A61" s="12"/>
      <c r="B61" s="106"/>
      <c r="C61" s="106"/>
      <c r="D61" s="106"/>
      <c r="E61" s="106"/>
      <c r="F61" s="106"/>
      <c r="G61" s="106"/>
    </row>
    <row r="62" spans="1:7" ht="50.1" customHeight="1" x14ac:dyDescent="0.3">
      <c r="A62" s="12"/>
      <c r="B62" s="106"/>
      <c r="C62" s="106"/>
      <c r="D62" s="106"/>
      <c r="E62" s="106"/>
      <c r="F62" s="107"/>
      <c r="G62" s="107"/>
    </row>
    <row r="63" spans="1:7" ht="50.1" customHeight="1" x14ac:dyDescent="0.3">
      <c r="A63" s="12"/>
      <c r="B63" s="106"/>
      <c r="C63" s="106"/>
      <c r="D63" s="106"/>
      <c r="E63" s="106"/>
      <c r="F63" s="107"/>
      <c r="G63" s="107"/>
    </row>
    <row r="64" spans="1:7" ht="50.1" customHeight="1" x14ac:dyDescent="0.3">
      <c r="A64" s="12"/>
      <c r="B64" s="106"/>
      <c r="C64" s="106"/>
      <c r="D64" s="106"/>
      <c r="E64" s="106"/>
      <c r="F64" s="107"/>
      <c r="G64" s="107"/>
    </row>
    <row r="65" spans="1:7" ht="50.1" customHeight="1" x14ac:dyDescent="0.3">
      <c r="A65" s="13"/>
      <c r="B65" s="106"/>
      <c r="C65" s="106"/>
      <c r="D65" s="106"/>
      <c r="E65" s="106"/>
      <c r="F65" s="106"/>
      <c r="G65" s="106"/>
    </row>
    <row r="66" spans="1:7" ht="50.1" customHeight="1" x14ac:dyDescent="0.3">
      <c r="A66" s="12"/>
      <c r="B66" s="106"/>
      <c r="C66" s="106"/>
      <c r="D66" s="106"/>
      <c r="E66" s="106"/>
      <c r="F66" s="106"/>
      <c r="G66" s="106"/>
    </row>
    <row r="67" spans="1:7" ht="50.1" customHeight="1" x14ac:dyDescent="0.3">
      <c r="A67" s="12"/>
      <c r="B67" s="106"/>
      <c r="C67" s="106"/>
      <c r="D67" s="106"/>
      <c r="E67" s="106"/>
      <c r="F67" s="107"/>
      <c r="G67" s="107"/>
    </row>
    <row r="68" spans="1:7" ht="50.1" customHeight="1" x14ac:dyDescent="0.3">
      <c r="A68" s="12"/>
      <c r="B68" s="106"/>
      <c r="C68" s="106"/>
      <c r="D68" s="106"/>
      <c r="E68" s="106"/>
      <c r="F68" s="106"/>
      <c r="G68" s="107"/>
    </row>
    <row r="69" spans="1:7" ht="50.1" customHeight="1" x14ac:dyDescent="0.3">
      <c r="A69" s="12"/>
      <c r="B69" s="106"/>
      <c r="C69" s="106"/>
      <c r="D69" s="106"/>
      <c r="E69" s="106"/>
      <c r="F69" s="107"/>
      <c r="G69" s="107"/>
    </row>
    <row r="70" spans="1:7" ht="50.1" customHeight="1" x14ac:dyDescent="0.3">
      <c r="A70" s="12"/>
      <c r="B70" s="106"/>
      <c r="C70" s="106"/>
      <c r="D70" s="106"/>
      <c r="E70" s="106"/>
      <c r="F70" s="107"/>
      <c r="G70" s="107"/>
    </row>
    <row r="71" spans="1:7" ht="50.1" customHeight="1" x14ac:dyDescent="0.3">
      <c r="A71" s="12"/>
      <c r="B71" s="106"/>
      <c r="C71" s="106"/>
      <c r="D71" s="106"/>
      <c r="E71" s="106"/>
      <c r="F71" s="107"/>
      <c r="G71" s="107"/>
    </row>
    <row r="72" spans="1:7" ht="50.1" customHeight="1" x14ac:dyDescent="0.3">
      <c r="A72" s="12"/>
      <c r="B72" s="106"/>
      <c r="C72" s="106"/>
      <c r="D72" s="106"/>
      <c r="E72" s="106"/>
      <c r="F72" s="106"/>
      <c r="G72" s="106"/>
    </row>
    <row r="73" spans="1:7" ht="50.1" customHeight="1" x14ac:dyDescent="0.3">
      <c r="A73" s="12"/>
      <c r="B73" s="106"/>
      <c r="C73" s="106"/>
      <c r="D73" s="106"/>
      <c r="E73" s="106"/>
      <c r="F73" s="107"/>
      <c r="G73" s="107"/>
    </row>
    <row r="74" spans="1:7" ht="50.1" customHeight="1" x14ac:dyDescent="0.3">
      <c r="A74" s="12"/>
      <c r="B74" s="106"/>
      <c r="C74" s="106"/>
      <c r="D74" s="106"/>
      <c r="E74" s="106"/>
      <c r="F74" s="107"/>
      <c r="G74" s="107"/>
    </row>
    <row r="75" spans="1:7" ht="50.1" customHeight="1" x14ac:dyDescent="0.3">
      <c r="A75" s="12"/>
      <c r="B75" s="106"/>
      <c r="C75" s="106"/>
      <c r="D75" s="106"/>
      <c r="E75" s="106"/>
      <c r="F75" s="107"/>
      <c r="G75" s="107"/>
    </row>
    <row r="76" spans="1:7" ht="50.1" customHeight="1" x14ac:dyDescent="0.3">
      <c r="A76" s="12"/>
      <c r="B76" s="106"/>
      <c r="C76" s="106"/>
      <c r="D76" s="106"/>
      <c r="E76" s="106"/>
      <c r="F76" s="106"/>
      <c r="G76" s="106"/>
    </row>
    <row r="77" spans="1:7" ht="50.1" customHeight="1" x14ac:dyDescent="0.3">
      <c r="A77" s="12"/>
      <c r="B77" s="106"/>
      <c r="C77" s="106"/>
      <c r="D77" s="106"/>
      <c r="E77" s="106"/>
      <c r="F77" s="107"/>
      <c r="G77" s="107"/>
    </row>
    <row r="78" spans="1:7" ht="50.1" customHeight="1" x14ac:dyDescent="0.3">
      <c r="A78" s="12"/>
      <c r="B78" s="106"/>
      <c r="C78" s="106"/>
      <c r="D78" s="106"/>
      <c r="E78" s="106"/>
      <c r="F78" s="106"/>
      <c r="G78" s="106"/>
    </row>
    <row r="79" spans="1:7" ht="50.1" customHeight="1" x14ac:dyDescent="0.3">
      <c r="A79" s="12"/>
      <c r="B79" s="106"/>
      <c r="C79" s="106"/>
      <c r="D79" s="106"/>
      <c r="E79" s="106"/>
      <c r="F79" s="106"/>
      <c r="G79" s="106"/>
    </row>
    <row r="80" spans="1:7" ht="50.1" customHeight="1" x14ac:dyDescent="0.3">
      <c r="A80" s="12"/>
      <c r="B80" s="106"/>
      <c r="C80" s="106"/>
      <c r="D80" s="106"/>
      <c r="E80" s="106"/>
      <c r="F80" s="106"/>
      <c r="G80" s="106"/>
    </row>
    <row r="81" spans="1:7" ht="50.1" customHeight="1" x14ac:dyDescent="0.3">
      <c r="A81" s="12"/>
      <c r="B81" s="106"/>
      <c r="C81" s="106"/>
      <c r="D81" s="106"/>
      <c r="E81" s="106"/>
      <c r="F81" s="107"/>
      <c r="G81" s="107"/>
    </row>
    <row r="82" spans="1:7" ht="50.1" customHeight="1" x14ac:dyDescent="0.3">
      <c r="A82" s="12"/>
      <c r="B82" s="106"/>
      <c r="C82" s="106"/>
      <c r="D82" s="106"/>
      <c r="E82" s="106"/>
      <c r="F82" s="107"/>
      <c r="G82" s="107"/>
    </row>
    <row r="83" spans="1:7" ht="50.1" customHeight="1" x14ac:dyDescent="0.3">
      <c r="A83" s="12"/>
      <c r="B83" s="106"/>
      <c r="C83" s="106"/>
      <c r="D83" s="106"/>
      <c r="E83" s="106"/>
      <c r="F83" s="107"/>
      <c r="G83" s="107"/>
    </row>
    <row r="84" spans="1:7" ht="50.1" customHeight="1" x14ac:dyDescent="0.3">
      <c r="A84" s="12"/>
      <c r="B84" s="106"/>
      <c r="C84" s="106"/>
      <c r="D84" s="106"/>
      <c r="E84" s="106"/>
      <c r="F84" s="107"/>
      <c r="G84" s="107"/>
    </row>
    <row r="85" spans="1:7" ht="50.1" customHeight="1" x14ac:dyDescent="0.3">
      <c r="A85" s="12"/>
      <c r="B85" s="106"/>
      <c r="C85" s="106"/>
      <c r="D85" s="106"/>
      <c r="E85" s="106"/>
      <c r="F85" s="107"/>
      <c r="G85" s="107"/>
    </row>
    <row r="86" spans="1:7" ht="50.1" customHeight="1" x14ac:dyDescent="0.3">
      <c r="A86" s="12"/>
      <c r="B86" s="106"/>
      <c r="C86" s="106"/>
      <c r="D86" s="106"/>
      <c r="E86" s="106"/>
      <c r="F86" s="107"/>
      <c r="G86" s="107"/>
    </row>
    <row r="87" spans="1:7" ht="50.1" customHeight="1" x14ac:dyDescent="0.3">
      <c r="A87" s="12"/>
      <c r="B87" s="106"/>
      <c r="C87" s="106"/>
      <c r="D87" s="106"/>
      <c r="E87" s="106"/>
      <c r="F87" s="106"/>
      <c r="G87" s="106"/>
    </row>
    <row r="88" spans="1:7" ht="50.1" customHeight="1" x14ac:dyDescent="0.3">
      <c r="A88" s="12"/>
      <c r="B88" s="106"/>
      <c r="C88" s="106"/>
      <c r="D88" s="106"/>
      <c r="E88" s="106"/>
      <c r="F88" s="107"/>
      <c r="G88" s="107"/>
    </row>
    <row r="89" spans="1:7" ht="50.1" customHeight="1" x14ac:dyDescent="0.3">
      <c r="A89" s="12"/>
      <c r="B89" s="106"/>
      <c r="C89" s="106"/>
      <c r="D89" s="106"/>
      <c r="E89" s="106"/>
      <c r="F89" s="107"/>
      <c r="G89" s="107"/>
    </row>
    <row r="90" spans="1:7" ht="50.1" customHeight="1" x14ac:dyDescent="0.3">
      <c r="A90" s="12"/>
      <c r="B90" s="106"/>
      <c r="C90" s="106"/>
      <c r="D90" s="106"/>
      <c r="E90" s="106"/>
      <c r="F90" s="107"/>
      <c r="G90" s="107"/>
    </row>
    <row r="91" spans="1:7" ht="50.1" customHeight="1" x14ac:dyDescent="0.3">
      <c r="A91" s="12"/>
      <c r="B91" s="106"/>
      <c r="C91" s="106"/>
      <c r="D91" s="106"/>
      <c r="E91" s="106"/>
      <c r="F91" s="106"/>
      <c r="G91" s="106"/>
    </row>
    <row r="92" spans="1:7" ht="50.1" customHeight="1" x14ac:dyDescent="0.3">
      <c r="A92" s="12"/>
      <c r="B92" s="106"/>
      <c r="C92" s="106"/>
      <c r="D92" s="106"/>
      <c r="E92" s="106"/>
      <c r="F92" s="107"/>
      <c r="G92" s="107"/>
    </row>
    <row r="93" spans="1:7" ht="50.1" customHeight="1" x14ac:dyDescent="0.3">
      <c r="A93" s="12"/>
      <c r="B93" s="106"/>
      <c r="C93" s="106"/>
      <c r="D93" s="106"/>
      <c r="E93" s="106"/>
      <c r="F93" s="107"/>
      <c r="G93" s="107"/>
    </row>
    <row r="94" spans="1:7" ht="50.1" customHeight="1" x14ac:dyDescent="0.3">
      <c r="A94" s="12"/>
      <c r="B94" s="106"/>
      <c r="C94" s="106"/>
      <c r="D94" s="106"/>
      <c r="E94" s="106"/>
      <c r="F94" s="106"/>
      <c r="G94" s="106"/>
    </row>
    <row r="95" spans="1:7" ht="50.1" customHeight="1" x14ac:dyDescent="0.3">
      <c r="A95" s="12"/>
      <c r="B95" s="106"/>
      <c r="C95" s="106"/>
      <c r="D95" s="106"/>
      <c r="E95" s="106"/>
      <c r="F95" s="106"/>
      <c r="G95" s="106"/>
    </row>
    <row r="96" spans="1:7" ht="50.1" customHeight="1" x14ac:dyDescent="0.3">
      <c r="A96" s="12"/>
      <c r="B96" s="106"/>
      <c r="C96" s="106"/>
      <c r="D96" s="106"/>
      <c r="E96" s="106"/>
      <c r="F96" s="107"/>
      <c r="G96" s="107"/>
    </row>
    <row r="97" spans="1:7" ht="50.1" customHeight="1" x14ac:dyDescent="0.3">
      <c r="A97" s="12"/>
      <c r="B97" s="106"/>
      <c r="C97" s="106"/>
      <c r="D97" s="106"/>
      <c r="E97" s="106"/>
      <c r="F97" s="107"/>
      <c r="G97" s="107"/>
    </row>
    <row r="98" spans="1:7" ht="50.1" customHeight="1" x14ac:dyDescent="0.3">
      <c r="A98" s="12"/>
      <c r="B98" s="106"/>
      <c r="C98" s="106"/>
      <c r="D98" s="106"/>
      <c r="E98" s="106"/>
      <c r="F98" s="107"/>
      <c r="G98" s="107"/>
    </row>
    <row r="99" spans="1:7" ht="50.1" customHeight="1" x14ac:dyDescent="0.3">
      <c r="A99" s="12"/>
      <c r="B99" s="106"/>
      <c r="C99" s="106"/>
      <c r="D99" s="106"/>
      <c r="E99" s="106"/>
      <c r="F99" s="106"/>
      <c r="G99" s="106"/>
    </row>
    <row r="100" spans="1:7" ht="50.1" customHeight="1" x14ac:dyDescent="0.3">
      <c r="A100" s="12"/>
      <c r="B100" s="106"/>
      <c r="C100" s="106"/>
      <c r="D100" s="106"/>
      <c r="E100" s="106"/>
      <c r="F100" s="107"/>
      <c r="G100" s="107"/>
    </row>
    <row r="101" spans="1:7" ht="50.1" customHeight="1" x14ac:dyDescent="0.3">
      <c r="A101" s="12"/>
      <c r="B101" s="106"/>
      <c r="C101" s="106"/>
      <c r="D101" s="106"/>
      <c r="E101" s="106"/>
      <c r="F101" s="107"/>
      <c r="G101" s="107"/>
    </row>
    <row r="102" spans="1:7" ht="50.1" customHeight="1" x14ac:dyDescent="0.3">
      <c r="A102" s="12"/>
      <c r="B102" s="106"/>
      <c r="C102" s="106"/>
      <c r="D102" s="106"/>
      <c r="E102" s="106"/>
      <c r="F102" s="106"/>
      <c r="G102" s="106"/>
    </row>
    <row r="103" spans="1:7" ht="50.1" customHeight="1" x14ac:dyDescent="0.3">
      <c r="A103" s="12"/>
      <c r="B103" s="106"/>
      <c r="C103" s="106"/>
      <c r="D103" s="106"/>
      <c r="E103" s="106"/>
      <c r="F103" s="107"/>
      <c r="G103" s="107"/>
    </row>
    <row r="104" spans="1:7" ht="50.1" customHeight="1" x14ac:dyDescent="0.3">
      <c r="A104" s="12"/>
      <c r="B104" s="106"/>
      <c r="C104" s="106"/>
      <c r="D104" s="106"/>
      <c r="E104" s="106"/>
      <c r="F104" s="107"/>
      <c r="G104" s="107"/>
    </row>
    <row r="105" spans="1:7" ht="50.1" customHeight="1" x14ac:dyDescent="0.3">
      <c r="A105" s="12"/>
      <c r="B105" s="106"/>
      <c r="C105" s="106"/>
      <c r="D105" s="106"/>
      <c r="E105" s="106"/>
      <c r="F105" s="107"/>
      <c r="G105" s="107"/>
    </row>
    <row r="106" spans="1:7" ht="50.1" customHeight="1" x14ac:dyDescent="0.3">
      <c r="A106" s="12"/>
      <c r="B106" s="106"/>
      <c r="C106" s="106"/>
      <c r="D106" s="106"/>
      <c r="E106" s="106"/>
      <c r="F106" s="107"/>
      <c r="G106" s="107"/>
    </row>
    <row r="107" spans="1:7" ht="50.1" customHeight="1" x14ac:dyDescent="0.3">
      <c r="A107" s="12"/>
      <c r="B107" s="106"/>
      <c r="C107" s="106"/>
      <c r="D107" s="106"/>
      <c r="E107" s="106"/>
      <c r="F107" s="107"/>
      <c r="G107" s="107"/>
    </row>
    <row r="108" spans="1:7" ht="50.1" customHeight="1" x14ac:dyDescent="0.3">
      <c r="A108" s="12"/>
      <c r="B108" s="106"/>
      <c r="C108" s="106"/>
      <c r="D108" s="106"/>
      <c r="E108" s="106"/>
      <c r="F108" s="107"/>
      <c r="G108" s="107"/>
    </row>
    <row r="109" spans="1:7" ht="50.1" customHeight="1" x14ac:dyDescent="0.3">
      <c r="A109" s="12"/>
      <c r="B109" s="106"/>
      <c r="C109" s="106"/>
      <c r="D109" s="106"/>
      <c r="E109" s="106"/>
      <c r="F109" s="106"/>
      <c r="G109" s="106"/>
    </row>
    <row r="110" spans="1:7" ht="50.1" customHeight="1" x14ac:dyDescent="0.3">
      <c r="A110" s="12"/>
      <c r="B110" s="106"/>
      <c r="C110" s="106"/>
      <c r="D110" s="106"/>
      <c r="E110" s="106"/>
      <c r="F110" s="107"/>
      <c r="G110" s="107"/>
    </row>
    <row r="111" spans="1:7" ht="50.1" customHeight="1" x14ac:dyDescent="0.3">
      <c r="A111" s="12"/>
      <c r="B111" s="106"/>
      <c r="C111" s="106"/>
      <c r="D111" s="106"/>
      <c r="E111" s="106"/>
      <c r="F111" s="106"/>
      <c r="G111" s="106"/>
    </row>
    <row r="112" spans="1:7" ht="50.1" customHeight="1" x14ac:dyDescent="0.3">
      <c r="A112" s="12"/>
      <c r="B112" s="106"/>
      <c r="C112" s="106"/>
      <c r="D112" s="106"/>
      <c r="E112" s="106"/>
      <c r="F112" s="107"/>
      <c r="G112" s="107"/>
    </row>
    <row r="113" spans="1:7" ht="50.1" customHeight="1" x14ac:dyDescent="0.3">
      <c r="A113" s="12"/>
      <c r="B113" s="106"/>
      <c r="C113" s="106"/>
      <c r="D113" s="106"/>
      <c r="E113" s="106"/>
      <c r="F113" s="106"/>
      <c r="G113" s="106"/>
    </row>
    <row r="114" spans="1:7" ht="50.1" customHeight="1" x14ac:dyDescent="0.3">
      <c r="A114" s="12"/>
      <c r="B114" s="106"/>
      <c r="C114" s="106"/>
      <c r="D114" s="106"/>
      <c r="E114" s="106"/>
      <c r="F114" s="107"/>
      <c r="G114" s="107"/>
    </row>
    <row r="115" spans="1:7" ht="50.1" customHeight="1" x14ac:dyDescent="0.3">
      <c r="A115" s="12"/>
      <c r="B115" s="106"/>
      <c r="C115" s="106"/>
      <c r="D115" s="106"/>
      <c r="E115" s="106"/>
      <c r="F115" s="107"/>
      <c r="G115" s="107"/>
    </row>
    <row r="116" spans="1:7" ht="50.1" customHeight="1" x14ac:dyDescent="0.3">
      <c r="A116" s="12"/>
      <c r="B116" s="106"/>
      <c r="C116" s="106"/>
      <c r="D116" s="106"/>
      <c r="E116" s="106"/>
      <c r="F116" s="107"/>
      <c r="G116" s="107"/>
    </row>
    <row r="117" spans="1:7" ht="50.1" customHeight="1" x14ac:dyDescent="0.3">
      <c r="A117" s="12"/>
      <c r="B117" s="106"/>
      <c r="C117" s="106"/>
      <c r="D117" s="106"/>
      <c r="E117" s="106"/>
      <c r="F117" s="106"/>
      <c r="G117" s="106"/>
    </row>
    <row r="118" spans="1:7" ht="50.1" customHeight="1" x14ac:dyDescent="0.3">
      <c r="A118" s="12"/>
      <c r="B118" s="106"/>
      <c r="C118" s="106"/>
      <c r="D118" s="106"/>
      <c r="E118" s="106"/>
      <c r="F118" s="107"/>
      <c r="G118" s="107"/>
    </row>
    <row r="119" spans="1:7" ht="50.1" customHeight="1" x14ac:dyDescent="0.3">
      <c r="A119" s="12"/>
      <c r="B119" s="106"/>
      <c r="C119" s="106"/>
      <c r="D119" s="106"/>
      <c r="E119" s="106"/>
      <c r="F119" s="107"/>
      <c r="G119" s="107"/>
    </row>
    <row r="120" spans="1:7" ht="50.1" customHeight="1" x14ac:dyDescent="0.3">
      <c r="A120" s="12"/>
      <c r="B120" s="106"/>
      <c r="C120" s="106"/>
      <c r="D120" s="106"/>
      <c r="E120" s="106"/>
      <c r="F120" s="107"/>
      <c r="G120" s="107"/>
    </row>
    <row r="121" spans="1:7" ht="50.1" customHeight="1" x14ac:dyDescent="0.3">
      <c r="A121" s="12"/>
      <c r="B121" s="106"/>
      <c r="C121" s="106"/>
      <c r="D121" s="106"/>
      <c r="E121" s="106"/>
      <c r="F121" s="107"/>
      <c r="G121" s="107"/>
    </row>
    <row r="122" spans="1:7" ht="50.1" customHeight="1" x14ac:dyDescent="0.3">
      <c r="A122" s="12"/>
      <c r="B122" s="106"/>
      <c r="C122" s="106"/>
      <c r="D122" s="106"/>
      <c r="E122" s="106"/>
      <c r="F122" s="107"/>
      <c r="G122" s="107"/>
    </row>
  </sheetData>
  <autoFilter ref="A1:K14" xr:uid="{3E856BD8-EF2E-4442-BD42-975927733791}"/>
  <mergeCells count="8">
    <mergeCell ref="A2:A5"/>
    <mergeCell ref="A7:A8"/>
    <mergeCell ref="A9:A10"/>
    <mergeCell ref="A11:A12"/>
    <mergeCell ref="K2:K5"/>
    <mergeCell ref="K7:K8"/>
    <mergeCell ref="K9:K10"/>
    <mergeCell ref="K11:K12"/>
  </mergeCells>
  <conditionalFormatting sqref="I1 I6:I1048576">
    <cfRule type="containsText" dxfId="87" priority="17" operator="containsText" text="Planned">
      <formula>NOT(ISERROR(SEARCH("Planned",I1)))</formula>
    </cfRule>
  </conditionalFormatting>
  <conditionalFormatting sqref="I1:I1048576">
    <cfRule type="cellIs" dxfId="86" priority="4" operator="equal">
      <formula>"Partially Implemented"</formula>
    </cfRule>
    <cfRule type="cellIs" dxfId="85" priority="5" operator="equal">
      <formula>"Not Selected"</formula>
    </cfRule>
    <cfRule type="containsText" dxfId="84" priority="9" operator="containsText" text="Inherited">
      <formula>NOT(ISERROR(SEARCH("Inherited",I1)))</formula>
    </cfRule>
    <cfRule type="containsText" dxfId="83" priority="11" operator="containsText" text="Implemented">
      <formula>NOT(ISERROR(SEARCH("Implemented",I1)))</formula>
    </cfRule>
  </conditionalFormatting>
  <conditionalFormatting sqref="I2:I5">
    <cfRule type="containsText" dxfId="82" priority="8" operator="containsText" text="Not Applicable">
      <formula>NOT(ISERROR(SEARCH("Not Applicable",I2)))</formula>
    </cfRule>
    <cfRule type="containsText" dxfId="81" priority="10" operator="containsText" text="Planned">
      <formula>NOT(ISERROR(SEARCH("Planned",I2)))</formula>
    </cfRule>
  </conditionalFormatting>
  <conditionalFormatting sqref="I1:J1 I6:J1048576">
    <cfRule type="containsText" dxfId="80" priority="18" operator="containsText" text="Not Applicable">
      <formula>NOT(ISERROR(SEARCH("Not Applicable",I1)))</formula>
    </cfRule>
  </conditionalFormatting>
  <conditionalFormatting sqref="J1 J6:J1048576">
    <cfRule type="containsText" dxfId="79" priority="12" operator="containsText" text="Partially Satisfied">
      <formula>NOT(ISERROR(SEARCH("Partially Satisfied",J1)))</formula>
    </cfRule>
    <cfRule type="containsText" dxfId="78" priority="13" operator="containsText" text="Satisfied">
      <formula>NOT(ISERROR(SEARCH("Satisfied",J1)))</formula>
    </cfRule>
    <cfRule type="containsText" dxfId="77" priority="14" operator="containsText" text="Other Than Satisfied">
      <formula>NOT(ISERROR(SEARCH("Other Than Satisfied",J1)))</formula>
    </cfRule>
  </conditionalFormatting>
  <conditionalFormatting sqref="J1:J1048576">
    <cfRule type="cellIs" dxfId="76" priority="1" operator="equal">
      <formula>"NOT MET"</formula>
    </cfRule>
    <cfRule type="cellIs" dxfId="75" priority="2" operator="equal">
      <formula>"MET"</formula>
    </cfRule>
    <cfRule type="cellIs" dxfId="74" priority="3" operator="equal">
      <formula>"Partially Satisfied"</formula>
    </cfRule>
  </conditionalFormatting>
  <conditionalFormatting sqref="J2:J5">
    <cfRule type="containsText" dxfId="73" priority="6" operator="containsText" text="Other Than Satisfied">
      <formula>NOT(ISERROR(SEARCH("Other Than Satisfied",J2)))</formula>
    </cfRule>
    <cfRule type="containsText" dxfId="72" priority="7" operator="containsText" text="Not Applicable">
      <formula>NOT(ISERROR(SEARCH("Not Applicable",J2)))</formula>
    </cfRule>
  </conditionalFormatting>
  <dataValidations count="2">
    <dataValidation type="list" allowBlank="1" showInputMessage="1" showErrorMessage="1" sqref="I2:I16" xr:uid="{775C771D-EF73-4181-9502-FC243AB91DB6}">
      <formula1>"Not Selected,Planned,Inherited,Partially Implemented,Implemented"</formula1>
    </dataValidation>
    <dataValidation type="list" allowBlank="1" showInputMessage="1" showErrorMessage="1" sqref="J2:J16" xr:uid="{809206E5-B58D-4F20-9A20-42EF1E6DE598}">
      <formula1>"MET,NOT MET"</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A317C-0DC7-4F34-B82E-F357E7233563}">
  <sheetPr>
    <tabColor theme="4" tint="-0.499984740745262"/>
  </sheetPr>
  <dimension ref="A1:K85"/>
  <sheetViews>
    <sheetView showGridLines="0" topLeftCell="D1" zoomScale="70" zoomScaleNormal="70" workbookViewId="0">
      <pane ySplit="1" topLeftCell="A2" activePane="bottomLeft" state="frozen"/>
      <selection activeCell="D181" sqref="D181"/>
      <selection pane="bottomLeft" activeCell="K2" sqref="K2:K5"/>
    </sheetView>
  </sheetViews>
  <sheetFormatPr defaultColWidth="8.6640625" defaultRowHeight="50.1" customHeight="1" x14ac:dyDescent="0.3"/>
  <cols>
    <col min="1" max="1" width="22.109375" style="76" customWidth="1"/>
    <col min="2" max="3" width="16.88671875" style="44" customWidth="1"/>
    <col min="4" max="4" width="56.44140625" style="44" customWidth="1"/>
    <col min="5" max="5" width="48.44140625" style="44" customWidth="1"/>
    <col min="6" max="6" width="57" style="44" customWidth="1"/>
    <col min="7" max="7" width="35" style="44" customWidth="1"/>
    <col min="8" max="8" width="74.44140625" style="44" customWidth="1"/>
    <col min="9" max="9" width="42.5546875" style="77" customWidth="1"/>
    <col min="10" max="10" width="42.109375" style="77" customWidth="1"/>
    <col min="11" max="11" width="42.88671875" style="44" customWidth="1"/>
    <col min="12" max="16384" width="8.6640625" style="44"/>
  </cols>
  <sheetData>
    <row r="1" spans="1:11" ht="50.1" customHeight="1" thickBot="1" x14ac:dyDescent="0.35">
      <c r="A1" s="20" t="s">
        <v>43</v>
      </c>
      <c r="B1" s="20" t="s">
        <v>42</v>
      </c>
      <c r="C1" s="20" t="s">
        <v>93</v>
      </c>
      <c r="D1" s="20" t="s">
        <v>94</v>
      </c>
      <c r="E1" s="20" t="s">
        <v>95</v>
      </c>
      <c r="F1" s="20" t="s">
        <v>96</v>
      </c>
      <c r="G1" s="20" t="s">
        <v>97</v>
      </c>
      <c r="H1" s="20" t="s">
        <v>98</v>
      </c>
      <c r="I1" s="20" t="s">
        <v>44</v>
      </c>
      <c r="J1" s="20" t="s">
        <v>45</v>
      </c>
      <c r="K1" s="20" t="s">
        <v>99</v>
      </c>
    </row>
    <row r="2" spans="1:11" ht="50.1" customHeight="1" x14ac:dyDescent="0.3">
      <c r="A2" s="309" t="s">
        <v>942</v>
      </c>
      <c r="B2" s="78" t="s">
        <v>943</v>
      </c>
      <c r="C2" s="78" t="s">
        <v>954</v>
      </c>
      <c r="D2" s="78" t="s">
        <v>958</v>
      </c>
      <c r="E2" s="79" t="s">
        <v>962</v>
      </c>
      <c r="F2" s="80" t="s">
        <v>963</v>
      </c>
      <c r="G2" s="103" t="s">
        <v>964</v>
      </c>
      <c r="H2" s="121" t="s">
        <v>1293</v>
      </c>
      <c r="I2" s="52" t="s">
        <v>34</v>
      </c>
      <c r="J2" s="52" t="s">
        <v>111</v>
      </c>
      <c r="K2" s="306" t="s">
        <v>1292</v>
      </c>
    </row>
    <row r="3" spans="1:11" ht="50.1" customHeight="1" x14ac:dyDescent="0.3">
      <c r="A3" s="310"/>
      <c r="B3" s="81" t="s">
        <v>943</v>
      </c>
      <c r="C3" s="82" t="s">
        <v>955</v>
      </c>
      <c r="D3" s="82" t="s">
        <v>959</v>
      </c>
      <c r="E3" s="83"/>
      <c r="F3" s="83"/>
      <c r="G3" s="83"/>
      <c r="H3" s="122" t="s">
        <v>1293</v>
      </c>
      <c r="I3" s="48" t="s">
        <v>34</v>
      </c>
      <c r="J3" s="48" t="s">
        <v>111</v>
      </c>
      <c r="K3" s="308"/>
    </row>
    <row r="4" spans="1:11" ht="50.1" customHeight="1" x14ac:dyDescent="0.3">
      <c r="A4" s="310"/>
      <c r="B4" s="81" t="s">
        <v>943</v>
      </c>
      <c r="C4" s="81" t="s">
        <v>956</v>
      </c>
      <c r="D4" s="81" t="s">
        <v>960</v>
      </c>
      <c r="E4" s="84"/>
      <c r="F4" s="84"/>
      <c r="G4" s="84"/>
      <c r="H4" s="122" t="s">
        <v>1293</v>
      </c>
      <c r="I4" s="48" t="s">
        <v>34</v>
      </c>
      <c r="J4" s="48" t="s">
        <v>111</v>
      </c>
      <c r="K4" s="308"/>
    </row>
    <row r="5" spans="1:11" ht="50.1" customHeight="1" thickBot="1" x14ac:dyDescent="0.35">
      <c r="A5" s="311"/>
      <c r="B5" s="85" t="s">
        <v>943</v>
      </c>
      <c r="C5" s="97" t="s">
        <v>957</v>
      </c>
      <c r="D5" s="97" t="s">
        <v>961</v>
      </c>
      <c r="E5" s="98"/>
      <c r="F5" s="98"/>
      <c r="G5" s="98"/>
      <c r="H5" s="123" t="s">
        <v>1293</v>
      </c>
      <c r="I5" s="57" t="s">
        <v>34</v>
      </c>
      <c r="J5" s="57" t="s">
        <v>111</v>
      </c>
      <c r="K5" s="307"/>
    </row>
    <row r="6" spans="1:11" ht="50.1" customHeight="1" x14ac:dyDescent="0.3">
      <c r="A6" s="310" t="s">
        <v>944</v>
      </c>
      <c r="B6" s="87" t="s">
        <v>945</v>
      </c>
      <c r="C6" s="87" t="s">
        <v>965</v>
      </c>
      <c r="D6" s="87" t="s">
        <v>969</v>
      </c>
      <c r="E6" s="88" t="s">
        <v>973</v>
      </c>
      <c r="F6" s="89" t="s">
        <v>974</v>
      </c>
      <c r="G6" s="90" t="s">
        <v>975</v>
      </c>
      <c r="H6" s="225" t="s">
        <v>1293</v>
      </c>
      <c r="I6" s="65" t="s">
        <v>34</v>
      </c>
      <c r="J6" s="65" t="s">
        <v>111</v>
      </c>
      <c r="K6" s="306" t="s">
        <v>1292</v>
      </c>
    </row>
    <row r="7" spans="1:11" ht="50.1" customHeight="1" x14ac:dyDescent="0.3">
      <c r="A7" s="310"/>
      <c r="B7" s="81" t="s">
        <v>945</v>
      </c>
      <c r="C7" s="82" t="s">
        <v>966</v>
      </c>
      <c r="D7" s="82" t="s">
        <v>970</v>
      </c>
      <c r="E7" s="83"/>
      <c r="F7" s="83"/>
      <c r="G7" s="83"/>
      <c r="H7" s="47" t="s">
        <v>1293</v>
      </c>
      <c r="I7" s="48" t="s">
        <v>34</v>
      </c>
      <c r="J7" s="48" t="s">
        <v>111</v>
      </c>
      <c r="K7" s="308"/>
    </row>
    <row r="8" spans="1:11" ht="50.1" customHeight="1" x14ac:dyDescent="0.3">
      <c r="A8" s="310"/>
      <c r="B8" s="81" t="s">
        <v>945</v>
      </c>
      <c r="C8" s="81" t="s">
        <v>967</v>
      </c>
      <c r="D8" s="81" t="s">
        <v>971</v>
      </c>
      <c r="E8" s="84"/>
      <c r="F8" s="84"/>
      <c r="G8" s="84"/>
      <c r="H8" s="47" t="s">
        <v>1293</v>
      </c>
      <c r="I8" s="48" t="s">
        <v>34</v>
      </c>
      <c r="J8" s="48" t="s">
        <v>111</v>
      </c>
      <c r="K8" s="308"/>
    </row>
    <row r="9" spans="1:11" ht="50.1" customHeight="1" thickBot="1" x14ac:dyDescent="0.35">
      <c r="A9" s="310"/>
      <c r="B9" s="91" t="s">
        <v>945</v>
      </c>
      <c r="C9" s="92" t="s">
        <v>968</v>
      </c>
      <c r="D9" s="92" t="s">
        <v>972</v>
      </c>
      <c r="E9" s="93"/>
      <c r="F9" s="93"/>
      <c r="G9" s="93"/>
      <c r="H9" s="227" t="s">
        <v>1293</v>
      </c>
      <c r="I9" s="69" t="s">
        <v>34</v>
      </c>
      <c r="J9" s="69" t="s">
        <v>111</v>
      </c>
      <c r="K9" s="307"/>
    </row>
    <row r="10" spans="1:11" ht="50.1" customHeight="1" x14ac:dyDescent="0.3">
      <c r="A10" s="316" t="s">
        <v>946</v>
      </c>
      <c r="B10" s="94" t="s">
        <v>947</v>
      </c>
      <c r="C10" s="78" t="s">
        <v>976</v>
      </c>
      <c r="D10" s="94" t="s">
        <v>978</v>
      </c>
      <c r="E10" s="95" t="s">
        <v>980</v>
      </c>
      <c r="F10" s="96" t="s">
        <v>981</v>
      </c>
      <c r="G10" s="105" t="s">
        <v>982</v>
      </c>
      <c r="H10" s="209" t="s">
        <v>1293</v>
      </c>
      <c r="I10" s="52" t="s">
        <v>34</v>
      </c>
      <c r="J10" s="52" t="s">
        <v>111</v>
      </c>
      <c r="K10" s="306" t="s">
        <v>1292</v>
      </c>
    </row>
    <row r="11" spans="1:11" ht="50.1" customHeight="1" thickBot="1" x14ac:dyDescent="0.35">
      <c r="A11" s="317"/>
      <c r="B11" s="97" t="s">
        <v>947</v>
      </c>
      <c r="C11" s="97" t="s">
        <v>977</v>
      </c>
      <c r="D11" s="85" t="s">
        <v>979</v>
      </c>
      <c r="E11" s="86"/>
      <c r="F11" s="86"/>
      <c r="G11" s="86"/>
      <c r="H11" s="210" t="s">
        <v>1293</v>
      </c>
      <c r="I11" s="57" t="s">
        <v>34</v>
      </c>
      <c r="J11" s="57" t="s">
        <v>111</v>
      </c>
      <c r="K11" s="307"/>
    </row>
    <row r="12" spans="1:11" ht="50.1" customHeight="1" thickBot="1" x14ac:dyDescent="0.35">
      <c r="A12" s="232" t="s">
        <v>948</v>
      </c>
      <c r="B12" s="108" t="s">
        <v>949</v>
      </c>
      <c r="C12" s="108" t="s">
        <v>983</v>
      </c>
      <c r="D12" s="108" t="s">
        <v>1256</v>
      </c>
      <c r="E12" s="109" t="s">
        <v>980</v>
      </c>
      <c r="F12" s="110" t="s">
        <v>981</v>
      </c>
      <c r="G12" s="111" t="s">
        <v>982</v>
      </c>
      <c r="H12" s="203" t="s">
        <v>1293</v>
      </c>
      <c r="I12" s="74" t="s">
        <v>34</v>
      </c>
      <c r="J12" s="74" t="s">
        <v>111</v>
      </c>
      <c r="K12" s="203" t="s">
        <v>1292</v>
      </c>
    </row>
    <row r="13" spans="1:11" ht="50.1" customHeight="1" x14ac:dyDescent="0.3">
      <c r="A13" s="309" t="s">
        <v>950</v>
      </c>
      <c r="B13" s="78" t="s">
        <v>951</v>
      </c>
      <c r="C13" s="78" t="s">
        <v>984</v>
      </c>
      <c r="D13" s="78" t="s">
        <v>987</v>
      </c>
      <c r="E13" s="79" t="s">
        <v>980</v>
      </c>
      <c r="F13" s="80" t="s">
        <v>981</v>
      </c>
      <c r="G13" s="103" t="s">
        <v>982</v>
      </c>
      <c r="H13" s="209" t="s">
        <v>1293</v>
      </c>
      <c r="I13" s="52" t="s">
        <v>34</v>
      </c>
      <c r="J13" s="52" t="s">
        <v>111</v>
      </c>
      <c r="K13" s="306" t="s">
        <v>1292</v>
      </c>
    </row>
    <row r="14" spans="1:11" ht="50.1" customHeight="1" x14ac:dyDescent="0.3">
      <c r="A14" s="310"/>
      <c r="B14" s="108" t="s">
        <v>951</v>
      </c>
      <c r="C14" s="82" t="s">
        <v>985</v>
      </c>
      <c r="D14" s="108" t="s">
        <v>988</v>
      </c>
      <c r="E14" s="230"/>
      <c r="F14" s="230"/>
      <c r="G14" s="230"/>
      <c r="H14" s="47" t="s">
        <v>1293</v>
      </c>
      <c r="I14" s="48" t="s">
        <v>34</v>
      </c>
      <c r="J14" s="48" t="s">
        <v>111</v>
      </c>
      <c r="K14" s="308"/>
    </row>
    <row r="15" spans="1:11" ht="50.1" customHeight="1" thickBot="1" x14ac:dyDescent="0.35">
      <c r="A15" s="311"/>
      <c r="B15" s="85" t="s">
        <v>951</v>
      </c>
      <c r="C15" s="85" t="s">
        <v>986</v>
      </c>
      <c r="D15" s="97" t="s">
        <v>989</v>
      </c>
      <c r="E15" s="98"/>
      <c r="F15" s="98"/>
      <c r="G15" s="98"/>
      <c r="H15" s="210" t="s">
        <v>1293</v>
      </c>
      <c r="I15" s="57" t="s">
        <v>34</v>
      </c>
      <c r="J15" s="57" t="s">
        <v>111</v>
      </c>
      <c r="K15" s="307"/>
    </row>
    <row r="16" spans="1:11" ht="50.1" customHeight="1" x14ac:dyDescent="0.3">
      <c r="A16" s="316" t="s">
        <v>952</v>
      </c>
      <c r="B16" s="94" t="s">
        <v>953</v>
      </c>
      <c r="C16" s="78" t="s">
        <v>990</v>
      </c>
      <c r="D16" s="94" t="s">
        <v>992</v>
      </c>
      <c r="E16" s="95" t="s">
        <v>994</v>
      </c>
      <c r="F16" s="96" t="s">
        <v>995</v>
      </c>
      <c r="G16" s="105" t="s">
        <v>996</v>
      </c>
      <c r="H16" s="209" t="s">
        <v>1293</v>
      </c>
      <c r="I16" s="52" t="s">
        <v>34</v>
      </c>
      <c r="J16" s="52" t="s">
        <v>111</v>
      </c>
      <c r="K16" s="306" t="s">
        <v>1292</v>
      </c>
    </row>
    <row r="17" spans="1:11" ht="50.1" customHeight="1" thickBot="1" x14ac:dyDescent="0.35">
      <c r="A17" s="317"/>
      <c r="B17" s="97" t="s">
        <v>953</v>
      </c>
      <c r="C17" s="97" t="s">
        <v>991</v>
      </c>
      <c r="D17" s="85" t="s">
        <v>993</v>
      </c>
      <c r="E17" s="86"/>
      <c r="F17" s="86"/>
      <c r="G17" s="86"/>
      <c r="H17" s="210" t="s">
        <v>1293</v>
      </c>
      <c r="I17" s="57" t="s">
        <v>34</v>
      </c>
      <c r="J17" s="57" t="s">
        <v>111</v>
      </c>
      <c r="K17" s="307"/>
    </row>
    <row r="18" spans="1:11" ht="50.1" customHeight="1" x14ac:dyDescent="0.3">
      <c r="A18" s="12"/>
      <c r="B18" s="106"/>
      <c r="C18" s="106"/>
      <c r="D18" s="106"/>
      <c r="E18" s="106"/>
      <c r="F18" s="107"/>
      <c r="G18" s="107"/>
    </row>
    <row r="19" spans="1:11" ht="50.1" customHeight="1" x14ac:dyDescent="0.3">
      <c r="A19" s="12"/>
      <c r="B19" s="106"/>
      <c r="C19" s="106"/>
      <c r="D19" s="106"/>
      <c r="E19" s="106"/>
      <c r="F19" s="107"/>
      <c r="G19" s="107"/>
    </row>
    <row r="20" spans="1:11" ht="50.1" customHeight="1" x14ac:dyDescent="0.3">
      <c r="A20" s="12"/>
      <c r="B20" s="106"/>
      <c r="C20" s="106"/>
      <c r="D20" s="106"/>
      <c r="E20" s="106"/>
      <c r="F20" s="107"/>
      <c r="G20" s="107"/>
    </row>
    <row r="21" spans="1:11" ht="50.1" customHeight="1" x14ac:dyDescent="0.3">
      <c r="A21" s="12"/>
      <c r="B21" s="106"/>
      <c r="C21" s="106"/>
      <c r="D21" s="106"/>
      <c r="E21" s="106"/>
      <c r="F21" s="107"/>
      <c r="G21" s="107"/>
    </row>
    <row r="22" spans="1:11" ht="50.1" customHeight="1" x14ac:dyDescent="0.3">
      <c r="A22" s="12"/>
      <c r="B22" s="106"/>
      <c r="C22" s="106"/>
      <c r="D22" s="106"/>
      <c r="E22" s="106"/>
      <c r="F22" s="107"/>
      <c r="G22" s="107"/>
    </row>
    <row r="23" spans="1:11" ht="50.1" customHeight="1" x14ac:dyDescent="0.3">
      <c r="A23" s="12"/>
      <c r="B23" s="106"/>
      <c r="C23" s="106"/>
      <c r="D23" s="106"/>
      <c r="E23" s="106"/>
      <c r="F23" s="107"/>
      <c r="G23" s="107"/>
    </row>
    <row r="24" spans="1:11" ht="50.1" customHeight="1" x14ac:dyDescent="0.3">
      <c r="A24" s="12"/>
      <c r="B24" s="106"/>
      <c r="C24" s="106"/>
      <c r="D24" s="106"/>
      <c r="E24" s="106"/>
      <c r="F24" s="106"/>
      <c r="G24" s="106"/>
    </row>
    <row r="25" spans="1:11" ht="50.1" customHeight="1" x14ac:dyDescent="0.3">
      <c r="A25" s="12"/>
      <c r="B25" s="106"/>
      <c r="C25" s="106"/>
      <c r="D25" s="106"/>
      <c r="E25" s="106"/>
      <c r="F25" s="107"/>
      <c r="G25" s="107"/>
    </row>
    <row r="26" spans="1:11" ht="50.1" customHeight="1" x14ac:dyDescent="0.3">
      <c r="A26" s="12"/>
      <c r="B26" s="106"/>
      <c r="C26" s="106"/>
      <c r="D26" s="106"/>
      <c r="E26" s="106"/>
      <c r="F26" s="107"/>
      <c r="G26" s="107"/>
    </row>
    <row r="27" spans="1:11" ht="50.1" customHeight="1" x14ac:dyDescent="0.3">
      <c r="A27" s="12"/>
      <c r="B27" s="106"/>
      <c r="C27" s="106"/>
      <c r="D27" s="106"/>
      <c r="E27" s="106"/>
      <c r="F27" s="107"/>
      <c r="G27" s="107"/>
    </row>
    <row r="28" spans="1:11" ht="50.1" customHeight="1" x14ac:dyDescent="0.3">
      <c r="A28" s="13"/>
      <c r="B28" s="106"/>
      <c r="C28" s="106"/>
      <c r="D28" s="106"/>
      <c r="E28" s="106"/>
      <c r="F28" s="106"/>
      <c r="G28" s="106"/>
    </row>
    <row r="29" spans="1:11" ht="50.1" customHeight="1" x14ac:dyDescent="0.3">
      <c r="A29" s="12"/>
      <c r="B29" s="106"/>
      <c r="C29" s="106"/>
      <c r="D29" s="106"/>
      <c r="E29" s="106"/>
      <c r="F29" s="106"/>
      <c r="G29" s="106"/>
    </row>
    <row r="30" spans="1:11" ht="50.1" customHeight="1" x14ac:dyDescent="0.3">
      <c r="A30" s="12"/>
      <c r="B30" s="106"/>
      <c r="C30" s="106"/>
      <c r="D30" s="106"/>
      <c r="E30" s="106"/>
      <c r="F30" s="107"/>
      <c r="G30" s="107"/>
    </row>
    <row r="31" spans="1:11" ht="50.1" customHeight="1" x14ac:dyDescent="0.3">
      <c r="A31" s="12"/>
      <c r="B31" s="106"/>
      <c r="C31" s="106"/>
      <c r="D31" s="106"/>
      <c r="E31" s="106"/>
      <c r="F31" s="106"/>
      <c r="G31" s="107"/>
    </row>
    <row r="32" spans="1:11" ht="50.1" customHeight="1" x14ac:dyDescent="0.3">
      <c r="A32" s="12"/>
      <c r="B32" s="106"/>
      <c r="C32" s="106"/>
      <c r="D32" s="106"/>
      <c r="E32" s="106"/>
      <c r="F32" s="107"/>
      <c r="G32" s="107"/>
    </row>
    <row r="33" spans="1:7" ht="50.1" customHeight="1" x14ac:dyDescent="0.3">
      <c r="A33" s="12"/>
      <c r="B33" s="106"/>
      <c r="C33" s="106"/>
      <c r="D33" s="106"/>
      <c r="E33" s="106"/>
      <c r="F33" s="107"/>
      <c r="G33" s="107"/>
    </row>
    <row r="34" spans="1:7" ht="50.1" customHeight="1" x14ac:dyDescent="0.3">
      <c r="A34" s="12"/>
      <c r="B34" s="106"/>
      <c r="C34" s="106"/>
      <c r="D34" s="106"/>
      <c r="E34" s="106"/>
      <c r="F34" s="107"/>
      <c r="G34" s="107"/>
    </row>
    <row r="35" spans="1:7" ht="50.1" customHeight="1" x14ac:dyDescent="0.3">
      <c r="A35" s="12"/>
      <c r="B35" s="106"/>
      <c r="C35" s="106"/>
      <c r="D35" s="106"/>
      <c r="E35" s="106"/>
      <c r="F35" s="106"/>
      <c r="G35" s="106"/>
    </row>
    <row r="36" spans="1:7" ht="50.1" customHeight="1" x14ac:dyDescent="0.3">
      <c r="A36" s="12"/>
      <c r="B36" s="106"/>
      <c r="C36" s="106"/>
      <c r="D36" s="106"/>
      <c r="E36" s="106"/>
      <c r="F36" s="107"/>
      <c r="G36" s="107"/>
    </row>
    <row r="37" spans="1:7" ht="50.1" customHeight="1" x14ac:dyDescent="0.3">
      <c r="A37" s="12"/>
      <c r="B37" s="106"/>
      <c r="C37" s="106"/>
      <c r="D37" s="106"/>
      <c r="E37" s="106"/>
      <c r="F37" s="107"/>
      <c r="G37" s="107"/>
    </row>
    <row r="38" spans="1:7" ht="50.1" customHeight="1" x14ac:dyDescent="0.3">
      <c r="A38" s="12"/>
      <c r="B38" s="106"/>
      <c r="C38" s="106"/>
      <c r="D38" s="106"/>
      <c r="E38" s="106"/>
      <c r="F38" s="107"/>
      <c r="G38" s="107"/>
    </row>
    <row r="39" spans="1:7" ht="50.1" customHeight="1" x14ac:dyDescent="0.3">
      <c r="A39" s="12"/>
      <c r="B39" s="106"/>
      <c r="C39" s="106"/>
      <c r="D39" s="106"/>
      <c r="E39" s="106"/>
      <c r="F39" s="106"/>
      <c r="G39" s="106"/>
    </row>
    <row r="40" spans="1:7" ht="50.1" customHeight="1" x14ac:dyDescent="0.3">
      <c r="A40" s="12"/>
      <c r="B40" s="106"/>
      <c r="C40" s="106"/>
      <c r="D40" s="106"/>
      <c r="E40" s="106"/>
      <c r="F40" s="107"/>
      <c r="G40" s="107"/>
    </row>
    <row r="41" spans="1:7" ht="50.1" customHeight="1" x14ac:dyDescent="0.3">
      <c r="A41" s="12"/>
      <c r="B41" s="106"/>
      <c r="C41" s="106"/>
      <c r="D41" s="106"/>
      <c r="E41" s="106"/>
      <c r="F41" s="106"/>
      <c r="G41" s="106"/>
    </row>
    <row r="42" spans="1:7" ht="50.1" customHeight="1" x14ac:dyDescent="0.3">
      <c r="A42" s="12"/>
      <c r="B42" s="106"/>
      <c r="C42" s="106"/>
      <c r="D42" s="106"/>
      <c r="E42" s="106"/>
      <c r="F42" s="106"/>
      <c r="G42" s="106"/>
    </row>
    <row r="43" spans="1:7" ht="50.1" customHeight="1" x14ac:dyDescent="0.3">
      <c r="A43" s="12"/>
      <c r="B43" s="106"/>
      <c r="C43" s="106"/>
      <c r="D43" s="106"/>
      <c r="E43" s="106"/>
      <c r="F43" s="106"/>
      <c r="G43" s="106"/>
    </row>
    <row r="44" spans="1:7" ht="50.1" customHeight="1" x14ac:dyDescent="0.3">
      <c r="A44" s="12"/>
      <c r="B44" s="106"/>
      <c r="C44" s="106"/>
      <c r="D44" s="106"/>
      <c r="E44" s="106"/>
      <c r="F44" s="107"/>
      <c r="G44" s="107"/>
    </row>
    <row r="45" spans="1:7" ht="50.1" customHeight="1" x14ac:dyDescent="0.3">
      <c r="A45" s="12"/>
      <c r="B45" s="106"/>
      <c r="C45" s="106"/>
      <c r="D45" s="106"/>
      <c r="E45" s="106"/>
      <c r="F45" s="107"/>
      <c r="G45" s="107"/>
    </row>
    <row r="46" spans="1:7" ht="50.1" customHeight="1" x14ac:dyDescent="0.3">
      <c r="A46" s="12"/>
      <c r="B46" s="106"/>
      <c r="C46" s="106"/>
      <c r="D46" s="106"/>
      <c r="E46" s="106"/>
      <c r="F46" s="107"/>
      <c r="G46" s="107"/>
    </row>
    <row r="47" spans="1:7" ht="50.1" customHeight="1" x14ac:dyDescent="0.3">
      <c r="A47" s="12"/>
      <c r="B47" s="106"/>
      <c r="C47" s="106"/>
      <c r="D47" s="106"/>
      <c r="E47" s="106"/>
      <c r="F47" s="107"/>
      <c r="G47" s="107"/>
    </row>
    <row r="48" spans="1:7" ht="50.1" customHeight="1" x14ac:dyDescent="0.3">
      <c r="A48" s="12"/>
      <c r="B48" s="106"/>
      <c r="C48" s="106"/>
      <c r="D48" s="106"/>
      <c r="E48" s="106"/>
      <c r="F48" s="107"/>
      <c r="G48" s="107"/>
    </row>
    <row r="49" spans="1:7" ht="50.1" customHeight="1" x14ac:dyDescent="0.3">
      <c r="A49" s="12"/>
      <c r="B49" s="106"/>
      <c r="C49" s="106"/>
      <c r="D49" s="106"/>
      <c r="E49" s="106"/>
      <c r="F49" s="107"/>
      <c r="G49" s="107"/>
    </row>
    <row r="50" spans="1:7" ht="50.1" customHeight="1" x14ac:dyDescent="0.3">
      <c r="A50" s="12"/>
      <c r="B50" s="106"/>
      <c r="C50" s="106"/>
      <c r="D50" s="106"/>
      <c r="E50" s="106"/>
      <c r="F50" s="106"/>
      <c r="G50" s="106"/>
    </row>
    <row r="51" spans="1:7" ht="50.1" customHeight="1" x14ac:dyDescent="0.3">
      <c r="A51" s="12"/>
      <c r="B51" s="106"/>
      <c r="C51" s="106"/>
      <c r="D51" s="106"/>
      <c r="E51" s="106"/>
      <c r="F51" s="107"/>
      <c r="G51" s="107"/>
    </row>
    <row r="52" spans="1:7" ht="50.1" customHeight="1" x14ac:dyDescent="0.3">
      <c r="A52" s="12"/>
      <c r="B52" s="106"/>
      <c r="C52" s="106"/>
      <c r="D52" s="106"/>
      <c r="E52" s="106"/>
      <c r="F52" s="107"/>
      <c r="G52" s="107"/>
    </row>
    <row r="53" spans="1:7" ht="50.1" customHeight="1" x14ac:dyDescent="0.3">
      <c r="A53" s="12"/>
      <c r="B53" s="106"/>
      <c r="C53" s="106"/>
      <c r="D53" s="106"/>
      <c r="E53" s="106"/>
      <c r="F53" s="107"/>
      <c r="G53" s="107"/>
    </row>
    <row r="54" spans="1:7" ht="50.1" customHeight="1" x14ac:dyDescent="0.3">
      <c r="A54" s="12"/>
      <c r="B54" s="106"/>
      <c r="C54" s="106"/>
      <c r="D54" s="106"/>
      <c r="E54" s="106"/>
      <c r="F54" s="106"/>
      <c r="G54" s="106"/>
    </row>
    <row r="55" spans="1:7" ht="50.1" customHeight="1" x14ac:dyDescent="0.3">
      <c r="A55" s="12"/>
      <c r="B55" s="106"/>
      <c r="C55" s="106"/>
      <c r="D55" s="106"/>
      <c r="E55" s="106"/>
      <c r="F55" s="107"/>
      <c r="G55" s="107"/>
    </row>
    <row r="56" spans="1:7" ht="50.1" customHeight="1" x14ac:dyDescent="0.3">
      <c r="A56" s="12"/>
      <c r="B56" s="106"/>
      <c r="C56" s="106"/>
      <c r="D56" s="106"/>
      <c r="E56" s="106"/>
      <c r="F56" s="107"/>
      <c r="G56" s="107"/>
    </row>
    <row r="57" spans="1:7" ht="50.1" customHeight="1" x14ac:dyDescent="0.3">
      <c r="A57" s="12"/>
      <c r="B57" s="106"/>
      <c r="C57" s="106"/>
      <c r="D57" s="106"/>
      <c r="E57" s="106"/>
      <c r="F57" s="106"/>
      <c r="G57" s="106"/>
    </row>
    <row r="58" spans="1:7" ht="50.1" customHeight="1" x14ac:dyDescent="0.3">
      <c r="A58" s="12"/>
      <c r="B58" s="106"/>
      <c r="C58" s="106"/>
      <c r="D58" s="106"/>
      <c r="E58" s="106"/>
      <c r="F58" s="106"/>
      <c r="G58" s="106"/>
    </row>
    <row r="59" spans="1:7" ht="50.1" customHeight="1" x14ac:dyDescent="0.3">
      <c r="A59" s="12"/>
      <c r="B59" s="106"/>
      <c r="C59" s="106"/>
      <c r="D59" s="106"/>
      <c r="E59" s="106"/>
      <c r="F59" s="107"/>
      <c r="G59" s="107"/>
    </row>
    <row r="60" spans="1:7" ht="50.1" customHeight="1" x14ac:dyDescent="0.3">
      <c r="A60" s="12"/>
      <c r="B60" s="106"/>
      <c r="C60" s="106"/>
      <c r="D60" s="106"/>
      <c r="E60" s="106"/>
      <c r="F60" s="107"/>
      <c r="G60" s="107"/>
    </row>
    <row r="61" spans="1:7" ht="50.1" customHeight="1" x14ac:dyDescent="0.3">
      <c r="A61" s="12"/>
      <c r="B61" s="106"/>
      <c r="C61" s="106"/>
      <c r="D61" s="106"/>
      <c r="E61" s="106"/>
      <c r="F61" s="107"/>
      <c r="G61" s="107"/>
    </row>
    <row r="62" spans="1:7" ht="50.1" customHeight="1" x14ac:dyDescent="0.3">
      <c r="A62" s="12"/>
      <c r="B62" s="106"/>
      <c r="C62" s="106"/>
      <c r="D62" s="106"/>
      <c r="E62" s="106"/>
      <c r="F62" s="106"/>
      <c r="G62" s="106"/>
    </row>
    <row r="63" spans="1:7" ht="50.1" customHeight="1" x14ac:dyDescent="0.3">
      <c r="A63" s="12"/>
      <c r="B63" s="106"/>
      <c r="C63" s="106"/>
      <c r="D63" s="106"/>
      <c r="E63" s="106"/>
      <c r="F63" s="107"/>
      <c r="G63" s="107"/>
    </row>
    <row r="64" spans="1:7" ht="50.1" customHeight="1" x14ac:dyDescent="0.3">
      <c r="A64" s="12"/>
      <c r="B64" s="106"/>
      <c r="C64" s="106"/>
      <c r="D64" s="106"/>
      <c r="E64" s="106"/>
      <c r="F64" s="107"/>
      <c r="G64" s="107"/>
    </row>
    <row r="65" spans="1:7" ht="50.1" customHeight="1" x14ac:dyDescent="0.3">
      <c r="A65" s="12"/>
      <c r="B65" s="106"/>
      <c r="C65" s="106"/>
      <c r="D65" s="106"/>
      <c r="E65" s="106"/>
      <c r="F65" s="106"/>
      <c r="G65" s="106"/>
    </row>
    <row r="66" spans="1:7" ht="50.1" customHeight="1" x14ac:dyDescent="0.3">
      <c r="A66" s="12"/>
      <c r="B66" s="106"/>
      <c r="C66" s="106"/>
      <c r="D66" s="106"/>
      <c r="E66" s="106"/>
      <c r="F66" s="107"/>
      <c r="G66" s="107"/>
    </row>
    <row r="67" spans="1:7" ht="50.1" customHeight="1" x14ac:dyDescent="0.3">
      <c r="A67" s="12"/>
      <c r="B67" s="106"/>
      <c r="C67" s="106"/>
      <c r="D67" s="106"/>
      <c r="E67" s="106"/>
      <c r="F67" s="107"/>
      <c r="G67" s="107"/>
    </row>
    <row r="68" spans="1:7" ht="50.1" customHeight="1" x14ac:dyDescent="0.3">
      <c r="A68" s="12"/>
      <c r="B68" s="106"/>
      <c r="C68" s="106"/>
      <c r="D68" s="106"/>
      <c r="E68" s="106"/>
      <c r="F68" s="107"/>
      <c r="G68" s="107"/>
    </row>
    <row r="69" spans="1:7" ht="50.1" customHeight="1" x14ac:dyDescent="0.3">
      <c r="A69" s="12"/>
      <c r="B69" s="106"/>
      <c r="C69" s="106"/>
      <c r="D69" s="106"/>
      <c r="E69" s="106"/>
      <c r="F69" s="107"/>
      <c r="G69" s="107"/>
    </row>
    <row r="70" spans="1:7" ht="50.1" customHeight="1" x14ac:dyDescent="0.3">
      <c r="A70" s="12"/>
      <c r="B70" s="106"/>
      <c r="C70" s="106"/>
      <c r="D70" s="106"/>
      <c r="E70" s="106"/>
      <c r="F70" s="107"/>
      <c r="G70" s="107"/>
    </row>
    <row r="71" spans="1:7" ht="50.1" customHeight="1" x14ac:dyDescent="0.3">
      <c r="A71" s="12"/>
      <c r="B71" s="106"/>
      <c r="C71" s="106"/>
      <c r="D71" s="106"/>
      <c r="E71" s="106"/>
      <c r="F71" s="107"/>
      <c r="G71" s="107"/>
    </row>
    <row r="72" spans="1:7" ht="50.1" customHeight="1" x14ac:dyDescent="0.3">
      <c r="A72" s="12"/>
      <c r="B72" s="106"/>
      <c r="C72" s="106"/>
      <c r="D72" s="106"/>
      <c r="E72" s="106"/>
      <c r="F72" s="106"/>
      <c r="G72" s="106"/>
    </row>
    <row r="73" spans="1:7" ht="50.1" customHeight="1" x14ac:dyDescent="0.3">
      <c r="A73" s="12"/>
      <c r="B73" s="106"/>
      <c r="C73" s="106"/>
      <c r="D73" s="106"/>
      <c r="E73" s="106"/>
      <c r="F73" s="107"/>
      <c r="G73" s="107"/>
    </row>
    <row r="74" spans="1:7" ht="50.1" customHeight="1" x14ac:dyDescent="0.3">
      <c r="A74" s="12"/>
      <c r="B74" s="106"/>
      <c r="C74" s="106"/>
      <c r="D74" s="106"/>
      <c r="E74" s="106"/>
      <c r="F74" s="106"/>
      <c r="G74" s="106"/>
    </row>
    <row r="75" spans="1:7" ht="50.1" customHeight="1" x14ac:dyDescent="0.3">
      <c r="A75" s="12"/>
      <c r="B75" s="106"/>
      <c r="C75" s="106"/>
      <c r="D75" s="106"/>
      <c r="E75" s="106"/>
      <c r="F75" s="107"/>
      <c r="G75" s="107"/>
    </row>
    <row r="76" spans="1:7" ht="50.1" customHeight="1" x14ac:dyDescent="0.3">
      <c r="A76" s="12"/>
      <c r="B76" s="106"/>
      <c r="C76" s="106"/>
      <c r="D76" s="106"/>
      <c r="E76" s="106"/>
      <c r="F76" s="106"/>
      <c r="G76" s="106"/>
    </row>
    <row r="77" spans="1:7" ht="50.1" customHeight="1" x14ac:dyDescent="0.3">
      <c r="A77" s="12"/>
      <c r="B77" s="106"/>
      <c r="C77" s="106"/>
      <c r="D77" s="106"/>
      <c r="E77" s="106"/>
      <c r="F77" s="107"/>
      <c r="G77" s="107"/>
    </row>
    <row r="78" spans="1:7" ht="50.1" customHeight="1" x14ac:dyDescent="0.3">
      <c r="A78" s="12"/>
      <c r="B78" s="106"/>
      <c r="C78" s="106"/>
      <c r="D78" s="106"/>
      <c r="E78" s="106"/>
      <c r="F78" s="107"/>
      <c r="G78" s="107"/>
    </row>
    <row r="79" spans="1:7" ht="50.1" customHeight="1" x14ac:dyDescent="0.3">
      <c r="A79" s="12"/>
      <c r="B79" s="106"/>
      <c r="C79" s="106"/>
      <c r="D79" s="106"/>
      <c r="E79" s="106"/>
      <c r="F79" s="107"/>
      <c r="G79" s="107"/>
    </row>
    <row r="80" spans="1:7" ht="50.1" customHeight="1" x14ac:dyDescent="0.3">
      <c r="A80" s="12"/>
      <c r="B80" s="106"/>
      <c r="C80" s="106"/>
      <c r="D80" s="106"/>
      <c r="E80" s="106"/>
      <c r="F80" s="106"/>
      <c r="G80" s="106"/>
    </row>
    <row r="81" spans="1:7" ht="50.1" customHeight="1" x14ac:dyDescent="0.3">
      <c r="A81" s="12"/>
      <c r="B81" s="106"/>
      <c r="C81" s="106"/>
      <c r="D81" s="106"/>
      <c r="E81" s="106"/>
      <c r="F81" s="107"/>
      <c r="G81" s="107"/>
    </row>
    <row r="82" spans="1:7" ht="50.1" customHeight="1" x14ac:dyDescent="0.3">
      <c r="A82" s="12"/>
      <c r="B82" s="106"/>
      <c r="C82" s="106"/>
      <c r="D82" s="106"/>
      <c r="E82" s="106"/>
      <c r="F82" s="107"/>
      <c r="G82" s="107"/>
    </row>
    <row r="83" spans="1:7" ht="50.1" customHeight="1" x14ac:dyDescent="0.3">
      <c r="A83" s="12"/>
      <c r="B83" s="106"/>
      <c r="C83" s="106"/>
      <c r="D83" s="106"/>
      <c r="E83" s="106"/>
      <c r="F83" s="107"/>
      <c r="G83" s="107"/>
    </row>
    <row r="84" spans="1:7" ht="50.1" customHeight="1" x14ac:dyDescent="0.3">
      <c r="A84" s="12"/>
      <c r="B84" s="106"/>
      <c r="C84" s="106"/>
      <c r="D84" s="106"/>
      <c r="E84" s="106"/>
      <c r="F84" s="107"/>
      <c r="G84" s="107"/>
    </row>
    <row r="85" spans="1:7" ht="50.1" customHeight="1" x14ac:dyDescent="0.3">
      <c r="A85" s="12"/>
      <c r="B85" s="106"/>
      <c r="C85" s="106"/>
      <c r="D85" s="106"/>
      <c r="E85" s="106"/>
      <c r="F85" s="107"/>
      <c r="G85" s="107"/>
    </row>
  </sheetData>
  <autoFilter ref="A1:K17" xr:uid="{7A5A317C-0DC7-4F34-B82E-F357E7233563}"/>
  <mergeCells count="10">
    <mergeCell ref="K13:K15"/>
    <mergeCell ref="K10:K11"/>
    <mergeCell ref="K16:K17"/>
    <mergeCell ref="K2:K5"/>
    <mergeCell ref="K6:K9"/>
    <mergeCell ref="A2:A5"/>
    <mergeCell ref="A6:A9"/>
    <mergeCell ref="A10:A11"/>
    <mergeCell ref="A13:A15"/>
    <mergeCell ref="A16:A17"/>
  </mergeCells>
  <conditionalFormatting sqref="I1 I6:I1048576">
    <cfRule type="containsText" dxfId="71" priority="18" operator="containsText" text="Planned">
      <formula>NOT(ISERROR(SEARCH("Planned",I1)))</formula>
    </cfRule>
  </conditionalFormatting>
  <conditionalFormatting sqref="I1:I1048576">
    <cfRule type="cellIs" dxfId="70" priority="5" operator="equal">
      <formula>"Partially Implemented"</formula>
    </cfRule>
    <cfRule type="cellIs" dxfId="69" priority="6" operator="equal">
      <formula>"Not Selected"</formula>
    </cfRule>
    <cfRule type="containsText" dxfId="68" priority="10" operator="containsText" text="Inherited">
      <formula>NOT(ISERROR(SEARCH("Inherited",I1)))</formula>
    </cfRule>
    <cfRule type="containsText" dxfId="67" priority="12" operator="containsText" text="Implemented">
      <formula>NOT(ISERROR(SEARCH("Implemented",I1)))</formula>
    </cfRule>
  </conditionalFormatting>
  <conditionalFormatting sqref="I2:I5">
    <cfRule type="containsText" dxfId="66" priority="9" operator="containsText" text="Not Applicable">
      <formula>NOT(ISERROR(SEARCH("Not Applicable",I2)))</formula>
    </cfRule>
    <cfRule type="containsText" dxfId="65" priority="11" operator="containsText" text="Planned">
      <formula>NOT(ISERROR(SEARCH("Planned",I2)))</formula>
    </cfRule>
  </conditionalFormatting>
  <conditionalFormatting sqref="I1:J1 I6:J1048576">
    <cfRule type="containsText" dxfId="64" priority="19" operator="containsText" text="Not Applicable">
      <formula>NOT(ISERROR(SEARCH("Not Applicable",I1)))</formula>
    </cfRule>
  </conditionalFormatting>
  <conditionalFormatting sqref="J1 J6:J1048576">
    <cfRule type="containsText" dxfId="63" priority="13" operator="containsText" text="Partially Satisfied">
      <formula>NOT(ISERROR(SEARCH("Partially Satisfied",J1)))</formula>
    </cfRule>
    <cfRule type="containsText" dxfId="62" priority="14" operator="containsText" text="Satisfied">
      <formula>NOT(ISERROR(SEARCH("Satisfied",J1)))</formula>
    </cfRule>
    <cfRule type="containsText" dxfId="61" priority="15" operator="containsText" text="Other Than Satisfied">
      <formula>NOT(ISERROR(SEARCH("Other Than Satisfied",J1)))</formula>
    </cfRule>
  </conditionalFormatting>
  <conditionalFormatting sqref="J1:J1048576">
    <cfRule type="cellIs" dxfId="60" priority="1" operator="equal">
      <formula>"NOT MET"</formula>
    </cfRule>
    <cfRule type="cellIs" dxfId="59" priority="2" operator="equal">
      <formula>"MET"</formula>
    </cfRule>
    <cfRule type="cellIs" dxfId="58" priority="3" operator="equal">
      <formula>"Partially Satisfied"</formula>
    </cfRule>
    <cfRule type="cellIs" dxfId="57" priority="4" operator="equal">
      <formula>"Partially Satisified"</formula>
    </cfRule>
  </conditionalFormatting>
  <conditionalFormatting sqref="J2:J5">
    <cfRule type="containsText" dxfId="56" priority="7" operator="containsText" text="Other Than Satisfied">
      <formula>NOT(ISERROR(SEARCH("Other Than Satisfied",J2)))</formula>
    </cfRule>
    <cfRule type="containsText" dxfId="55" priority="8" operator="containsText" text="Not Applicable">
      <formula>NOT(ISERROR(SEARCH("Not Applicable",J2)))</formula>
    </cfRule>
  </conditionalFormatting>
  <dataValidations count="2">
    <dataValidation type="list" allowBlank="1" showInputMessage="1" showErrorMessage="1" sqref="I2:I17" xr:uid="{B92BBFFD-44D9-4230-BB72-6CCF2A552F54}">
      <formula1>"Not Selected,Planned,Inherited,Partially Implemented,Implemented"</formula1>
    </dataValidation>
    <dataValidation type="list" allowBlank="1" showInputMessage="1" showErrorMessage="1" sqref="J2:J17" xr:uid="{42479650-9057-4B9D-87DC-A75F47DB8B97}">
      <formula1>"MET,NOT MET"</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0A614-D019-4AEB-966B-FAD9FBCEF3DF}">
  <sheetPr>
    <tabColor theme="4" tint="-0.499984740745262"/>
  </sheetPr>
  <dimension ref="A1:K126"/>
  <sheetViews>
    <sheetView showGridLines="0" zoomScale="70" zoomScaleNormal="70" workbookViewId="0">
      <pane ySplit="1" topLeftCell="A2" activePane="bottomLeft" state="frozen"/>
      <selection activeCell="D181" sqref="D181"/>
      <selection pane="bottomLeft" activeCell="H7" sqref="H7"/>
    </sheetView>
  </sheetViews>
  <sheetFormatPr defaultColWidth="8.6640625" defaultRowHeight="50.1" customHeight="1" x14ac:dyDescent="0.3"/>
  <cols>
    <col min="1" max="1" width="22.109375" style="76" customWidth="1"/>
    <col min="2" max="3" width="16.88671875" style="44" customWidth="1"/>
    <col min="4" max="4" width="56.44140625" style="44" customWidth="1"/>
    <col min="5" max="5" width="48.44140625" style="44" customWidth="1"/>
    <col min="6" max="6" width="57" style="44" customWidth="1"/>
    <col min="7" max="7" width="35" style="44" customWidth="1"/>
    <col min="8" max="8" width="74.44140625" style="44" customWidth="1"/>
    <col min="9" max="9" width="42.5546875" style="77" customWidth="1"/>
    <col min="10" max="10" width="42.109375" style="77" customWidth="1"/>
    <col min="11" max="11" width="42.88671875" style="44" customWidth="1"/>
    <col min="12" max="16384" width="8.6640625" style="44"/>
  </cols>
  <sheetData>
    <row r="1" spans="1:11" ht="50.1" customHeight="1" thickBot="1" x14ac:dyDescent="0.35">
      <c r="A1" s="20" t="s">
        <v>43</v>
      </c>
      <c r="B1" s="20" t="s">
        <v>42</v>
      </c>
      <c r="C1" s="20" t="s">
        <v>93</v>
      </c>
      <c r="D1" s="20" t="s">
        <v>94</v>
      </c>
      <c r="E1" s="20" t="s">
        <v>95</v>
      </c>
      <c r="F1" s="20" t="s">
        <v>96</v>
      </c>
      <c r="G1" s="20" t="s">
        <v>97</v>
      </c>
      <c r="H1" s="20" t="s">
        <v>98</v>
      </c>
      <c r="I1" s="20" t="s">
        <v>44</v>
      </c>
      <c r="J1" s="20" t="s">
        <v>45</v>
      </c>
      <c r="K1" s="20" t="s">
        <v>99</v>
      </c>
    </row>
    <row r="2" spans="1:11" ht="50.1" customHeight="1" thickBot="1" x14ac:dyDescent="0.35">
      <c r="A2" s="235" t="s">
        <v>924</v>
      </c>
      <c r="B2" s="116" t="s">
        <v>925</v>
      </c>
      <c r="C2" s="116" t="s">
        <v>932</v>
      </c>
      <c r="D2" s="116" t="s">
        <v>928</v>
      </c>
      <c r="E2" s="117" t="s">
        <v>929</v>
      </c>
      <c r="F2" s="118" t="s">
        <v>930</v>
      </c>
      <c r="G2" s="119" t="s">
        <v>931</v>
      </c>
      <c r="H2" s="124" t="s">
        <v>1477</v>
      </c>
      <c r="I2" s="75" t="s">
        <v>29</v>
      </c>
      <c r="J2" s="75" t="s">
        <v>111</v>
      </c>
      <c r="K2" s="231" t="s">
        <v>1473</v>
      </c>
    </row>
    <row r="3" spans="1:11" ht="50.1" customHeight="1" x14ac:dyDescent="0.3">
      <c r="A3" s="309" t="s">
        <v>926</v>
      </c>
      <c r="B3" s="78" t="s">
        <v>927</v>
      </c>
      <c r="C3" s="78" t="s">
        <v>933</v>
      </c>
      <c r="D3" s="78" t="s">
        <v>936</v>
      </c>
      <c r="E3" s="79" t="s">
        <v>939</v>
      </c>
      <c r="F3" s="80" t="s">
        <v>940</v>
      </c>
      <c r="G3" s="103" t="s">
        <v>941</v>
      </c>
      <c r="H3" s="209" t="s">
        <v>1476</v>
      </c>
      <c r="I3" s="52" t="s">
        <v>29</v>
      </c>
      <c r="J3" s="52" t="s">
        <v>111</v>
      </c>
      <c r="K3" s="209" t="s">
        <v>1297</v>
      </c>
    </row>
    <row r="4" spans="1:11" ht="50.1" customHeight="1" x14ac:dyDescent="0.3">
      <c r="A4" s="310"/>
      <c r="B4" s="81" t="s">
        <v>927</v>
      </c>
      <c r="C4" s="82" t="s">
        <v>934</v>
      </c>
      <c r="D4" s="82" t="s">
        <v>937</v>
      </c>
      <c r="E4" s="83"/>
      <c r="F4" s="83"/>
      <c r="G4" s="83"/>
      <c r="H4" s="319" t="s">
        <v>1475</v>
      </c>
      <c r="I4" s="48" t="s">
        <v>29</v>
      </c>
      <c r="J4" s="48" t="s">
        <v>111</v>
      </c>
      <c r="K4" s="319" t="s">
        <v>1478</v>
      </c>
    </row>
    <row r="5" spans="1:11" ht="50.1" customHeight="1" thickBot="1" x14ac:dyDescent="0.35">
      <c r="A5" s="311"/>
      <c r="B5" s="85" t="s">
        <v>927</v>
      </c>
      <c r="C5" s="85" t="s">
        <v>935</v>
      </c>
      <c r="D5" s="85" t="s">
        <v>938</v>
      </c>
      <c r="E5" s="86"/>
      <c r="F5" s="86"/>
      <c r="G5" s="86"/>
      <c r="H5" s="307"/>
      <c r="I5" s="57" t="s">
        <v>29</v>
      </c>
      <c r="J5" s="57" t="s">
        <v>111</v>
      </c>
      <c r="K5" s="307"/>
    </row>
    <row r="6" spans="1:11" ht="50.1" customHeight="1" x14ac:dyDescent="0.3">
      <c r="A6" s="12"/>
      <c r="B6" s="106"/>
      <c r="C6" s="106"/>
      <c r="D6" s="106"/>
      <c r="E6" s="106"/>
      <c r="F6" s="107"/>
      <c r="G6" s="107"/>
    </row>
    <row r="7" spans="1:11" ht="50.1" customHeight="1" x14ac:dyDescent="0.3">
      <c r="A7" s="12"/>
      <c r="B7" s="106"/>
      <c r="C7" s="106"/>
      <c r="D7" s="106"/>
      <c r="E7" s="106"/>
      <c r="F7" s="107"/>
      <c r="G7" s="107"/>
    </row>
    <row r="8" spans="1:11" ht="50.1" customHeight="1" x14ac:dyDescent="0.3">
      <c r="A8" s="12"/>
      <c r="B8" s="106"/>
      <c r="C8" s="106"/>
      <c r="D8" s="106"/>
      <c r="E8" s="106"/>
      <c r="F8" s="107"/>
      <c r="G8" s="107"/>
    </row>
    <row r="9" spans="1:11" ht="50.1" customHeight="1" x14ac:dyDescent="0.3">
      <c r="A9" s="12"/>
      <c r="B9" s="106"/>
      <c r="C9" s="106"/>
      <c r="D9" s="106"/>
      <c r="E9" s="106"/>
      <c r="F9" s="107"/>
      <c r="G9" s="107"/>
    </row>
    <row r="10" spans="1:11" ht="50.1" customHeight="1" x14ac:dyDescent="0.3">
      <c r="A10" s="12"/>
      <c r="B10" s="106"/>
      <c r="C10" s="106"/>
      <c r="D10" s="106"/>
      <c r="E10" s="106"/>
      <c r="F10" s="106"/>
      <c r="G10" s="106"/>
    </row>
    <row r="11" spans="1:11" ht="50.1" customHeight="1" x14ac:dyDescent="0.3">
      <c r="A11" s="12"/>
      <c r="B11" s="106"/>
      <c r="C11" s="106"/>
      <c r="D11" s="106"/>
      <c r="E11" s="106"/>
      <c r="F11" s="107"/>
      <c r="G11" s="107"/>
    </row>
    <row r="12" spans="1:11" ht="50.1" customHeight="1" x14ac:dyDescent="0.3">
      <c r="A12" s="12"/>
      <c r="B12" s="106"/>
      <c r="C12" s="106"/>
      <c r="D12" s="106"/>
      <c r="E12" s="106"/>
      <c r="F12" s="107"/>
      <c r="G12" s="107"/>
    </row>
    <row r="13" spans="1:11" ht="50.1" customHeight="1" x14ac:dyDescent="0.3">
      <c r="A13" s="12"/>
      <c r="B13" s="106"/>
      <c r="C13" s="106"/>
      <c r="D13" s="106"/>
      <c r="E13" s="106"/>
      <c r="F13" s="107"/>
      <c r="G13" s="107"/>
    </row>
    <row r="14" spans="1:11" ht="50.1" customHeight="1" x14ac:dyDescent="0.3">
      <c r="A14" s="12"/>
      <c r="B14" s="106"/>
      <c r="C14" s="106"/>
      <c r="D14" s="106"/>
      <c r="E14" s="106"/>
      <c r="F14" s="107"/>
      <c r="G14" s="107"/>
    </row>
    <row r="15" spans="1:11" ht="50.1" customHeight="1" x14ac:dyDescent="0.3">
      <c r="A15" s="12"/>
      <c r="B15" s="106"/>
      <c r="C15" s="106"/>
      <c r="D15" s="106"/>
      <c r="E15" s="106"/>
      <c r="F15" s="106"/>
      <c r="G15" s="107"/>
    </row>
    <row r="16" spans="1:11" ht="50.1" customHeight="1" x14ac:dyDescent="0.3">
      <c r="A16" s="12"/>
      <c r="B16" s="106"/>
      <c r="C16" s="106"/>
      <c r="D16" s="106"/>
      <c r="E16" s="106"/>
      <c r="F16" s="107"/>
      <c r="G16" s="107"/>
    </row>
    <row r="17" spans="1:7" ht="50.1" customHeight="1" x14ac:dyDescent="0.3">
      <c r="A17" s="12"/>
      <c r="B17" s="106"/>
      <c r="C17" s="106"/>
      <c r="D17" s="106"/>
      <c r="E17" s="106"/>
      <c r="F17" s="106"/>
      <c r="G17" s="106"/>
    </row>
    <row r="18" spans="1:7" ht="50.1" customHeight="1" x14ac:dyDescent="0.3">
      <c r="A18" s="12"/>
      <c r="B18" s="106"/>
      <c r="C18" s="106"/>
      <c r="D18" s="106"/>
      <c r="E18" s="106"/>
      <c r="F18" s="107"/>
      <c r="G18" s="107"/>
    </row>
    <row r="19" spans="1:7" ht="50.1" customHeight="1" x14ac:dyDescent="0.3">
      <c r="A19" s="12"/>
      <c r="B19" s="106"/>
      <c r="C19" s="106"/>
      <c r="D19" s="106"/>
      <c r="E19" s="106"/>
      <c r="F19" s="107"/>
      <c r="G19" s="107"/>
    </row>
    <row r="20" spans="1:7" ht="50.1" customHeight="1" x14ac:dyDescent="0.3">
      <c r="A20" s="13"/>
      <c r="B20" s="106"/>
      <c r="C20" s="106"/>
      <c r="D20" s="106"/>
      <c r="E20" s="106"/>
      <c r="F20" s="106"/>
      <c r="G20" s="106"/>
    </row>
    <row r="21" spans="1:7" ht="50.1" customHeight="1" x14ac:dyDescent="0.3">
      <c r="A21" s="12"/>
      <c r="B21" s="106"/>
      <c r="C21" s="106"/>
      <c r="D21" s="106"/>
      <c r="E21" s="106"/>
      <c r="F21" s="106"/>
      <c r="G21" s="106"/>
    </row>
    <row r="22" spans="1:7" ht="50.1" customHeight="1" x14ac:dyDescent="0.3">
      <c r="A22" s="12"/>
      <c r="B22" s="106"/>
      <c r="C22" s="106"/>
      <c r="D22" s="106"/>
      <c r="E22" s="106"/>
      <c r="F22" s="107"/>
      <c r="G22" s="107"/>
    </row>
    <row r="23" spans="1:7" ht="50.1" customHeight="1" x14ac:dyDescent="0.3">
      <c r="A23" s="12"/>
      <c r="B23" s="106"/>
      <c r="C23" s="106"/>
      <c r="D23" s="106"/>
      <c r="E23" s="106"/>
      <c r="F23" s="106"/>
      <c r="G23" s="106"/>
    </row>
    <row r="24" spans="1:7" ht="50.1" customHeight="1" x14ac:dyDescent="0.3">
      <c r="A24" s="12"/>
      <c r="B24" s="106"/>
      <c r="C24" s="106"/>
      <c r="D24" s="106"/>
      <c r="E24" s="106"/>
      <c r="F24" s="107"/>
      <c r="G24" s="107"/>
    </row>
    <row r="25" spans="1:7" ht="50.1" customHeight="1" x14ac:dyDescent="0.3">
      <c r="A25" s="12"/>
      <c r="B25" s="106"/>
      <c r="C25" s="106"/>
      <c r="D25" s="106"/>
      <c r="E25" s="106"/>
      <c r="F25" s="107"/>
      <c r="G25" s="107"/>
    </row>
    <row r="26" spans="1:7" ht="50.1" customHeight="1" x14ac:dyDescent="0.3">
      <c r="A26" s="13"/>
      <c r="B26" s="106"/>
      <c r="C26" s="106"/>
      <c r="D26" s="106"/>
      <c r="E26" s="106"/>
      <c r="F26" s="106"/>
      <c r="G26" s="106"/>
    </row>
    <row r="27" spans="1:7" ht="50.1" customHeight="1" x14ac:dyDescent="0.3">
      <c r="A27" s="12"/>
      <c r="B27" s="106"/>
      <c r="C27" s="106"/>
      <c r="D27" s="106"/>
      <c r="E27" s="106"/>
      <c r="F27" s="106"/>
      <c r="G27" s="106"/>
    </row>
    <row r="28" spans="1:7" ht="50.1" customHeight="1" x14ac:dyDescent="0.3">
      <c r="A28" s="12"/>
      <c r="B28" s="106"/>
      <c r="C28" s="106"/>
      <c r="D28" s="106"/>
      <c r="E28" s="106"/>
      <c r="F28" s="107"/>
      <c r="G28" s="107"/>
    </row>
    <row r="29" spans="1:7" ht="50.1" customHeight="1" x14ac:dyDescent="0.3">
      <c r="A29" s="12"/>
      <c r="B29" s="106"/>
      <c r="C29" s="106"/>
      <c r="D29" s="106"/>
      <c r="E29" s="106"/>
      <c r="F29" s="107"/>
      <c r="G29" s="107"/>
    </row>
    <row r="30" spans="1:7" ht="50.1" customHeight="1" x14ac:dyDescent="0.3">
      <c r="A30" s="12"/>
      <c r="B30" s="106"/>
      <c r="C30" s="106"/>
      <c r="D30" s="106"/>
      <c r="E30" s="106"/>
      <c r="F30" s="107"/>
      <c r="G30" s="107"/>
    </row>
    <row r="31" spans="1:7" ht="50.1" customHeight="1" x14ac:dyDescent="0.3">
      <c r="A31" s="12"/>
      <c r="B31" s="106"/>
      <c r="C31" s="106"/>
      <c r="D31" s="106"/>
      <c r="E31" s="106"/>
      <c r="F31" s="107"/>
      <c r="G31" s="107"/>
    </row>
    <row r="32" spans="1:7" ht="50.1" customHeight="1" x14ac:dyDescent="0.3">
      <c r="A32" s="12"/>
      <c r="B32" s="106"/>
      <c r="C32" s="106"/>
      <c r="D32" s="106"/>
      <c r="E32" s="106"/>
      <c r="F32" s="107"/>
      <c r="G32" s="107"/>
    </row>
    <row r="33" spans="1:7" ht="50.1" customHeight="1" x14ac:dyDescent="0.3">
      <c r="A33" s="12"/>
      <c r="B33" s="106"/>
      <c r="C33" s="106"/>
      <c r="D33" s="106"/>
      <c r="E33" s="106"/>
      <c r="F33" s="107"/>
      <c r="G33" s="107"/>
    </row>
    <row r="34" spans="1:7" ht="50.1" customHeight="1" x14ac:dyDescent="0.3">
      <c r="A34" s="12"/>
      <c r="B34" s="106"/>
      <c r="C34" s="106"/>
      <c r="D34" s="106"/>
      <c r="E34" s="106"/>
      <c r="F34" s="107"/>
      <c r="G34" s="107"/>
    </row>
    <row r="35" spans="1:7" ht="50.1" customHeight="1" x14ac:dyDescent="0.3">
      <c r="A35" s="12"/>
      <c r="B35" s="106"/>
      <c r="C35" s="106"/>
      <c r="D35" s="106"/>
      <c r="E35" s="106"/>
      <c r="F35" s="107"/>
      <c r="G35" s="107"/>
    </row>
    <row r="36" spans="1:7" ht="50.1" customHeight="1" x14ac:dyDescent="0.3">
      <c r="A36" s="12"/>
      <c r="B36" s="106"/>
      <c r="C36" s="106"/>
      <c r="D36" s="106"/>
      <c r="E36" s="106"/>
      <c r="F36" s="106"/>
      <c r="G36" s="106"/>
    </row>
    <row r="37" spans="1:7" ht="50.1" customHeight="1" x14ac:dyDescent="0.3">
      <c r="A37" s="12"/>
      <c r="B37" s="106"/>
      <c r="C37" s="106"/>
      <c r="D37" s="106"/>
      <c r="E37" s="106"/>
      <c r="F37" s="107"/>
      <c r="G37" s="107"/>
    </row>
    <row r="38" spans="1:7" ht="50.1" customHeight="1" x14ac:dyDescent="0.3">
      <c r="A38" s="12"/>
      <c r="B38" s="106"/>
      <c r="C38" s="106"/>
      <c r="D38" s="106"/>
      <c r="E38" s="106"/>
      <c r="F38" s="106"/>
      <c r="G38" s="106"/>
    </row>
    <row r="39" spans="1:7" ht="50.1" customHeight="1" x14ac:dyDescent="0.3">
      <c r="A39" s="12"/>
      <c r="B39" s="106"/>
      <c r="C39" s="106"/>
      <c r="D39" s="106"/>
      <c r="E39" s="106"/>
      <c r="F39" s="107"/>
      <c r="G39" s="107"/>
    </row>
    <row r="40" spans="1:7" ht="50.1" customHeight="1" x14ac:dyDescent="0.3">
      <c r="A40" s="12"/>
      <c r="B40" s="106"/>
      <c r="C40" s="106"/>
      <c r="D40" s="106"/>
      <c r="E40" s="106"/>
      <c r="F40" s="106"/>
      <c r="G40" s="106"/>
    </row>
    <row r="41" spans="1:7" ht="50.1" customHeight="1" x14ac:dyDescent="0.3">
      <c r="A41" s="12"/>
      <c r="B41" s="106"/>
      <c r="C41" s="106"/>
      <c r="D41" s="106"/>
      <c r="E41" s="106"/>
      <c r="F41" s="107"/>
      <c r="G41" s="107"/>
    </row>
    <row r="42" spans="1:7" ht="50.1" customHeight="1" x14ac:dyDescent="0.3">
      <c r="A42" s="12"/>
      <c r="B42" s="106"/>
      <c r="C42" s="106"/>
      <c r="D42" s="106"/>
      <c r="E42" s="106"/>
      <c r="F42" s="107"/>
      <c r="G42" s="107"/>
    </row>
    <row r="43" spans="1:7" ht="50.1" customHeight="1" x14ac:dyDescent="0.3">
      <c r="A43" s="12"/>
      <c r="B43" s="106"/>
      <c r="C43" s="106"/>
      <c r="D43" s="106"/>
      <c r="E43" s="106"/>
      <c r="F43" s="107"/>
      <c r="G43" s="107"/>
    </row>
    <row r="44" spans="1:7" ht="50.1" customHeight="1" x14ac:dyDescent="0.3">
      <c r="A44" s="13"/>
      <c r="B44" s="106"/>
      <c r="C44" s="106"/>
      <c r="D44" s="106"/>
      <c r="E44" s="106"/>
      <c r="F44" s="106"/>
      <c r="G44" s="106"/>
    </row>
    <row r="45" spans="1:7" ht="50.1" customHeight="1" x14ac:dyDescent="0.3">
      <c r="A45" s="13"/>
      <c r="B45" s="106"/>
      <c r="C45" s="106"/>
      <c r="D45" s="106"/>
      <c r="E45" s="106"/>
      <c r="F45" s="106"/>
      <c r="G45" s="106"/>
    </row>
    <row r="46" spans="1:7" ht="50.1" customHeight="1" x14ac:dyDescent="0.3">
      <c r="A46" s="12"/>
      <c r="B46" s="106"/>
      <c r="C46" s="106"/>
      <c r="D46" s="106"/>
      <c r="E46" s="106"/>
      <c r="F46" s="106"/>
      <c r="G46" s="106"/>
    </row>
    <row r="47" spans="1:7" ht="50.1" customHeight="1" x14ac:dyDescent="0.3">
      <c r="A47" s="12"/>
      <c r="B47" s="106"/>
      <c r="C47" s="106"/>
      <c r="D47" s="106"/>
      <c r="E47" s="106"/>
      <c r="F47" s="107"/>
      <c r="G47" s="107"/>
    </row>
    <row r="48" spans="1:7" ht="50.1" customHeight="1" x14ac:dyDescent="0.3">
      <c r="A48" s="12"/>
      <c r="B48" s="106"/>
      <c r="C48" s="106"/>
      <c r="D48" s="106"/>
      <c r="E48" s="106"/>
      <c r="F48" s="107"/>
      <c r="G48" s="107"/>
    </row>
    <row r="49" spans="1:7" ht="50.1" customHeight="1" x14ac:dyDescent="0.3">
      <c r="A49" s="12"/>
      <c r="B49" s="106"/>
      <c r="C49" s="106"/>
      <c r="D49" s="106"/>
      <c r="E49" s="106"/>
      <c r="F49" s="107"/>
      <c r="G49" s="107"/>
    </row>
    <row r="50" spans="1:7" ht="50.1" customHeight="1" x14ac:dyDescent="0.3">
      <c r="A50" s="12"/>
      <c r="B50" s="106"/>
      <c r="C50" s="106"/>
      <c r="D50" s="106"/>
      <c r="E50" s="106"/>
      <c r="F50" s="107"/>
      <c r="G50" s="107"/>
    </row>
    <row r="51" spans="1:7" ht="50.1" customHeight="1" x14ac:dyDescent="0.3">
      <c r="A51" s="12"/>
      <c r="B51" s="106"/>
      <c r="C51" s="106"/>
      <c r="D51" s="106"/>
      <c r="E51" s="106"/>
      <c r="F51" s="107"/>
      <c r="G51" s="107"/>
    </row>
    <row r="52" spans="1:7" ht="50.1" customHeight="1" x14ac:dyDescent="0.3">
      <c r="A52" s="12"/>
      <c r="B52" s="106"/>
      <c r="C52" s="106"/>
      <c r="D52" s="106"/>
      <c r="E52" s="106"/>
      <c r="F52" s="107"/>
      <c r="G52" s="107"/>
    </row>
    <row r="53" spans="1:7" ht="50.1" customHeight="1" x14ac:dyDescent="0.3">
      <c r="A53" s="12"/>
      <c r="B53" s="106"/>
      <c r="C53" s="106"/>
      <c r="D53" s="106"/>
      <c r="E53" s="106"/>
      <c r="F53" s="107"/>
      <c r="G53" s="107"/>
    </row>
    <row r="54" spans="1:7" ht="50.1" customHeight="1" x14ac:dyDescent="0.3">
      <c r="A54" s="12"/>
      <c r="B54" s="106"/>
      <c r="C54" s="106"/>
      <c r="D54" s="106"/>
      <c r="E54" s="106"/>
      <c r="F54" s="106"/>
      <c r="G54" s="106"/>
    </row>
    <row r="55" spans="1:7" ht="50.1" customHeight="1" x14ac:dyDescent="0.3">
      <c r="A55" s="12"/>
      <c r="B55" s="106"/>
      <c r="C55" s="106"/>
      <c r="D55" s="106"/>
      <c r="E55" s="106"/>
      <c r="F55" s="107"/>
      <c r="G55" s="107"/>
    </row>
    <row r="56" spans="1:7" ht="50.1" customHeight="1" x14ac:dyDescent="0.3">
      <c r="A56" s="12"/>
      <c r="B56" s="106"/>
      <c r="C56" s="106"/>
      <c r="D56" s="106"/>
      <c r="E56" s="106"/>
      <c r="F56" s="107"/>
      <c r="G56" s="107"/>
    </row>
    <row r="57" spans="1:7" ht="50.1" customHeight="1" x14ac:dyDescent="0.3">
      <c r="A57" s="12"/>
      <c r="B57" s="106"/>
      <c r="C57" s="106"/>
      <c r="D57" s="106"/>
      <c r="E57" s="106"/>
      <c r="F57" s="107"/>
      <c r="G57" s="107"/>
    </row>
    <row r="58" spans="1:7" ht="50.1" customHeight="1" x14ac:dyDescent="0.3">
      <c r="A58" s="12"/>
      <c r="B58" s="106"/>
      <c r="C58" s="106"/>
      <c r="D58" s="106"/>
      <c r="E58" s="106"/>
      <c r="F58" s="107"/>
      <c r="G58" s="107"/>
    </row>
    <row r="59" spans="1:7" ht="50.1" customHeight="1" x14ac:dyDescent="0.3">
      <c r="A59" s="12"/>
      <c r="B59" s="106"/>
      <c r="C59" s="106"/>
      <c r="D59" s="106"/>
      <c r="E59" s="106"/>
      <c r="F59" s="107"/>
      <c r="G59" s="107"/>
    </row>
    <row r="60" spans="1:7" ht="50.1" customHeight="1" x14ac:dyDescent="0.3">
      <c r="A60" s="12"/>
      <c r="B60" s="106"/>
      <c r="C60" s="106"/>
      <c r="D60" s="106"/>
      <c r="E60" s="106"/>
      <c r="F60" s="107"/>
      <c r="G60" s="107"/>
    </row>
    <row r="61" spans="1:7" ht="50.1" customHeight="1" x14ac:dyDescent="0.3">
      <c r="A61" s="12"/>
      <c r="B61" s="106"/>
      <c r="C61" s="106"/>
      <c r="D61" s="106"/>
      <c r="E61" s="106"/>
      <c r="F61" s="107"/>
      <c r="G61" s="107"/>
    </row>
    <row r="62" spans="1:7" ht="50.1" customHeight="1" x14ac:dyDescent="0.3">
      <c r="A62" s="12"/>
      <c r="B62" s="106"/>
      <c r="C62" s="106"/>
      <c r="D62" s="106"/>
      <c r="E62" s="106"/>
      <c r="F62" s="107"/>
      <c r="G62" s="107"/>
    </row>
    <row r="63" spans="1:7" ht="50.1" customHeight="1" x14ac:dyDescent="0.3">
      <c r="A63" s="12"/>
      <c r="B63" s="106"/>
      <c r="C63" s="106"/>
      <c r="D63" s="106"/>
      <c r="E63" s="106"/>
      <c r="F63" s="107"/>
      <c r="G63" s="107"/>
    </row>
    <row r="64" spans="1:7" ht="50.1" customHeight="1" x14ac:dyDescent="0.3">
      <c r="A64" s="12"/>
      <c r="B64" s="106"/>
      <c r="C64" s="106"/>
      <c r="D64" s="106"/>
      <c r="E64" s="106"/>
      <c r="F64" s="107"/>
      <c r="G64" s="107"/>
    </row>
    <row r="65" spans="1:7" ht="50.1" customHeight="1" x14ac:dyDescent="0.3">
      <c r="A65" s="12"/>
      <c r="B65" s="106"/>
      <c r="C65" s="106"/>
      <c r="D65" s="106"/>
      <c r="E65" s="106"/>
      <c r="F65" s="106"/>
      <c r="G65" s="106"/>
    </row>
    <row r="66" spans="1:7" ht="50.1" customHeight="1" x14ac:dyDescent="0.3">
      <c r="A66" s="12"/>
      <c r="B66" s="106"/>
      <c r="C66" s="106"/>
      <c r="D66" s="106"/>
      <c r="E66" s="106"/>
      <c r="F66" s="107"/>
      <c r="G66" s="107"/>
    </row>
    <row r="67" spans="1:7" ht="50.1" customHeight="1" x14ac:dyDescent="0.3">
      <c r="A67" s="12"/>
      <c r="B67" s="106"/>
      <c r="C67" s="106"/>
      <c r="D67" s="106"/>
      <c r="E67" s="106"/>
      <c r="F67" s="107"/>
      <c r="G67" s="107"/>
    </row>
    <row r="68" spans="1:7" ht="50.1" customHeight="1" x14ac:dyDescent="0.3">
      <c r="A68" s="12"/>
      <c r="B68" s="106"/>
      <c r="C68" s="106"/>
      <c r="D68" s="106"/>
      <c r="E68" s="106"/>
      <c r="F68" s="107"/>
      <c r="G68" s="107"/>
    </row>
    <row r="69" spans="1:7" ht="50.1" customHeight="1" x14ac:dyDescent="0.3">
      <c r="A69" s="13"/>
      <c r="B69" s="106"/>
      <c r="C69" s="106"/>
      <c r="D69" s="106"/>
      <c r="E69" s="106"/>
      <c r="F69" s="106"/>
      <c r="G69" s="106"/>
    </row>
    <row r="70" spans="1:7" ht="50.1" customHeight="1" x14ac:dyDescent="0.3">
      <c r="A70" s="12"/>
      <c r="B70" s="106"/>
      <c r="C70" s="106"/>
      <c r="D70" s="106"/>
      <c r="E70" s="106"/>
      <c r="F70" s="106"/>
      <c r="G70" s="106"/>
    </row>
    <row r="71" spans="1:7" ht="50.1" customHeight="1" x14ac:dyDescent="0.3">
      <c r="A71" s="12"/>
      <c r="B71" s="106"/>
      <c r="C71" s="106"/>
      <c r="D71" s="106"/>
      <c r="E71" s="106"/>
      <c r="F71" s="107"/>
      <c r="G71" s="107"/>
    </row>
    <row r="72" spans="1:7" ht="50.1" customHeight="1" x14ac:dyDescent="0.3">
      <c r="A72" s="12"/>
      <c r="B72" s="106"/>
      <c r="C72" s="106"/>
      <c r="D72" s="106"/>
      <c r="E72" s="106"/>
      <c r="F72" s="106"/>
      <c r="G72" s="107"/>
    </row>
    <row r="73" spans="1:7" ht="50.1" customHeight="1" x14ac:dyDescent="0.3">
      <c r="A73" s="12"/>
      <c r="B73" s="106"/>
      <c r="C73" s="106"/>
      <c r="D73" s="106"/>
      <c r="E73" s="106"/>
      <c r="F73" s="107"/>
      <c r="G73" s="107"/>
    </row>
    <row r="74" spans="1:7" ht="50.1" customHeight="1" x14ac:dyDescent="0.3">
      <c r="A74" s="12"/>
      <c r="B74" s="106"/>
      <c r="C74" s="106"/>
      <c r="D74" s="106"/>
      <c r="E74" s="106"/>
      <c r="F74" s="107"/>
      <c r="G74" s="107"/>
    </row>
    <row r="75" spans="1:7" ht="50.1" customHeight="1" x14ac:dyDescent="0.3">
      <c r="A75" s="12"/>
      <c r="B75" s="106"/>
      <c r="C75" s="106"/>
      <c r="D75" s="106"/>
      <c r="E75" s="106"/>
      <c r="F75" s="107"/>
      <c r="G75" s="107"/>
    </row>
    <row r="76" spans="1:7" ht="50.1" customHeight="1" x14ac:dyDescent="0.3">
      <c r="A76" s="12"/>
      <c r="B76" s="106"/>
      <c r="C76" s="106"/>
      <c r="D76" s="106"/>
      <c r="E76" s="106"/>
      <c r="F76" s="106"/>
      <c r="G76" s="106"/>
    </row>
    <row r="77" spans="1:7" ht="50.1" customHeight="1" x14ac:dyDescent="0.3">
      <c r="A77" s="12"/>
      <c r="B77" s="106"/>
      <c r="C77" s="106"/>
      <c r="D77" s="106"/>
      <c r="E77" s="106"/>
      <c r="F77" s="107"/>
      <c r="G77" s="107"/>
    </row>
    <row r="78" spans="1:7" ht="50.1" customHeight="1" x14ac:dyDescent="0.3">
      <c r="A78" s="12"/>
      <c r="B78" s="106"/>
      <c r="C78" s="106"/>
      <c r="D78" s="106"/>
      <c r="E78" s="106"/>
      <c r="F78" s="107"/>
      <c r="G78" s="107"/>
    </row>
    <row r="79" spans="1:7" ht="50.1" customHeight="1" x14ac:dyDescent="0.3">
      <c r="A79" s="12"/>
      <c r="B79" s="106"/>
      <c r="C79" s="106"/>
      <c r="D79" s="106"/>
      <c r="E79" s="106"/>
      <c r="F79" s="107"/>
      <c r="G79" s="107"/>
    </row>
    <row r="80" spans="1:7" ht="50.1" customHeight="1" x14ac:dyDescent="0.3">
      <c r="A80" s="12"/>
      <c r="B80" s="106"/>
      <c r="C80" s="106"/>
      <c r="D80" s="106"/>
      <c r="E80" s="106"/>
      <c r="F80" s="106"/>
      <c r="G80" s="106"/>
    </row>
    <row r="81" spans="1:7" ht="50.1" customHeight="1" x14ac:dyDescent="0.3">
      <c r="A81" s="12"/>
      <c r="B81" s="106"/>
      <c r="C81" s="106"/>
      <c r="D81" s="106"/>
      <c r="E81" s="106"/>
      <c r="F81" s="107"/>
      <c r="G81" s="107"/>
    </row>
    <row r="82" spans="1:7" ht="50.1" customHeight="1" x14ac:dyDescent="0.3">
      <c r="A82" s="12"/>
      <c r="B82" s="106"/>
      <c r="C82" s="106"/>
      <c r="D82" s="106"/>
      <c r="E82" s="106"/>
      <c r="F82" s="106"/>
      <c r="G82" s="106"/>
    </row>
    <row r="83" spans="1:7" ht="50.1" customHeight="1" x14ac:dyDescent="0.3">
      <c r="A83" s="12"/>
      <c r="B83" s="106"/>
      <c r="C83" s="106"/>
      <c r="D83" s="106"/>
      <c r="E83" s="106"/>
      <c r="F83" s="106"/>
      <c r="G83" s="106"/>
    </row>
    <row r="84" spans="1:7" ht="50.1" customHeight="1" x14ac:dyDescent="0.3">
      <c r="A84" s="12"/>
      <c r="B84" s="106"/>
      <c r="C84" s="106"/>
      <c r="D84" s="106"/>
      <c r="E84" s="106"/>
      <c r="F84" s="106"/>
      <c r="G84" s="106"/>
    </row>
    <row r="85" spans="1:7" ht="50.1" customHeight="1" x14ac:dyDescent="0.3">
      <c r="A85" s="12"/>
      <c r="B85" s="106"/>
      <c r="C85" s="106"/>
      <c r="D85" s="106"/>
      <c r="E85" s="106"/>
      <c r="F85" s="107"/>
      <c r="G85" s="107"/>
    </row>
    <row r="86" spans="1:7" ht="50.1" customHeight="1" x14ac:dyDescent="0.3">
      <c r="A86" s="12"/>
      <c r="B86" s="106"/>
      <c r="C86" s="106"/>
      <c r="D86" s="106"/>
      <c r="E86" s="106"/>
      <c r="F86" s="107"/>
      <c r="G86" s="107"/>
    </row>
    <row r="87" spans="1:7" ht="50.1" customHeight="1" x14ac:dyDescent="0.3">
      <c r="A87" s="12"/>
      <c r="B87" s="106"/>
      <c r="C87" s="106"/>
      <c r="D87" s="106"/>
      <c r="E87" s="106"/>
      <c r="F87" s="107"/>
      <c r="G87" s="107"/>
    </row>
    <row r="88" spans="1:7" ht="50.1" customHeight="1" x14ac:dyDescent="0.3">
      <c r="A88" s="12"/>
      <c r="B88" s="106"/>
      <c r="C88" s="106"/>
      <c r="D88" s="106"/>
      <c r="E88" s="106"/>
      <c r="F88" s="107"/>
      <c r="G88" s="107"/>
    </row>
    <row r="89" spans="1:7" ht="50.1" customHeight="1" x14ac:dyDescent="0.3">
      <c r="A89" s="12"/>
      <c r="B89" s="106"/>
      <c r="C89" s="106"/>
      <c r="D89" s="106"/>
      <c r="E89" s="106"/>
      <c r="F89" s="107"/>
      <c r="G89" s="107"/>
    </row>
    <row r="90" spans="1:7" ht="50.1" customHeight="1" x14ac:dyDescent="0.3">
      <c r="A90" s="12"/>
      <c r="B90" s="106"/>
      <c r="C90" s="106"/>
      <c r="D90" s="106"/>
      <c r="E90" s="106"/>
      <c r="F90" s="107"/>
      <c r="G90" s="107"/>
    </row>
    <row r="91" spans="1:7" ht="50.1" customHeight="1" x14ac:dyDescent="0.3">
      <c r="A91" s="12"/>
      <c r="B91" s="106"/>
      <c r="C91" s="106"/>
      <c r="D91" s="106"/>
      <c r="E91" s="106"/>
      <c r="F91" s="106"/>
      <c r="G91" s="106"/>
    </row>
    <row r="92" spans="1:7" ht="50.1" customHeight="1" x14ac:dyDescent="0.3">
      <c r="A92" s="12"/>
      <c r="B92" s="106"/>
      <c r="C92" s="106"/>
      <c r="D92" s="106"/>
      <c r="E92" s="106"/>
      <c r="F92" s="107"/>
      <c r="G92" s="107"/>
    </row>
    <row r="93" spans="1:7" ht="50.1" customHeight="1" x14ac:dyDescent="0.3">
      <c r="A93" s="12"/>
      <c r="B93" s="106"/>
      <c r="C93" s="106"/>
      <c r="D93" s="106"/>
      <c r="E93" s="106"/>
      <c r="F93" s="107"/>
      <c r="G93" s="107"/>
    </row>
    <row r="94" spans="1:7" ht="50.1" customHeight="1" x14ac:dyDescent="0.3">
      <c r="A94" s="12"/>
      <c r="B94" s="106"/>
      <c r="C94" s="106"/>
      <c r="D94" s="106"/>
      <c r="E94" s="106"/>
      <c r="F94" s="107"/>
      <c r="G94" s="107"/>
    </row>
    <row r="95" spans="1:7" ht="50.1" customHeight="1" x14ac:dyDescent="0.3">
      <c r="A95" s="12"/>
      <c r="B95" s="106"/>
      <c r="C95" s="106"/>
      <c r="D95" s="106"/>
      <c r="E95" s="106"/>
      <c r="F95" s="106"/>
      <c r="G95" s="106"/>
    </row>
    <row r="96" spans="1:7" ht="50.1" customHeight="1" x14ac:dyDescent="0.3">
      <c r="A96" s="12"/>
      <c r="B96" s="106"/>
      <c r="C96" s="106"/>
      <c r="D96" s="106"/>
      <c r="E96" s="106"/>
      <c r="F96" s="107"/>
      <c r="G96" s="107"/>
    </row>
    <row r="97" spans="1:7" ht="50.1" customHeight="1" x14ac:dyDescent="0.3">
      <c r="A97" s="12"/>
      <c r="B97" s="106"/>
      <c r="C97" s="106"/>
      <c r="D97" s="106"/>
      <c r="E97" s="106"/>
      <c r="F97" s="107"/>
      <c r="G97" s="107"/>
    </row>
    <row r="98" spans="1:7" ht="50.1" customHeight="1" x14ac:dyDescent="0.3">
      <c r="A98" s="12"/>
      <c r="B98" s="106"/>
      <c r="C98" s="106"/>
      <c r="D98" s="106"/>
      <c r="E98" s="106"/>
      <c r="F98" s="106"/>
      <c r="G98" s="106"/>
    </row>
    <row r="99" spans="1:7" ht="50.1" customHeight="1" x14ac:dyDescent="0.3">
      <c r="A99" s="12"/>
      <c r="B99" s="106"/>
      <c r="C99" s="106"/>
      <c r="D99" s="106"/>
      <c r="E99" s="106"/>
      <c r="F99" s="106"/>
      <c r="G99" s="106"/>
    </row>
    <row r="100" spans="1:7" ht="50.1" customHeight="1" x14ac:dyDescent="0.3">
      <c r="A100" s="12"/>
      <c r="B100" s="106"/>
      <c r="C100" s="106"/>
      <c r="D100" s="106"/>
      <c r="E100" s="106"/>
      <c r="F100" s="107"/>
      <c r="G100" s="107"/>
    </row>
    <row r="101" spans="1:7" ht="50.1" customHeight="1" x14ac:dyDescent="0.3">
      <c r="A101" s="12"/>
      <c r="B101" s="106"/>
      <c r="C101" s="106"/>
      <c r="D101" s="106"/>
      <c r="E101" s="106"/>
      <c r="F101" s="107"/>
      <c r="G101" s="107"/>
    </row>
    <row r="102" spans="1:7" ht="50.1" customHeight="1" x14ac:dyDescent="0.3">
      <c r="A102" s="12"/>
      <c r="B102" s="106"/>
      <c r="C102" s="106"/>
      <c r="D102" s="106"/>
      <c r="E102" s="106"/>
      <c r="F102" s="107"/>
      <c r="G102" s="107"/>
    </row>
    <row r="103" spans="1:7" ht="50.1" customHeight="1" x14ac:dyDescent="0.3">
      <c r="A103" s="12"/>
      <c r="B103" s="106"/>
      <c r="C103" s="106"/>
      <c r="D103" s="106"/>
      <c r="E103" s="106"/>
      <c r="F103" s="106"/>
      <c r="G103" s="106"/>
    </row>
    <row r="104" spans="1:7" ht="50.1" customHeight="1" x14ac:dyDescent="0.3">
      <c r="A104" s="12"/>
      <c r="B104" s="106"/>
      <c r="C104" s="106"/>
      <c r="D104" s="106"/>
      <c r="E104" s="106"/>
      <c r="F104" s="107"/>
      <c r="G104" s="107"/>
    </row>
    <row r="105" spans="1:7" ht="50.1" customHeight="1" x14ac:dyDescent="0.3">
      <c r="A105" s="12"/>
      <c r="B105" s="106"/>
      <c r="C105" s="106"/>
      <c r="D105" s="106"/>
      <c r="E105" s="106"/>
      <c r="F105" s="107"/>
      <c r="G105" s="107"/>
    </row>
    <row r="106" spans="1:7" ht="50.1" customHeight="1" x14ac:dyDescent="0.3">
      <c r="A106" s="12"/>
      <c r="B106" s="106"/>
      <c r="C106" s="106"/>
      <c r="D106" s="106"/>
      <c r="E106" s="106"/>
      <c r="F106" s="106"/>
      <c r="G106" s="106"/>
    </row>
    <row r="107" spans="1:7" ht="50.1" customHeight="1" x14ac:dyDescent="0.3">
      <c r="A107" s="12"/>
      <c r="B107" s="106"/>
      <c r="C107" s="106"/>
      <c r="D107" s="106"/>
      <c r="E107" s="106"/>
      <c r="F107" s="107"/>
      <c r="G107" s="107"/>
    </row>
    <row r="108" spans="1:7" ht="50.1" customHeight="1" x14ac:dyDescent="0.3">
      <c r="A108" s="12"/>
      <c r="B108" s="106"/>
      <c r="C108" s="106"/>
      <c r="D108" s="106"/>
      <c r="E108" s="106"/>
      <c r="F108" s="107"/>
      <c r="G108" s="107"/>
    </row>
    <row r="109" spans="1:7" ht="50.1" customHeight="1" x14ac:dyDescent="0.3">
      <c r="A109" s="12"/>
      <c r="B109" s="106"/>
      <c r="C109" s="106"/>
      <c r="D109" s="106"/>
      <c r="E109" s="106"/>
      <c r="F109" s="107"/>
      <c r="G109" s="107"/>
    </row>
    <row r="110" spans="1:7" ht="50.1" customHeight="1" x14ac:dyDescent="0.3">
      <c r="A110" s="12"/>
      <c r="B110" s="106"/>
      <c r="C110" s="106"/>
      <c r="D110" s="106"/>
      <c r="E110" s="106"/>
      <c r="F110" s="107"/>
      <c r="G110" s="107"/>
    </row>
    <row r="111" spans="1:7" ht="50.1" customHeight="1" x14ac:dyDescent="0.3">
      <c r="A111" s="12"/>
      <c r="B111" s="106"/>
      <c r="C111" s="106"/>
      <c r="D111" s="106"/>
      <c r="E111" s="106"/>
      <c r="F111" s="107"/>
      <c r="G111" s="107"/>
    </row>
    <row r="112" spans="1:7" ht="50.1" customHeight="1" x14ac:dyDescent="0.3">
      <c r="A112" s="12"/>
      <c r="B112" s="106"/>
      <c r="C112" s="106"/>
      <c r="D112" s="106"/>
      <c r="E112" s="106"/>
      <c r="F112" s="107"/>
      <c r="G112" s="107"/>
    </row>
    <row r="113" spans="1:7" ht="50.1" customHeight="1" x14ac:dyDescent="0.3">
      <c r="A113" s="12"/>
      <c r="B113" s="106"/>
      <c r="C113" s="106"/>
      <c r="D113" s="106"/>
      <c r="E113" s="106"/>
      <c r="F113" s="106"/>
      <c r="G113" s="106"/>
    </row>
    <row r="114" spans="1:7" ht="50.1" customHeight="1" x14ac:dyDescent="0.3">
      <c r="A114" s="12"/>
      <c r="B114" s="106"/>
      <c r="C114" s="106"/>
      <c r="D114" s="106"/>
      <c r="E114" s="106"/>
      <c r="F114" s="107"/>
      <c r="G114" s="107"/>
    </row>
    <row r="115" spans="1:7" ht="50.1" customHeight="1" x14ac:dyDescent="0.3">
      <c r="A115" s="12"/>
      <c r="B115" s="106"/>
      <c r="C115" s="106"/>
      <c r="D115" s="106"/>
      <c r="E115" s="106"/>
      <c r="F115" s="106"/>
      <c r="G115" s="106"/>
    </row>
    <row r="116" spans="1:7" ht="50.1" customHeight="1" x14ac:dyDescent="0.3">
      <c r="A116" s="12"/>
      <c r="B116" s="106"/>
      <c r="C116" s="106"/>
      <c r="D116" s="106"/>
      <c r="E116" s="106"/>
      <c r="F116" s="107"/>
      <c r="G116" s="107"/>
    </row>
    <row r="117" spans="1:7" ht="50.1" customHeight="1" x14ac:dyDescent="0.3">
      <c r="A117" s="12"/>
      <c r="B117" s="106"/>
      <c r="C117" s="106"/>
      <c r="D117" s="106"/>
      <c r="E117" s="106"/>
      <c r="F117" s="106"/>
      <c r="G117" s="106"/>
    </row>
    <row r="118" spans="1:7" ht="50.1" customHeight="1" x14ac:dyDescent="0.3">
      <c r="A118" s="12"/>
      <c r="B118" s="106"/>
      <c r="C118" s="106"/>
      <c r="D118" s="106"/>
      <c r="E118" s="106"/>
      <c r="F118" s="107"/>
      <c r="G118" s="107"/>
    </row>
    <row r="119" spans="1:7" ht="50.1" customHeight="1" x14ac:dyDescent="0.3">
      <c r="A119" s="12"/>
      <c r="B119" s="106"/>
      <c r="C119" s="106"/>
      <c r="D119" s="106"/>
      <c r="E119" s="106"/>
      <c r="F119" s="107"/>
      <c r="G119" s="107"/>
    </row>
    <row r="120" spans="1:7" ht="50.1" customHeight="1" x14ac:dyDescent="0.3">
      <c r="A120" s="12"/>
      <c r="B120" s="106"/>
      <c r="C120" s="106"/>
      <c r="D120" s="106"/>
      <c r="E120" s="106"/>
      <c r="F120" s="107"/>
      <c r="G120" s="107"/>
    </row>
    <row r="121" spans="1:7" ht="50.1" customHeight="1" x14ac:dyDescent="0.3">
      <c r="A121" s="12"/>
      <c r="B121" s="106"/>
      <c r="C121" s="106"/>
      <c r="D121" s="106"/>
      <c r="E121" s="106"/>
      <c r="F121" s="106"/>
      <c r="G121" s="106"/>
    </row>
    <row r="122" spans="1:7" ht="50.1" customHeight="1" x14ac:dyDescent="0.3">
      <c r="A122" s="12"/>
      <c r="B122" s="106"/>
      <c r="C122" s="106"/>
      <c r="D122" s="106"/>
      <c r="E122" s="106"/>
      <c r="F122" s="107"/>
      <c r="G122" s="107"/>
    </row>
    <row r="123" spans="1:7" ht="50.1" customHeight="1" x14ac:dyDescent="0.3">
      <c r="A123" s="12"/>
      <c r="B123" s="106"/>
      <c r="C123" s="106"/>
      <c r="D123" s="106"/>
      <c r="E123" s="106"/>
      <c r="F123" s="107"/>
      <c r="G123" s="107"/>
    </row>
    <row r="124" spans="1:7" ht="50.1" customHeight="1" x14ac:dyDescent="0.3">
      <c r="A124" s="12"/>
      <c r="B124" s="106"/>
      <c r="C124" s="106"/>
      <c r="D124" s="106"/>
      <c r="E124" s="106"/>
      <c r="F124" s="107"/>
      <c r="G124" s="107"/>
    </row>
    <row r="125" spans="1:7" ht="50.1" customHeight="1" x14ac:dyDescent="0.3">
      <c r="A125" s="12"/>
      <c r="B125" s="106"/>
      <c r="C125" s="106"/>
      <c r="D125" s="106"/>
      <c r="E125" s="106"/>
      <c r="F125" s="107"/>
      <c r="G125" s="107"/>
    </row>
    <row r="126" spans="1:7" ht="50.1" customHeight="1" x14ac:dyDescent="0.3">
      <c r="A126" s="12"/>
      <c r="B126" s="106"/>
      <c r="C126" s="106"/>
      <c r="D126" s="106"/>
      <c r="E126" s="106"/>
      <c r="F126" s="107"/>
      <c r="G126" s="107"/>
    </row>
  </sheetData>
  <autoFilter ref="A1:K5" xr:uid="{BEE0A614-D019-4AEB-966B-FAD9FBCEF3DF}"/>
  <mergeCells count="3">
    <mergeCell ref="A3:A5"/>
    <mergeCell ref="H4:H5"/>
    <mergeCell ref="K4:K5"/>
  </mergeCells>
  <conditionalFormatting sqref="I1 I3:I1048576">
    <cfRule type="containsText" dxfId="54" priority="14" operator="containsText" text="Planned">
      <formula>NOT(ISERROR(SEARCH("Planned",I1)))</formula>
    </cfRule>
  </conditionalFormatting>
  <conditionalFormatting sqref="I1:I1048576">
    <cfRule type="cellIs" dxfId="53" priority="2" operator="equal">
      <formula>"Not Selected"</formula>
    </cfRule>
    <cfRule type="containsText" dxfId="52" priority="6" operator="containsText" text="Inherited">
      <formula>NOT(ISERROR(SEARCH("Inherited",I1)))</formula>
    </cfRule>
    <cfRule type="containsText" dxfId="51" priority="8" operator="containsText" text="Implemented">
      <formula>NOT(ISERROR(SEARCH("Implemented",I1)))</formula>
    </cfRule>
  </conditionalFormatting>
  <conditionalFormatting sqref="I2">
    <cfRule type="containsText" dxfId="50" priority="5" operator="containsText" text="Not Applicable">
      <formula>NOT(ISERROR(SEARCH("Not Applicable",I2)))</formula>
    </cfRule>
    <cfRule type="containsText" dxfId="49" priority="7" operator="containsText" text="Planned">
      <formula>NOT(ISERROR(SEARCH("Planned",I2)))</formula>
    </cfRule>
  </conditionalFormatting>
  <conditionalFormatting sqref="I1:J1 I3:J1048576">
    <cfRule type="containsText" dxfId="48" priority="15" operator="containsText" text="Not Applicable">
      <formula>NOT(ISERROR(SEARCH("Not Applicable",I1)))</formula>
    </cfRule>
  </conditionalFormatting>
  <conditionalFormatting sqref="J1 J3:J1048576">
    <cfRule type="containsText" dxfId="47" priority="9" operator="containsText" text="Partially Satisfied">
      <formula>NOT(ISERROR(SEARCH("Partially Satisfied",J1)))</formula>
    </cfRule>
    <cfRule type="containsText" dxfId="46" priority="10" operator="containsText" text="Satisfied">
      <formula>NOT(ISERROR(SEARCH("Satisfied",J1)))</formula>
    </cfRule>
    <cfRule type="containsText" dxfId="45" priority="11" operator="containsText" text="Other Than Satisfied">
      <formula>NOT(ISERROR(SEARCH("Other Than Satisfied",J1)))</formula>
    </cfRule>
  </conditionalFormatting>
  <conditionalFormatting sqref="J1:J1048576">
    <cfRule type="cellIs" dxfId="44" priority="1" operator="equal">
      <formula>"MET"</formula>
    </cfRule>
  </conditionalFormatting>
  <conditionalFormatting sqref="J2">
    <cfRule type="containsText" dxfId="43" priority="3" operator="containsText" text="Other Than Satisfied">
      <formula>NOT(ISERROR(SEARCH("Other Than Satisfied",J2)))</formula>
    </cfRule>
    <cfRule type="containsText" dxfId="42" priority="4" operator="containsText" text="Not Applicable">
      <formula>NOT(ISERROR(SEARCH("Not Applicable",J2)))</formula>
    </cfRule>
  </conditionalFormatting>
  <dataValidations count="2">
    <dataValidation type="list" allowBlank="1" showInputMessage="1" showErrorMessage="1" sqref="I2:I5" xr:uid="{2B382EEB-8975-4339-A1FE-47D9ED514D6C}">
      <formula1>"Not Selected,Planned,Inherited,Partially Implemented,Implemented"</formula1>
    </dataValidation>
    <dataValidation type="list" allowBlank="1" showInputMessage="1" showErrorMessage="1" sqref="J2:J5" xr:uid="{74183AE7-7E34-4AE0-BA78-3D10047023E7}">
      <formula1>"MET,NOT MET"</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CA32E-BA8E-426C-AF08-AD3AF6BE69AC}">
  <sheetPr>
    <tabColor theme="4" tint="-0.499984740745262"/>
  </sheetPr>
  <dimension ref="A1:K126"/>
  <sheetViews>
    <sheetView showGridLines="0" zoomScale="70" zoomScaleNormal="70" workbookViewId="0">
      <pane ySplit="1" topLeftCell="A2" activePane="bottomLeft" state="frozen"/>
      <selection activeCell="D181" sqref="D181"/>
      <selection pane="bottomLeft" activeCell="I8" sqref="I8"/>
    </sheetView>
  </sheetViews>
  <sheetFormatPr defaultColWidth="8.6640625" defaultRowHeight="50.1" customHeight="1" x14ac:dyDescent="0.3"/>
  <cols>
    <col min="1" max="1" width="22.109375" style="76" customWidth="1"/>
    <col min="2" max="3" width="16.88671875" style="44" customWidth="1"/>
    <col min="4" max="4" width="56.44140625" style="44" customWidth="1"/>
    <col min="5" max="5" width="48.44140625" style="44" customWidth="1"/>
    <col min="6" max="6" width="57" style="44" customWidth="1"/>
    <col min="7" max="7" width="35" style="44" customWidth="1"/>
    <col min="8" max="8" width="74.44140625" style="44" customWidth="1"/>
    <col min="9" max="9" width="42.5546875" style="77" customWidth="1"/>
    <col min="10" max="10" width="42.109375" style="77" customWidth="1"/>
    <col min="11" max="11" width="42.88671875" style="44" customWidth="1"/>
    <col min="12" max="16384" width="8.6640625" style="44"/>
  </cols>
  <sheetData>
    <row r="1" spans="1:11" ht="50.1" customHeight="1" thickBot="1" x14ac:dyDescent="0.35">
      <c r="A1" s="20" t="s">
        <v>43</v>
      </c>
      <c r="B1" s="20" t="s">
        <v>42</v>
      </c>
      <c r="C1" s="20" t="s">
        <v>93</v>
      </c>
      <c r="D1" s="20" t="s">
        <v>94</v>
      </c>
      <c r="E1" s="20" t="s">
        <v>95</v>
      </c>
      <c r="F1" s="20" t="s">
        <v>96</v>
      </c>
      <c r="G1" s="20" t="s">
        <v>97</v>
      </c>
      <c r="H1" s="20" t="s">
        <v>98</v>
      </c>
      <c r="I1" s="20" t="s">
        <v>44</v>
      </c>
      <c r="J1" s="20" t="s">
        <v>45</v>
      </c>
      <c r="K1" s="20" t="s">
        <v>99</v>
      </c>
    </row>
    <row r="2" spans="1:11" ht="50.1" customHeight="1" x14ac:dyDescent="0.3">
      <c r="A2" s="312" t="s">
        <v>997</v>
      </c>
      <c r="B2" s="78" t="s">
        <v>998</v>
      </c>
      <c r="C2" s="78" t="s">
        <v>1003</v>
      </c>
      <c r="D2" s="78" t="s">
        <v>1005</v>
      </c>
      <c r="E2" s="79" t="s">
        <v>1007</v>
      </c>
      <c r="F2" s="80" t="s">
        <v>1008</v>
      </c>
      <c r="G2" s="103" t="s">
        <v>1009</v>
      </c>
      <c r="H2" s="121" t="s">
        <v>1479</v>
      </c>
      <c r="I2" s="52" t="s">
        <v>29</v>
      </c>
      <c r="J2" s="52" t="s">
        <v>111</v>
      </c>
      <c r="K2" s="209" t="s">
        <v>1297</v>
      </c>
    </row>
    <row r="3" spans="1:11" ht="50.1" customHeight="1" thickBot="1" x14ac:dyDescent="0.35">
      <c r="A3" s="314"/>
      <c r="B3" s="85" t="s">
        <v>998</v>
      </c>
      <c r="C3" s="97" t="s">
        <v>1004</v>
      </c>
      <c r="D3" s="97" t="s">
        <v>1006</v>
      </c>
      <c r="E3" s="98"/>
      <c r="F3" s="98"/>
      <c r="G3" s="98"/>
      <c r="H3" s="123" t="s">
        <v>1480</v>
      </c>
      <c r="I3" s="57" t="s">
        <v>29</v>
      </c>
      <c r="J3" s="57" t="s">
        <v>111</v>
      </c>
      <c r="K3" s="210" t="s">
        <v>1481</v>
      </c>
    </row>
    <row r="4" spans="1:11" ht="50.1" customHeight="1" x14ac:dyDescent="0.3">
      <c r="A4" s="310" t="s">
        <v>999</v>
      </c>
      <c r="B4" s="87" t="s">
        <v>1000</v>
      </c>
      <c r="C4" s="87" t="s">
        <v>1010</v>
      </c>
      <c r="D4" s="87" t="s">
        <v>1015</v>
      </c>
      <c r="E4" s="88" t="s">
        <v>1020</v>
      </c>
      <c r="F4" s="89" t="s">
        <v>1021</v>
      </c>
      <c r="G4" s="90" t="s">
        <v>1022</v>
      </c>
      <c r="H4" s="225" t="s">
        <v>1482</v>
      </c>
      <c r="I4" s="65" t="s">
        <v>29</v>
      </c>
      <c r="J4" s="65" t="s">
        <v>111</v>
      </c>
      <c r="K4" s="225" t="s">
        <v>1297</v>
      </c>
    </row>
    <row r="5" spans="1:11" ht="50.1" customHeight="1" x14ac:dyDescent="0.3">
      <c r="A5" s="310"/>
      <c r="B5" s="81" t="s">
        <v>1000</v>
      </c>
      <c r="C5" s="82" t="s">
        <v>1011</v>
      </c>
      <c r="D5" s="87" t="s">
        <v>1016</v>
      </c>
      <c r="E5" s="83"/>
      <c r="F5" s="83"/>
      <c r="G5" s="83"/>
      <c r="H5" s="319" t="s">
        <v>1483</v>
      </c>
      <c r="I5" s="48" t="s">
        <v>29</v>
      </c>
      <c r="J5" s="48" t="s">
        <v>111</v>
      </c>
      <c r="K5" s="319" t="s">
        <v>1484</v>
      </c>
    </row>
    <row r="6" spans="1:11" ht="50.1" customHeight="1" x14ac:dyDescent="0.3">
      <c r="A6" s="310"/>
      <c r="B6" s="81" t="s">
        <v>1000</v>
      </c>
      <c r="C6" s="81" t="s">
        <v>1012</v>
      </c>
      <c r="D6" s="87" t="s">
        <v>1017</v>
      </c>
      <c r="E6" s="83"/>
      <c r="F6" s="83"/>
      <c r="G6" s="83"/>
      <c r="H6" s="308"/>
      <c r="I6" s="48" t="s">
        <v>29</v>
      </c>
      <c r="J6" s="48" t="s">
        <v>111</v>
      </c>
      <c r="K6" s="308"/>
    </row>
    <row r="7" spans="1:11" ht="50.1" customHeight="1" x14ac:dyDescent="0.3">
      <c r="A7" s="310"/>
      <c r="B7" s="81" t="s">
        <v>1000</v>
      </c>
      <c r="C7" s="81" t="s">
        <v>1013</v>
      </c>
      <c r="D7" s="82" t="s">
        <v>1018</v>
      </c>
      <c r="E7" s="83"/>
      <c r="F7" s="83"/>
      <c r="G7" s="83"/>
      <c r="H7" s="308"/>
      <c r="I7" s="48" t="s">
        <v>29</v>
      </c>
      <c r="J7" s="48" t="s">
        <v>111</v>
      </c>
      <c r="K7" s="308"/>
    </row>
    <row r="8" spans="1:11" ht="50.1" customHeight="1" thickBot="1" x14ac:dyDescent="0.35">
      <c r="A8" s="310"/>
      <c r="B8" s="91" t="s">
        <v>1000</v>
      </c>
      <c r="C8" s="92" t="s">
        <v>1014</v>
      </c>
      <c r="D8" s="91" t="s">
        <v>1019</v>
      </c>
      <c r="E8" s="104"/>
      <c r="F8" s="104"/>
      <c r="G8" s="104"/>
      <c r="H8" s="307"/>
      <c r="I8" s="69" t="s">
        <v>29</v>
      </c>
      <c r="J8" s="69" t="s">
        <v>111</v>
      </c>
      <c r="K8" s="307"/>
    </row>
    <row r="9" spans="1:11" ht="50.1" customHeight="1" x14ac:dyDescent="0.3">
      <c r="A9" s="309" t="s">
        <v>1001</v>
      </c>
      <c r="B9" s="78" t="s">
        <v>1002</v>
      </c>
      <c r="C9" s="78" t="s">
        <v>1023</v>
      </c>
      <c r="D9" s="78" t="s">
        <v>1025</v>
      </c>
      <c r="E9" s="79" t="s">
        <v>1020</v>
      </c>
      <c r="F9" s="80" t="s">
        <v>1027</v>
      </c>
      <c r="G9" s="103" t="s">
        <v>1022</v>
      </c>
      <c r="H9" s="121" t="s">
        <v>1485</v>
      </c>
      <c r="I9" s="52" t="s">
        <v>29</v>
      </c>
      <c r="J9" s="52" t="s">
        <v>111</v>
      </c>
      <c r="K9" s="209" t="s">
        <v>1484</v>
      </c>
    </row>
    <row r="10" spans="1:11" ht="50.1" customHeight="1" thickBot="1" x14ac:dyDescent="0.35">
      <c r="A10" s="311"/>
      <c r="B10" s="85" t="s">
        <v>1002</v>
      </c>
      <c r="C10" s="97" t="s">
        <v>1024</v>
      </c>
      <c r="D10" s="97" t="s">
        <v>1026</v>
      </c>
      <c r="E10" s="98"/>
      <c r="F10" s="98"/>
      <c r="G10" s="98"/>
      <c r="H10" s="123" t="s">
        <v>1486</v>
      </c>
      <c r="I10" s="57" t="s">
        <v>29</v>
      </c>
      <c r="J10" s="57" t="s">
        <v>111</v>
      </c>
      <c r="K10" s="210" t="s">
        <v>1484</v>
      </c>
    </row>
    <row r="11" spans="1:11" ht="50.1" customHeight="1" x14ac:dyDescent="0.3">
      <c r="A11" s="12"/>
      <c r="B11" s="106"/>
      <c r="C11" s="106"/>
      <c r="D11" s="106"/>
      <c r="E11" s="106"/>
      <c r="F11" s="107"/>
      <c r="G11" s="107"/>
    </row>
    <row r="12" spans="1:11" ht="50.1" customHeight="1" x14ac:dyDescent="0.3">
      <c r="A12" s="12"/>
      <c r="B12" s="106"/>
      <c r="C12" s="106"/>
      <c r="D12" s="106"/>
      <c r="E12" s="106"/>
      <c r="F12" s="107"/>
      <c r="G12" s="107"/>
    </row>
    <row r="13" spans="1:11" ht="50.1" customHeight="1" x14ac:dyDescent="0.3">
      <c r="A13" s="12"/>
      <c r="B13" s="106"/>
      <c r="C13" s="106"/>
      <c r="D13" s="106"/>
      <c r="E13" s="106"/>
      <c r="F13" s="107"/>
      <c r="G13" s="107"/>
    </row>
    <row r="14" spans="1:11" ht="50.1" customHeight="1" x14ac:dyDescent="0.3">
      <c r="A14" s="12"/>
      <c r="B14" s="106"/>
      <c r="C14" s="106"/>
      <c r="D14" s="106"/>
      <c r="E14" s="106"/>
      <c r="F14" s="107"/>
      <c r="G14" s="107"/>
    </row>
    <row r="15" spans="1:11" ht="50.1" customHeight="1" x14ac:dyDescent="0.3">
      <c r="A15" s="12"/>
      <c r="B15" s="106"/>
      <c r="C15" s="106"/>
      <c r="D15" s="106"/>
      <c r="E15" s="106"/>
      <c r="F15" s="106"/>
      <c r="G15" s="107"/>
    </row>
    <row r="16" spans="1:11" ht="50.1" customHeight="1" x14ac:dyDescent="0.3">
      <c r="A16" s="12"/>
      <c r="B16" s="106"/>
      <c r="C16" s="106"/>
      <c r="D16" s="106"/>
      <c r="E16" s="106"/>
      <c r="F16" s="107"/>
      <c r="G16" s="107"/>
    </row>
    <row r="17" spans="1:7" ht="50.1" customHeight="1" x14ac:dyDescent="0.3">
      <c r="A17" s="12"/>
      <c r="B17" s="106"/>
      <c r="C17" s="106"/>
      <c r="D17" s="106"/>
      <c r="E17" s="106"/>
      <c r="F17" s="106"/>
      <c r="G17" s="106"/>
    </row>
    <row r="18" spans="1:7" ht="50.1" customHeight="1" x14ac:dyDescent="0.3">
      <c r="A18" s="12"/>
      <c r="B18" s="106"/>
      <c r="C18" s="106"/>
      <c r="D18" s="106"/>
      <c r="E18" s="106"/>
      <c r="F18" s="107"/>
      <c r="G18" s="107"/>
    </row>
    <row r="19" spans="1:7" ht="50.1" customHeight="1" x14ac:dyDescent="0.3">
      <c r="A19" s="12"/>
      <c r="B19" s="106"/>
      <c r="C19" s="106"/>
      <c r="D19" s="106"/>
      <c r="E19" s="106"/>
      <c r="F19" s="107"/>
      <c r="G19" s="107"/>
    </row>
    <row r="20" spans="1:7" ht="50.1" customHeight="1" x14ac:dyDescent="0.3">
      <c r="A20" s="13"/>
      <c r="B20" s="106"/>
      <c r="C20" s="106"/>
      <c r="D20" s="106"/>
      <c r="E20" s="106"/>
      <c r="F20" s="106"/>
      <c r="G20" s="106"/>
    </row>
    <row r="21" spans="1:7" ht="50.1" customHeight="1" x14ac:dyDescent="0.3">
      <c r="A21" s="12"/>
      <c r="B21" s="106"/>
      <c r="C21" s="106"/>
      <c r="D21" s="106"/>
      <c r="E21" s="106"/>
      <c r="F21" s="106"/>
      <c r="G21" s="106"/>
    </row>
    <row r="22" spans="1:7" ht="50.1" customHeight="1" x14ac:dyDescent="0.3">
      <c r="A22" s="12"/>
      <c r="B22" s="106"/>
      <c r="C22" s="106"/>
      <c r="D22" s="106"/>
      <c r="E22" s="106"/>
      <c r="F22" s="107"/>
      <c r="G22" s="107"/>
    </row>
    <row r="23" spans="1:7" ht="50.1" customHeight="1" x14ac:dyDescent="0.3">
      <c r="A23" s="12"/>
      <c r="B23" s="106"/>
      <c r="C23" s="106"/>
      <c r="D23" s="106"/>
      <c r="E23" s="106"/>
      <c r="F23" s="106"/>
      <c r="G23" s="106"/>
    </row>
    <row r="24" spans="1:7" ht="50.1" customHeight="1" x14ac:dyDescent="0.3">
      <c r="A24" s="12"/>
      <c r="B24" s="106"/>
      <c r="C24" s="106"/>
      <c r="D24" s="106"/>
      <c r="E24" s="106"/>
      <c r="F24" s="107"/>
      <c r="G24" s="107"/>
    </row>
    <row r="25" spans="1:7" ht="50.1" customHeight="1" x14ac:dyDescent="0.3">
      <c r="A25" s="12"/>
      <c r="B25" s="106"/>
      <c r="C25" s="106"/>
      <c r="D25" s="106"/>
      <c r="E25" s="106"/>
      <c r="F25" s="107"/>
      <c r="G25" s="107"/>
    </row>
    <row r="26" spans="1:7" ht="50.1" customHeight="1" x14ac:dyDescent="0.3">
      <c r="A26" s="13"/>
      <c r="B26" s="106"/>
      <c r="C26" s="106"/>
      <c r="D26" s="106"/>
      <c r="E26" s="106"/>
      <c r="F26" s="106"/>
      <c r="G26" s="106"/>
    </row>
    <row r="27" spans="1:7" ht="50.1" customHeight="1" x14ac:dyDescent="0.3">
      <c r="A27" s="12"/>
      <c r="B27" s="106"/>
      <c r="C27" s="106"/>
      <c r="D27" s="106"/>
      <c r="E27" s="106"/>
      <c r="F27" s="106"/>
      <c r="G27" s="106"/>
    </row>
    <row r="28" spans="1:7" ht="50.1" customHeight="1" x14ac:dyDescent="0.3">
      <c r="A28" s="12"/>
      <c r="B28" s="106"/>
      <c r="C28" s="106"/>
      <c r="D28" s="106"/>
      <c r="E28" s="106"/>
      <c r="F28" s="107"/>
      <c r="G28" s="107"/>
    </row>
    <row r="29" spans="1:7" ht="50.1" customHeight="1" x14ac:dyDescent="0.3">
      <c r="A29" s="12"/>
      <c r="B29" s="106"/>
      <c r="C29" s="106"/>
      <c r="D29" s="106"/>
      <c r="E29" s="106"/>
      <c r="F29" s="107"/>
      <c r="G29" s="107"/>
    </row>
    <row r="30" spans="1:7" ht="50.1" customHeight="1" x14ac:dyDescent="0.3">
      <c r="A30" s="12"/>
      <c r="B30" s="106"/>
      <c r="C30" s="106"/>
      <c r="D30" s="106"/>
      <c r="E30" s="106"/>
      <c r="F30" s="107"/>
      <c r="G30" s="107"/>
    </row>
    <row r="31" spans="1:7" ht="50.1" customHeight="1" x14ac:dyDescent="0.3">
      <c r="A31" s="12"/>
      <c r="B31" s="106"/>
      <c r="C31" s="106"/>
      <c r="D31" s="106"/>
      <c r="E31" s="106"/>
      <c r="F31" s="107"/>
      <c r="G31" s="107"/>
    </row>
    <row r="32" spans="1:7" ht="50.1" customHeight="1" x14ac:dyDescent="0.3">
      <c r="A32" s="12"/>
      <c r="B32" s="106"/>
      <c r="C32" s="106"/>
      <c r="D32" s="106"/>
      <c r="E32" s="106"/>
      <c r="F32" s="107"/>
      <c r="G32" s="107"/>
    </row>
    <row r="33" spans="1:7" ht="50.1" customHeight="1" x14ac:dyDescent="0.3">
      <c r="A33" s="12"/>
      <c r="B33" s="106"/>
      <c r="C33" s="106"/>
      <c r="D33" s="106"/>
      <c r="E33" s="106"/>
      <c r="F33" s="107"/>
      <c r="G33" s="107"/>
    </row>
    <row r="34" spans="1:7" ht="50.1" customHeight="1" x14ac:dyDescent="0.3">
      <c r="A34" s="12"/>
      <c r="B34" s="106"/>
      <c r="C34" s="106"/>
      <c r="D34" s="106"/>
      <c r="E34" s="106"/>
      <c r="F34" s="107"/>
      <c r="G34" s="107"/>
    </row>
    <row r="35" spans="1:7" ht="50.1" customHeight="1" x14ac:dyDescent="0.3">
      <c r="A35" s="12"/>
      <c r="B35" s="106"/>
      <c r="C35" s="106"/>
      <c r="D35" s="106"/>
      <c r="E35" s="106"/>
      <c r="F35" s="107"/>
      <c r="G35" s="107"/>
    </row>
    <row r="36" spans="1:7" ht="50.1" customHeight="1" x14ac:dyDescent="0.3">
      <c r="A36" s="12"/>
      <c r="B36" s="106"/>
      <c r="C36" s="106"/>
      <c r="D36" s="106"/>
      <c r="E36" s="106"/>
      <c r="F36" s="106"/>
      <c r="G36" s="106"/>
    </row>
    <row r="37" spans="1:7" ht="50.1" customHeight="1" x14ac:dyDescent="0.3">
      <c r="A37" s="12"/>
      <c r="B37" s="106"/>
      <c r="C37" s="106"/>
      <c r="D37" s="106"/>
      <c r="E37" s="106"/>
      <c r="F37" s="107"/>
      <c r="G37" s="107"/>
    </row>
    <row r="38" spans="1:7" ht="50.1" customHeight="1" x14ac:dyDescent="0.3">
      <c r="A38" s="12"/>
      <c r="B38" s="106"/>
      <c r="C38" s="106"/>
      <c r="D38" s="106"/>
      <c r="E38" s="106"/>
      <c r="F38" s="106"/>
      <c r="G38" s="106"/>
    </row>
    <row r="39" spans="1:7" ht="50.1" customHeight="1" x14ac:dyDescent="0.3">
      <c r="A39" s="12"/>
      <c r="B39" s="106"/>
      <c r="C39" s="106"/>
      <c r="D39" s="106"/>
      <c r="E39" s="106"/>
      <c r="F39" s="107"/>
      <c r="G39" s="107"/>
    </row>
    <row r="40" spans="1:7" ht="50.1" customHeight="1" x14ac:dyDescent="0.3">
      <c r="A40" s="12"/>
      <c r="B40" s="106"/>
      <c r="C40" s="106"/>
      <c r="D40" s="106"/>
      <c r="E40" s="106"/>
      <c r="F40" s="106"/>
      <c r="G40" s="106"/>
    </row>
    <row r="41" spans="1:7" ht="50.1" customHeight="1" x14ac:dyDescent="0.3">
      <c r="A41" s="12"/>
      <c r="B41" s="106"/>
      <c r="C41" s="106"/>
      <c r="D41" s="106"/>
      <c r="E41" s="106"/>
      <c r="F41" s="107"/>
      <c r="G41" s="107"/>
    </row>
    <row r="42" spans="1:7" ht="50.1" customHeight="1" x14ac:dyDescent="0.3">
      <c r="A42" s="12"/>
      <c r="B42" s="106"/>
      <c r="C42" s="106"/>
      <c r="D42" s="106"/>
      <c r="E42" s="106"/>
      <c r="F42" s="107"/>
      <c r="G42" s="107"/>
    </row>
    <row r="43" spans="1:7" ht="50.1" customHeight="1" x14ac:dyDescent="0.3">
      <c r="A43" s="12"/>
      <c r="B43" s="106"/>
      <c r="C43" s="106"/>
      <c r="D43" s="106"/>
      <c r="E43" s="106"/>
      <c r="F43" s="107"/>
      <c r="G43" s="107"/>
    </row>
    <row r="44" spans="1:7" ht="50.1" customHeight="1" x14ac:dyDescent="0.3">
      <c r="A44" s="13"/>
      <c r="B44" s="106"/>
      <c r="C44" s="106"/>
      <c r="D44" s="106"/>
      <c r="E44" s="106"/>
      <c r="F44" s="106"/>
      <c r="G44" s="106"/>
    </row>
    <row r="45" spans="1:7" ht="50.1" customHeight="1" x14ac:dyDescent="0.3">
      <c r="A45" s="13"/>
      <c r="B45" s="106"/>
      <c r="C45" s="106"/>
      <c r="D45" s="106"/>
      <c r="E45" s="106"/>
      <c r="F45" s="106"/>
      <c r="G45" s="106"/>
    </row>
    <row r="46" spans="1:7" ht="50.1" customHeight="1" x14ac:dyDescent="0.3">
      <c r="A46" s="12"/>
      <c r="B46" s="106"/>
      <c r="C46" s="106"/>
      <c r="D46" s="106"/>
      <c r="E46" s="106"/>
      <c r="F46" s="106"/>
      <c r="G46" s="106"/>
    </row>
    <row r="47" spans="1:7" ht="50.1" customHeight="1" x14ac:dyDescent="0.3">
      <c r="A47" s="12"/>
      <c r="B47" s="106"/>
      <c r="C47" s="106"/>
      <c r="D47" s="106"/>
      <c r="E47" s="106"/>
      <c r="F47" s="107"/>
      <c r="G47" s="107"/>
    </row>
    <row r="48" spans="1:7" ht="50.1" customHeight="1" x14ac:dyDescent="0.3">
      <c r="A48" s="12"/>
      <c r="B48" s="106"/>
      <c r="C48" s="106"/>
      <c r="D48" s="106"/>
      <c r="E48" s="106"/>
      <c r="F48" s="107"/>
      <c r="G48" s="107"/>
    </row>
    <row r="49" spans="1:7" ht="50.1" customHeight="1" x14ac:dyDescent="0.3">
      <c r="A49" s="12"/>
      <c r="B49" s="106"/>
      <c r="C49" s="106"/>
      <c r="D49" s="106"/>
      <c r="E49" s="106"/>
      <c r="F49" s="107"/>
      <c r="G49" s="107"/>
    </row>
    <row r="50" spans="1:7" ht="50.1" customHeight="1" x14ac:dyDescent="0.3">
      <c r="A50" s="12"/>
      <c r="B50" s="106"/>
      <c r="C50" s="106"/>
      <c r="D50" s="106"/>
      <c r="E50" s="106"/>
      <c r="F50" s="107"/>
      <c r="G50" s="107"/>
    </row>
    <row r="51" spans="1:7" ht="50.1" customHeight="1" x14ac:dyDescent="0.3">
      <c r="A51" s="12"/>
      <c r="B51" s="106"/>
      <c r="C51" s="106"/>
      <c r="D51" s="106"/>
      <c r="E51" s="106"/>
      <c r="F51" s="107"/>
      <c r="G51" s="107"/>
    </row>
    <row r="52" spans="1:7" ht="50.1" customHeight="1" x14ac:dyDescent="0.3">
      <c r="A52" s="12"/>
      <c r="B52" s="106"/>
      <c r="C52" s="106"/>
      <c r="D52" s="106"/>
      <c r="E52" s="106"/>
      <c r="F52" s="107"/>
      <c r="G52" s="107"/>
    </row>
    <row r="53" spans="1:7" ht="50.1" customHeight="1" x14ac:dyDescent="0.3">
      <c r="A53" s="12"/>
      <c r="B53" s="106"/>
      <c r="C53" s="106"/>
      <c r="D53" s="106"/>
      <c r="E53" s="106"/>
      <c r="F53" s="107"/>
      <c r="G53" s="107"/>
    </row>
    <row r="54" spans="1:7" ht="50.1" customHeight="1" x14ac:dyDescent="0.3">
      <c r="A54" s="12"/>
      <c r="B54" s="106"/>
      <c r="C54" s="106"/>
      <c r="D54" s="106"/>
      <c r="E54" s="106"/>
      <c r="F54" s="106"/>
      <c r="G54" s="106"/>
    </row>
    <row r="55" spans="1:7" ht="50.1" customHeight="1" x14ac:dyDescent="0.3">
      <c r="A55" s="12"/>
      <c r="B55" s="106"/>
      <c r="C55" s="106"/>
      <c r="D55" s="106"/>
      <c r="E55" s="106"/>
      <c r="F55" s="107"/>
      <c r="G55" s="107"/>
    </row>
    <row r="56" spans="1:7" ht="50.1" customHeight="1" x14ac:dyDescent="0.3">
      <c r="A56" s="12"/>
      <c r="B56" s="106"/>
      <c r="C56" s="106"/>
      <c r="D56" s="106"/>
      <c r="E56" s="106"/>
      <c r="F56" s="107"/>
      <c r="G56" s="107"/>
    </row>
    <row r="57" spans="1:7" ht="50.1" customHeight="1" x14ac:dyDescent="0.3">
      <c r="A57" s="12"/>
      <c r="B57" s="106"/>
      <c r="C57" s="106"/>
      <c r="D57" s="106"/>
      <c r="E57" s="106"/>
      <c r="F57" s="107"/>
      <c r="G57" s="107"/>
    </row>
    <row r="58" spans="1:7" ht="50.1" customHeight="1" x14ac:dyDescent="0.3">
      <c r="A58" s="12"/>
      <c r="B58" s="106"/>
      <c r="C58" s="106"/>
      <c r="D58" s="106"/>
      <c r="E58" s="106"/>
      <c r="F58" s="107"/>
      <c r="G58" s="107"/>
    </row>
    <row r="59" spans="1:7" ht="50.1" customHeight="1" x14ac:dyDescent="0.3">
      <c r="A59" s="12"/>
      <c r="B59" s="106"/>
      <c r="C59" s="106"/>
      <c r="D59" s="106"/>
      <c r="E59" s="106"/>
      <c r="F59" s="107"/>
      <c r="G59" s="107"/>
    </row>
    <row r="60" spans="1:7" ht="50.1" customHeight="1" x14ac:dyDescent="0.3">
      <c r="A60" s="12"/>
      <c r="B60" s="106"/>
      <c r="C60" s="106"/>
      <c r="D60" s="106"/>
      <c r="E60" s="106"/>
      <c r="F60" s="107"/>
      <c r="G60" s="107"/>
    </row>
    <row r="61" spans="1:7" ht="50.1" customHeight="1" x14ac:dyDescent="0.3">
      <c r="A61" s="12"/>
      <c r="B61" s="106"/>
      <c r="C61" s="106"/>
      <c r="D61" s="106"/>
      <c r="E61" s="106"/>
      <c r="F61" s="107"/>
      <c r="G61" s="107"/>
    </row>
    <row r="62" spans="1:7" ht="50.1" customHeight="1" x14ac:dyDescent="0.3">
      <c r="A62" s="12"/>
      <c r="B62" s="106"/>
      <c r="C62" s="106"/>
      <c r="D62" s="106"/>
      <c r="E62" s="106"/>
      <c r="F62" s="107"/>
      <c r="G62" s="107"/>
    </row>
    <row r="63" spans="1:7" ht="50.1" customHeight="1" x14ac:dyDescent="0.3">
      <c r="A63" s="12"/>
      <c r="B63" s="106"/>
      <c r="C63" s="106"/>
      <c r="D63" s="106"/>
      <c r="E63" s="106"/>
      <c r="F63" s="107"/>
      <c r="G63" s="107"/>
    </row>
    <row r="64" spans="1:7" ht="50.1" customHeight="1" x14ac:dyDescent="0.3">
      <c r="A64" s="12"/>
      <c r="B64" s="106"/>
      <c r="C64" s="106"/>
      <c r="D64" s="106"/>
      <c r="E64" s="106"/>
      <c r="F64" s="107"/>
      <c r="G64" s="107"/>
    </row>
    <row r="65" spans="1:7" ht="50.1" customHeight="1" x14ac:dyDescent="0.3">
      <c r="A65" s="12"/>
      <c r="B65" s="106"/>
      <c r="C65" s="106"/>
      <c r="D65" s="106"/>
      <c r="E65" s="106"/>
      <c r="F65" s="106"/>
      <c r="G65" s="106"/>
    </row>
    <row r="66" spans="1:7" ht="50.1" customHeight="1" x14ac:dyDescent="0.3">
      <c r="A66" s="12"/>
      <c r="B66" s="106"/>
      <c r="C66" s="106"/>
      <c r="D66" s="106"/>
      <c r="E66" s="106"/>
      <c r="F66" s="107"/>
      <c r="G66" s="107"/>
    </row>
    <row r="67" spans="1:7" ht="50.1" customHeight="1" x14ac:dyDescent="0.3">
      <c r="A67" s="12"/>
      <c r="B67" s="106"/>
      <c r="C67" s="106"/>
      <c r="D67" s="106"/>
      <c r="E67" s="106"/>
      <c r="F67" s="107"/>
      <c r="G67" s="107"/>
    </row>
    <row r="68" spans="1:7" ht="50.1" customHeight="1" x14ac:dyDescent="0.3">
      <c r="A68" s="12"/>
      <c r="B68" s="106"/>
      <c r="C68" s="106"/>
      <c r="D68" s="106"/>
      <c r="E68" s="106"/>
      <c r="F68" s="107"/>
      <c r="G68" s="107"/>
    </row>
    <row r="69" spans="1:7" ht="50.1" customHeight="1" x14ac:dyDescent="0.3">
      <c r="A69" s="13"/>
      <c r="B69" s="106"/>
      <c r="C69" s="106"/>
      <c r="D69" s="106"/>
      <c r="E69" s="106"/>
      <c r="F69" s="106"/>
      <c r="G69" s="106"/>
    </row>
    <row r="70" spans="1:7" ht="50.1" customHeight="1" x14ac:dyDescent="0.3">
      <c r="A70" s="12"/>
      <c r="B70" s="106"/>
      <c r="C70" s="106"/>
      <c r="D70" s="106"/>
      <c r="E70" s="106"/>
      <c r="F70" s="106"/>
      <c r="G70" s="106"/>
    </row>
    <row r="71" spans="1:7" ht="50.1" customHeight="1" x14ac:dyDescent="0.3">
      <c r="A71" s="12"/>
      <c r="B71" s="106"/>
      <c r="C71" s="106"/>
      <c r="D71" s="106"/>
      <c r="E71" s="106"/>
      <c r="F71" s="107"/>
      <c r="G71" s="107"/>
    </row>
    <row r="72" spans="1:7" ht="50.1" customHeight="1" x14ac:dyDescent="0.3">
      <c r="A72" s="12"/>
      <c r="B72" s="106"/>
      <c r="C72" s="106"/>
      <c r="D72" s="106"/>
      <c r="E72" s="106"/>
      <c r="F72" s="106"/>
      <c r="G72" s="107"/>
    </row>
    <row r="73" spans="1:7" ht="50.1" customHeight="1" x14ac:dyDescent="0.3">
      <c r="A73" s="12"/>
      <c r="B73" s="106"/>
      <c r="C73" s="106"/>
      <c r="D73" s="106"/>
      <c r="E73" s="106"/>
      <c r="F73" s="107"/>
      <c r="G73" s="107"/>
    </row>
    <row r="74" spans="1:7" ht="50.1" customHeight="1" x14ac:dyDescent="0.3">
      <c r="A74" s="12"/>
      <c r="B74" s="106"/>
      <c r="C74" s="106"/>
      <c r="D74" s="106"/>
      <c r="E74" s="106"/>
      <c r="F74" s="107"/>
      <c r="G74" s="107"/>
    </row>
    <row r="75" spans="1:7" ht="50.1" customHeight="1" x14ac:dyDescent="0.3">
      <c r="A75" s="12"/>
      <c r="B75" s="106"/>
      <c r="C75" s="106"/>
      <c r="D75" s="106"/>
      <c r="E75" s="106"/>
      <c r="F75" s="107"/>
      <c r="G75" s="107"/>
    </row>
    <row r="76" spans="1:7" ht="50.1" customHeight="1" x14ac:dyDescent="0.3">
      <c r="A76" s="12"/>
      <c r="B76" s="106"/>
      <c r="C76" s="106"/>
      <c r="D76" s="106"/>
      <c r="E76" s="106"/>
      <c r="F76" s="106"/>
      <c r="G76" s="106"/>
    </row>
    <row r="77" spans="1:7" ht="50.1" customHeight="1" x14ac:dyDescent="0.3">
      <c r="A77" s="12"/>
      <c r="B77" s="106"/>
      <c r="C77" s="106"/>
      <c r="D77" s="106"/>
      <c r="E77" s="106"/>
      <c r="F77" s="107"/>
      <c r="G77" s="107"/>
    </row>
    <row r="78" spans="1:7" ht="50.1" customHeight="1" x14ac:dyDescent="0.3">
      <c r="A78" s="12"/>
      <c r="B78" s="106"/>
      <c r="C78" s="106"/>
      <c r="D78" s="106"/>
      <c r="E78" s="106"/>
      <c r="F78" s="107"/>
      <c r="G78" s="107"/>
    </row>
    <row r="79" spans="1:7" ht="50.1" customHeight="1" x14ac:dyDescent="0.3">
      <c r="A79" s="12"/>
      <c r="B79" s="106"/>
      <c r="C79" s="106"/>
      <c r="D79" s="106"/>
      <c r="E79" s="106"/>
      <c r="F79" s="107"/>
      <c r="G79" s="107"/>
    </row>
    <row r="80" spans="1:7" ht="50.1" customHeight="1" x14ac:dyDescent="0.3">
      <c r="A80" s="12"/>
      <c r="B80" s="106"/>
      <c r="C80" s="106"/>
      <c r="D80" s="106"/>
      <c r="E80" s="106"/>
      <c r="F80" s="106"/>
      <c r="G80" s="106"/>
    </row>
    <row r="81" spans="1:7" ht="50.1" customHeight="1" x14ac:dyDescent="0.3">
      <c r="A81" s="12"/>
      <c r="B81" s="106"/>
      <c r="C81" s="106"/>
      <c r="D81" s="106"/>
      <c r="E81" s="106"/>
      <c r="F81" s="107"/>
      <c r="G81" s="107"/>
    </row>
    <row r="82" spans="1:7" ht="50.1" customHeight="1" x14ac:dyDescent="0.3">
      <c r="A82" s="12"/>
      <c r="B82" s="106"/>
      <c r="C82" s="106"/>
      <c r="D82" s="106"/>
      <c r="E82" s="106"/>
      <c r="F82" s="106"/>
      <c r="G82" s="106"/>
    </row>
    <row r="83" spans="1:7" ht="50.1" customHeight="1" x14ac:dyDescent="0.3">
      <c r="A83" s="12"/>
      <c r="B83" s="106"/>
      <c r="C83" s="106"/>
      <c r="D83" s="106"/>
      <c r="E83" s="106"/>
      <c r="F83" s="106"/>
      <c r="G83" s="106"/>
    </row>
    <row r="84" spans="1:7" ht="50.1" customHeight="1" x14ac:dyDescent="0.3">
      <c r="A84" s="12"/>
      <c r="B84" s="106"/>
      <c r="C84" s="106"/>
      <c r="D84" s="106"/>
      <c r="E84" s="106"/>
      <c r="F84" s="106"/>
      <c r="G84" s="106"/>
    </row>
    <row r="85" spans="1:7" ht="50.1" customHeight="1" x14ac:dyDescent="0.3">
      <c r="A85" s="12"/>
      <c r="B85" s="106"/>
      <c r="C85" s="106"/>
      <c r="D85" s="106"/>
      <c r="E85" s="106"/>
      <c r="F85" s="107"/>
      <c r="G85" s="107"/>
    </row>
    <row r="86" spans="1:7" ht="50.1" customHeight="1" x14ac:dyDescent="0.3">
      <c r="A86" s="12"/>
      <c r="B86" s="106"/>
      <c r="C86" s="106"/>
      <c r="D86" s="106"/>
      <c r="E86" s="106"/>
      <c r="F86" s="107"/>
      <c r="G86" s="107"/>
    </row>
    <row r="87" spans="1:7" ht="50.1" customHeight="1" x14ac:dyDescent="0.3">
      <c r="A87" s="12"/>
      <c r="B87" s="106"/>
      <c r="C87" s="106"/>
      <c r="D87" s="106"/>
      <c r="E87" s="106"/>
      <c r="F87" s="107"/>
      <c r="G87" s="107"/>
    </row>
    <row r="88" spans="1:7" ht="50.1" customHeight="1" x14ac:dyDescent="0.3">
      <c r="A88" s="12"/>
      <c r="B88" s="106"/>
      <c r="C88" s="106"/>
      <c r="D88" s="106"/>
      <c r="E88" s="106"/>
      <c r="F88" s="107"/>
      <c r="G88" s="107"/>
    </row>
    <row r="89" spans="1:7" ht="50.1" customHeight="1" x14ac:dyDescent="0.3">
      <c r="A89" s="12"/>
      <c r="B89" s="106"/>
      <c r="C89" s="106"/>
      <c r="D89" s="106"/>
      <c r="E89" s="106"/>
      <c r="F89" s="107"/>
      <c r="G89" s="107"/>
    </row>
    <row r="90" spans="1:7" ht="50.1" customHeight="1" x14ac:dyDescent="0.3">
      <c r="A90" s="12"/>
      <c r="B90" s="106"/>
      <c r="C90" s="106"/>
      <c r="D90" s="106"/>
      <c r="E90" s="106"/>
      <c r="F90" s="107"/>
      <c r="G90" s="107"/>
    </row>
    <row r="91" spans="1:7" ht="50.1" customHeight="1" x14ac:dyDescent="0.3">
      <c r="A91" s="12"/>
      <c r="B91" s="106"/>
      <c r="C91" s="106"/>
      <c r="D91" s="106"/>
      <c r="E91" s="106"/>
      <c r="F91" s="106"/>
      <c r="G91" s="106"/>
    </row>
    <row r="92" spans="1:7" ht="50.1" customHeight="1" x14ac:dyDescent="0.3">
      <c r="A92" s="12"/>
      <c r="B92" s="106"/>
      <c r="C92" s="106"/>
      <c r="D92" s="106"/>
      <c r="E92" s="106"/>
      <c r="F92" s="107"/>
      <c r="G92" s="107"/>
    </row>
    <row r="93" spans="1:7" ht="50.1" customHeight="1" x14ac:dyDescent="0.3">
      <c r="A93" s="12"/>
      <c r="B93" s="106"/>
      <c r="C93" s="106"/>
      <c r="D93" s="106"/>
      <c r="E93" s="106"/>
      <c r="F93" s="107"/>
      <c r="G93" s="107"/>
    </row>
    <row r="94" spans="1:7" ht="50.1" customHeight="1" x14ac:dyDescent="0.3">
      <c r="A94" s="12"/>
      <c r="B94" s="106"/>
      <c r="C94" s="106"/>
      <c r="D94" s="106"/>
      <c r="E94" s="106"/>
      <c r="F94" s="107"/>
      <c r="G94" s="107"/>
    </row>
    <row r="95" spans="1:7" ht="50.1" customHeight="1" x14ac:dyDescent="0.3">
      <c r="A95" s="12"/>
      <c r="B95" s="106"/>
      <c r="C95" s="106"/>
      <c r="D95" s="106"/>
      <c r="E95" s="106"/>
      <c r="F95" s="106"/>
      <c r="G95" s="106"/>
    </row>
    <row r="96" spans="1:7" ht="50.1" customHeight="1" x14ac:dyDescent="0.3">
      <c r="A96" s="12"/>
      <c r="B96" s="106"/>
      <c r="C96" s="106"/>
      <c r="D96" s="106"/>
      <c r="E96" s="106"/>
      <c r="F96" s="107"/>
      <c r="G96" s="107"/>
    </row>
    <row r="97" spans="1:7" ht="50.1" customHeight="1" x14ac:dyDescent="0.3">
      <c r="A97" s="12"/>
      <c r="B97" s="106"/>
      <c r="C97" s="106"/>
      <c r="D97" s="106"/>
      <c r="E97" s="106"/>
      <c r="F97" s="107"/>
      <c r="G97" s="107"/>
    </row>
    <row r="98" spans="1:7" ht="50.1" customHeight="1" x14ac:dyDescent="0.3">
      <c r="A98" s="12"/>
      <c r="B98" s="106"/>
      <c r="C98" s="106"/>
      <c r="D98" s="106"/>
      <c r="E98" s="106"/>
      <c r="F98" s="106"/>
      <c r="G98" s="106"/>
    </row>
    <row r="99" spans="1:7" ht="50.1" customHeight="1" x14ac:dyDescent="0.3">
      <c r="A99" s="12"/>
      <c r="B99" s="106"/>
      <c r="C99" s="106"/>
      <c r="D99" s="106"/>
      <c r="E99" s="106"/>
      <c r="F99" s="106"/>
      <c r="G99" s="106"/>
    </row>
    <row r="100" spans="1:7" ht="50.1" customHeight="1" x14ac:dyDescent="0.3">
      <c r="A100" s="12"/>
      <c r="B100" s="106"/>
      <c r="C100" s="106"/>
      <c r="D100" s="106"/>
      <c r="E100" s="106"/>
      <c r="F100" s="107"/>
      <c r="G100" s="107"/>
    </row>
    <row r="101" spans="1:7" ht="50.1" customHeight="1" x14ac:dyDescent="0.3">
      <c r="A101" s="12"/>
      <c r="B101" s="106"/>
      <c r="C101" s="106"/>
      <c r="D101" s="106"/>
      <c r="E101" s="106"/>
      <c r="F101" s="107"/>
      <c r="G101" s="107"/>
    </row>
    <row r="102" spans="1:7" ht="50.1" customHeight="1" x14ac:dyDescent="0.3">
      <c r="A102" s="12"/>
      <c r="B102" s="106"/>
      <c r="C102" s="106"/>
      <c r="D102" s="106"/>
      <c r="E102" s="106"/>
      <c r="F102" s="107"/>
      <c r="G102" s="107"/>
    </row>
    <row r="103" spans="1:7" ht="50.1" customHeight="1" x14ac:dyDescent="0.3">
      <c r="A103" s="12"/>
      <c r="B103" s="106"/>
      <c r="C103" s="106"/>
      <c r="D103" s="106"/>
      <c r="E103" s="106"/>
      <c r="F103" s="106"/>
      <c r="G103" s="106"/>
    </row>
    <row r="104" spans="1:7" ht="50.1" customHeight="1" x14ac:dyDescent="0.3">
      <c r="A104" s="12"/>
      <c r="B104" s="106"/>
      <c r="C104" s="106"/>
      <c r="D104" s="106"/>
      <c r="E104" s="106"/>
      <c r="F104" s="107"/>
      <c r="G104" s="107"/>
    </row>
    <row r="105" spans="1:7" ht="50.1" customHeight="1" x14ac:dyDescent="0.3">
      <c r="A105" s="12"/>
      <c r="B105" s="106"/>
      <c r="C105" s="106"/>
      <c r="D105" s="106"/>
      <c r="E105" s="106"/>
      <c r="F105" s="107"/>
      <c r="G105" s="107"/>
    </row>
    <row r="106" spans="1:7" ht="50.1" customHeight="1" x14ac:dyDescent="0.3">
      <c r="A106" s="12"/>
      <c r="B106" s="106"/>
      <c r="C106" s="106"/>
      <c r="D106" s="106"/>
      <c r="E106" s="106"/>
      <c r="F106" s="106"/>
      <c r="G106" s="106"/>
    </row>
    <row r="107" spans="1:7" ht="50.1" customHeight="1" x14ac:dyDescent="0.3">
      <c r="A107" s="12"/>
      <c r="B107" s="106"/>
      <c r="C107" s="106"/>
      <c r="D107" s="106"/>
      <c r="E107" s="106"/>
      <c r="F107" s="107"/>
      <c r="G107" s="107"/>
    </row>
    <row r="108" spans="1:7" ht="50.1" customHeight="1" x14ac:dyDescent="0.3">
      <c r="A108" s="12"/>
      <c r="B108" s="106"/>
      <c r="C108" s="106"/>
      <c r="D108" s="106"/>
      <c r="E108" s="106"/>
      <c r="F108" s="107"/>
      <c r="G108" s="107"/>
    </row>
    <row r="109" spans="1:7" ht="50.1" customHeight="1" x14ac:dyDescent="0.3">
      <c r="A109" s="12"/>
      <c r="B109" s="106"/>
      <c r="C109" s="106"/>
      <c r="D109" s="106"/>
      <c r="E109" s="106"/>
      <c r="F109" s="107"/>
      <c r="G109" s="107"/>
    </row>
    <row r="110" spans="1:7" ht="50.1" customHeight="1" x14ac:dyDescent="0.3">
      <c r="A110" s="12"/>
      <c r="B110" s="106"/>
      <c r="C110" s="106"/>
      <c r="D110" s="106"/>
      <c r="E110" s="106"/>
      <c r="F110" s="107"/>
      <c r="G110" s="107"/>
    </row>
    <row r="111" spans="1:7" ht="50.1" customHeight="1" x14ac:dyDescent="0.3">
      <c r="A111" s="12"/>
      <c r="B111" s="106"/>
      <c r="C111" s="106"/>
      <c r="D111" s="106"/>
      <c r="E111" s="106"/>
      <c r="F111" s="107"/>
      <c r="G111" s="107"/>
    </row>
    <row r="112" spans="1:7" ht="50.1" customHeight="1" x14ac:dyDescent="0.3">
      <c r="A112" s="12"/>
      <c r="B112" s="106"/>
      <c r="C112" s="106"/>
      <c r="D112" s="106"/>
      <c r="E112" s="106"/>
      <c r="F112" s="107"/>
      <c r="G112" s="107"/>
    </row>
    <row r="113" spans="1:7" ht="50.1" customHeight="1" x14ac:dyDescent="0.3">
      <c r="A113" s="12"/>
      <c r="B113" s="106"/>
      <c r="C113" s="106"/>
      <c r="D113" s="106"/>
      <c r="E113" s="106"/>
      <c r="F113" s="106"/>
      <c r="G113" s="106"/>
    </row>
    <row r="114" spans="1:7" ht="50.1" customHeight="1" x14ac:dyDescent="0.3">
      <c r="A114" s="12"/>
      <c r="B114" s="106"/>
      <c r="C114" s="106"/>
      <c r="D114" s="106"/>
      <c r="E114" s="106"/>
      <c r="F114" s="107"/>
      <c r="G114" s="107"/>
    </row>
    <row r="115" spans="1:7" ht="50.1" customHeight="1" x14ac:dyDescent="0.3">
      <c r="A115" s="12"/>
      <c r="B115" s="106"/>
      <c r="C115" s="106"/>
      <c r="D115" s="106"/>
      <c r="E115" s="106"/>
      <c r="F115" s="106"/>
      <c r="G115" s="106"/>
    </row>
    <row r="116" spans="1:7" ht="50.1" customHeight="1" x14ac:dyDescent="0.3">
      <c r="A116" s="12"/>
      <c r="B116" s="106"/>
      <c r="C116" s="106"/>
      <c r="D116" s="106"/>
      <c r="E116" s="106"/>
      <c r="F116" s="107"/>
      <c r="G116" s="107"/>
    </row>
    <row r="117" spans="1:7" ht="50.1" customHeight="1" x14ac:dyDescent="0.3">
      <c r="A117" s="12"/>
      <c r="B117" s="106"/>
      <c r="C117" s="106"/>
      <c r="D117" s="106"/>
      <c r="E117" s="106"/>
      <c r="F117" s="106"/>
      <c r="G117" s="106"/>
    </row>
    <row r="118" spans="1:7" ht="50.1" customHeight="1" x14ac:dyDescent="0.3">
      <c r="A118" s="12"/>
      <c r="B118" s="106"/>
      <c r="C118" s="106"/>
      <c r="D118" s="106"/>
      <c r="E118" s="106"/>
      <c r="F118" s="107"/>
      <c r="G118" s="107"/>
    </row>
    <row r="119" spans="1:7" ht="50.1" customHeight="1" x14ac:dyDescent="0.3">
      <c r="A119" s="12"/>
      <c r="B119" s="106"/>
      <c r="C119" s="106"/>
      <c r="D119" s="106"/>
      <c r="E119" s="106"/>
      <c r="F119" s="107"/>
      <c r="G119" s="107"/>
    </row>
    <row r="120" spans="1:7" ht="50.1" customHeight="1" x14ac:dyDescent="0.3">
      <c r="A120" s="12"/>
      <c r="B120" s="106"/>
      <c r="C120" s="106"/>
      <c r="D120" s="106"/>
      <c r="E120" s="106"/>
      <c r="F120" s="107"/>
      <c r="G120" s="107"/>
    </row>
    <row r="121" spans="1:7" ht="50.1" customHeight="1" x14ac:dyDescent="0.3">
      <c r="A121" s="12"/>
      <c r="B121" s="106"/>
      <c r="C121" s="106"/>
      <c r="D121" s="106"/>
      <c r="E121" s="106"/>
      <c r="F121" s="106"/>
      <c r="G121" s="106"/>
    </row>
    <row r="122" spans="1:7" ht="50.1" customHeight="1" x14ac:dyDescent="0.3">
      <c r="A122" s="12"/>
      <c r="B122" s="106"/>
      <c r="C122" s="106"/>
      <c r="D122" s="106"/>
      <c r="E122" s="106"/>
      <c r="F122" s="107"/>
      <c r="G122" s="107"/>
    </row>
    <row r="123" spans="1:7" ht="50.1" customHeight="1" x14ac:dyDescent="0.3">
      <c r="A123" s="12"/>
      <c r="B123" s="106"/>
      <c r="C123" s="106"/>
      <c r="D123" s="106"/>
      <c r="E123" s="106"/>
      <c r="F123" s="107"/>
      <c r="G123" s="107"/>
    </row>
    <row r="124" spans="1:7" ht="50.1" customHeight="1" x14ac:dyDescent="0.3">
      <c r="A124" s="12"/>
      <c r="B124" s="106"/>
      <c r="C124" s="106"/>
      <c r="D124" s="106"/>
      <c r="E124" s="106"/>
      <c r="F124" s="107"/>
      <c r="G124" s="107"/>
    </row>
    <row r="125" spans="1:7" ht="50.1" customHeight="1" x14ac:dyDescent="0.3">
      <c r="A125" s="12"/>
      <c r="B125" s="106"/>
      <c r="C125" s="106"/>
      <c r="D125" s="106"/>
      <c r="E125" s="106"/>
      <c r="F125" s="107"/>
      <c r="G125" s="107"/>
    </row>
    <row r="126" spans="1:7" ht="50.1" customHeight="1" x14ac:dyDescent="0.3">
      <c r="A126" s="12"/>
      <c r="B126" s="106"/>
      <c r="C126" s="106"/>
      <c r="D126" s="106"/>
      <c r="E126" s="106"/>
      <c r="F126" s="107"/>
      <c r="G126" s="107"/>
    </row>
  </sheetData>
  <autoFilter ref="A1:K10" xr:uid="{623CA32E-BA8E-426C-AF08-AD3AF6BE69AC}"/>
  <mergeCells count="5">
    <mergeCell ref="K5:K8"/>
    <mergeCell ref="A2:A3"/>
    <mergeCell ref="A4:A8"/>
    <mergeCell ref="A9:A10"/>
    <mergeCell ref="H5:H8"/>
  </mergeCells>
  <conditionalFormatting sqref="I1 I4:I1048576">
    <cfRule type="containsText" dxfId="41" priority="14" operator="containsText" text="Planned">
      <formula>NOT(ISERROR(SEARCH("Planned",I1)))</formula>
    </cfRule>
  </conditionalFormatting>
  <conditionalFormatting sqref="I1:I1048576">
    <cfRule type="cellIs" dxfId="40" priority="2" operator="equal">
      <formula>"Not Selected"</formula>
    </cfRule>
    <cfRule type="containsText" dxfId="39" priority="6" operator="containsText" text="Inherited">
      <formula>NOT(ISERROR(SEARCH("Inherited",I1)))</formula>
    </cfRule>
    <cfRule type="containsText" dxfId="38" priority="8" operator="containsText" text="Implemented">
      <formula>NOT(ISERROR(SEARCH("Implemented",I1)))</formula>
    </cfRule>
  </conditionalFormatting>
  <conditionalFormatting sqref="I2:I3">
    <cfRule type="containsText" dxfId="37" priority="5" operator="containsText" text="Not Applicable">
      <formula>NOT(ISERROR(SEARCH("Not Applicable",I2)))</formula>
    </cfRule>
    <cfRule type="containsText" dxfId="36" priority="7" operator="containsText" text="Planned">
      <formula>NOT(ISERROR(SEARCH("Planned",I2)))</formula>
    </cfRule>
  </conditionalFormatting>
  <conditionalFormatting sqref="I1:J1 I4:J1048576">
    <cfRule type="containsText" dxfId="35" priority="15" operator="containsText" text="Not Applicable">
      <formula>NOT(ISERROR(SEARCH("Not Applicable",I1)))</formula>
    </cfRule>
  </conditionalFormatting>
  <conditionalFormatting sqref="J1 J4:J1048576">
    <cfRule type="containsText" dxfId="34" priority="9" operator="containsText" text="Partially Satisfied">
      <formula>NOT(ISERROR(SEARCH("Partially Satisfied",J1)))</formula>
    </cfRule>
    <cfRule type="containsText" dxfId="33" priority="10" operator="containsText" text="Satisfied">
      <formula>NOT(ISERROR(SEARCH("Satisfied",J1)))</formula>
    </cfRule>
    <cfRule type="containsText" dxfId="32" priority="11" operator="containsText" text="Other Than Satisfied">
      <formula>NOT(ISERROR(SEARCH("Other Than Satisfied",J1)))</formula>
    </cfRule>
  </conditionalFormatting>
  <conditionalFormatting sqref="J1:J1048576">
    <cfRule type="cellIs" dxfId="31" priority="1" operator="equal">
      <formula>"MET"</formula>
    </cfRule>
  </conditionalFormatting>
  <conditionalFormatting sqref="J2:J3">
    <cfRule type="containsText" dxfId="30" priority="3" operator="containsText" text="Other Than Satisfied">
      <formula>NOT(ISERROR(SEARCH("Other Than Satisfied",J2)))</formula>
    </cfRule>
    <cfRule type="containsText" dxfId="29" priority="4" operator="containsText" text="Not Applicable">
      <formula>NOT(ISERROR(SEARCH("Not Applicable",J2)))</formula>
    </cfRule>
  </conditionalFormatting>
  <dataValidations count="2">
    <dataValidation type="list" allowBlank="1" showInputMessage="1" showErrorMessage="1" sqref="I2:I10" xr:uid="{902D15C7-1642-4DF8-8C20-09E6C89AEE65}">
      <formula1>"Not Selected,Planned,Inherited,Partially Implemented,Implemented"</formula1>
    </dataValidation>
    <dataValidation type="list" allowBlank="1" showInputMessage="1" showErrorMessage="1" sqref="J2:J10" xr:uid="{A50546FC-360D-45A4-BD3A-1755B8C4FC4E}">
      <formula1>"MET,NOT MET"</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2CF9F-1E22-42A8-9C08-B4C4D82A8482}">
  <sheetPr>
    <tabColor rgb="FF7030A0"/>
  </sheetPr>
  <dimension ref="A1:K124"/>
  <sheetViews>
    <sheetView showGridLines="0" zoomScale="70" zoomScaleNormal="70" workbookViewId="0">
      <pane ySplit="1" topLeftCell="A2" activePane="bottomLeft" state="frozen"/>
      <selection activeCell="D181" sqref="D181"/>
      <selection pane="bottomLeft" activeCell="K3" sqref="K3"/>
    </sheetView>
  </sheetViews>
  <sheetFormatPr defaultColWidth="8.6640625" defaultRowHeight="50.1" customHeight="1" x14ac:dyDescent="0.3"/>
  <cols>
    <col min="1" max="1" width="22.109375" style="76" customWidth="1"/>
    <col min="2" max="3" width="16.88671875" style="44" customWidth="1"/>
    <col min="4" max="4" width="56.44140625" style="44" customWidth="1"/>
    <col min="5" max="5" width="48.44140625" style="44" customWidth="1"/>
    <col min="6" max="6" width="57" style="44" customWidth="1"/>
    <col min="7" max="7" width="35" style="44" customWidth="1"/>
    <col min="8" max="8" width="74.44140625" style="44" customWidth="1"/>
    <col min="9" max="9" width="42.5546875" style="77" customWidth="1"/>
    <col min="10" max="10" width="42.109375" style="77" customWidth="1"/>
    <col min="11" max="11" width="42.88671875" style="44" customWidth="1"/>
    <col min="12" max="16384" width="8.6640625" style="44"/>
  </cols>
  <sheetData>
    <row r="1" spans="1:11" ht="50.1" customHeight="1" thickBot="1" x14ac:dyDescent="0.35">
      <c r="A1" s="20" t="s">
        <v>43</v>
      </c>
      <c r="B1" s="20" t="s">
        <v>42</v>
      </c>
      <c r="C1" s="20" t="s">
        <v>93</v>
      </c>
      <c r="D1" s="20" t="s">
        <v>94</v>
      </c>
      <c r="E1" s="20" t="s">
        <v>95</v>
      </c>
      <c r="F1" s="20" t="s">
        <v>96</v>
      </c>
      <c r="G1" s="20" t="s">
        <v>97</v>
      </c>
      <c r="H1" s="20" t="s">
        <v>98</v>
      </c>
      <c r="I1" s="20" t="s">
        <v>44</v>
      </c>
      <c r="J1" s="20" t="s">
        <v>45</v>
      </c>
      <c r="K1" s="20" t="s">
        <v>99</v>
      </c>
    </row>
    <row r="2" spans="1:11" ht="50.1" customHeight="1" x14ac:dyDescent="0.3">
      <c r="A2" s="309" t="s">
        <v>85</v>
      </c>
      <c r="B2" s="78" t="s">
        <v>1028</v>
      </c>
      <c r="C2" s="78" t="s">
        <v>1056</v>
      </c>
      <c r="D2" s="78" t="s">
        <v>1064</v>
      </c>
      <c r="E2" s="79" t="s">
        <v>1072</v>
      </c>
      <c r="F2" s="80" t="s">
        <v>1073</v>
      </c>
      <c r="G2" s="242" t="s">
        <v>1074</v>
      </c>
      <c r="H2" s="121" t="s">
        <v>1487</v>
      </c>
      <c r="I2" s="52" t="s">
        <v>29</v>
      </c>
      <c r="J2" s="52" t="s">
        <v>111</v>
      </c>
      <c r="K2" s="209" t="s">
        <v>1273</v>
      </c>
    </row>
    <row r="3" spans="1:11" ht="50.1" customHeight="1" x14ac:dyDescent="0.3">
      <c r="A3" s="310"/>
      <c r="B3" s="81" t="s">
        <v>1028</v>
      </c>
      <c r="C3" s="81" t="s">
        <v>1057</v>
      </c>
      <c r="D3" s="82" t="s">
        <v>1065</v>
      </c>
      <c r="E3" s="83"/>
      <c r="F3" s="83"/>
      <c r="G3" s="83"/>
      <c r="H3" s="122" t="s">
        <v>1488</v>
      </c>
      <c r="I3" s="48" t="s">
        <v>29</v>
      </c>
      <c r="J3" s="48" t="s">
        <v>111</v>
      </c>
      <c r="K3" s="47" t="s">
        <v>1273</v>
      </c>
    </row>
    <row r="4" spans="1:11" ht="50.1" customHeight="1" x14ac:dyDescent="0.3">
      <c r="A4" s="310"/>
      <c r="B4" s="81" t="s">
        <v>1028</v>
      </c>
      <c r="C4" s="82" t="s">
        <v>1058</v>
      </c>
      <c r="D4" s="81" t="s">
        <v>1066</v>
      </c>
      <c r="E4" s="84"/>
      <c r="F4" s="84"/>
      <c r="G4" s="84"/>
      <c r="H4" s="319" t="s">
        <v>1519</v>
      </c>
      <c r="I4" s="48" t="s">
        <v>29</v>
      </c>
      <c r="J4" s="48" t="s">
        <v>111</v>
      </c>
      <c r="K4" s="319" t="s">
        <v>1522</v>
      </c>
    </row>
    <row r="5" spans="1:11" ht="50.1" customHeight="1" x14ac:dyDescent="0.3">
      <c r="A5" s="310"/>
      <c r="B5" s="81" t="s">
        <v>1028</v>
      </c>
      <c r="C5" s="81" t="s">
        <v>1059</v>
      </c>
      <c r="D5" s="82" t="s">
        <v>1067</v>
      </c>
      <c r="E5" s="83"/>
      <c r="F5" s="83"/>
      <c r="G5" s="83"/>
      <c r="H5" s="320"/>
      <c r="I5" s="48" t="s">
        <v>29</v>
      </c>
      <c r="J5" s="48" t="s">
        <v>111</v>
      </c>
      <c r="K5" s="320"/>
    </row>
    <row r="6" spans="1:11" ht="50.1" customHeight="1" x14ac:dyDescent="0.3">
      <c r="A6" s="310"/>
      <c r="B6" s="81" t="s">
        <v>1028</v>
      </c>
      <c r="C6" s="81" t="s">
        <v>1060</v>
      </c>
      <c r="D6" s="81" t="s">
        <v>1068</v>
      </c>
      <c r="E6" s="84"/>
      <c r="F6" s="84"/>
      <c r="G6" s="84"/>
      <c r="H6" s="319" t="s">
        <v>1520</v>
      </c>
      <c r="I6" s="48" t="s">
        <v>29</v>
      </c>
      <c r="J6" s="48" t="s">
        <v>111</v>
      </c>
      <c r="K6" s="319" t="s">
        <v>1522</v>
      </c>
    </row>
    <row r="7" spans="1:11" ht="50.1" customHeight="1" x14ac:dyDescent="0.3">
      <c r="A7" s="310"/>
      <c r="B7" s="81" t="s">
        <v>1028</v>
      </c>
      <c r="C7" s="81" t="s">
        <v>1061</v>
      </c>
      <c r="D7" s="82" t="s">
        <v>1069</v>
      </c>
      <c r="E7" s="83"/>
      <c r="F7" s="83"/>
      <c r="G7" s="83"/>
      <c r="H7" s="320"/>
      <c r="I7" s="48" t="s">
        <v>29</v>
      </c>
      <c r="J7" s="48" t="s">
        <v>111</v>
      </c>
      <c r="K7" s="320"/>
    </row>
    <row r="8" spans="1:11" ht="50.1" customHeight="1" x14ac:dyDescent="0.3">
      <c r="A8" s="310"/>
      <c r="B8" s="81" t="s">
        <v>1028</v>
      </c>
      <c r="C8" s="81" t="s">
        <v>1062</v>
      </c>
      <c r="D8" s="81" t="s">
        <v>1070</v>
      </c>
      <c r="E8" s="84"/>
      <c r="F8" s="84"/>
      <c r="G8" s="84"/>
      <c r="H8" s="319" t="s">
        <v>1521</v>
      </c>
      <c r="I8" s="48" t="s">
        <v>29</v>
      </c>
      <c r="J8" s="48" t="s">
        <v>111</v>
      </c>
      <c r="K8" s="319" t="s">
        <v>1522</v>
      </c>
    </row>
    <row r="9" spans="1:11" ht="50.1" customHeight="1" thickBot="1" x14ac:dyDescent="0.35">
      <c r="A9" s="311"/>
      <c r="B9" s="85" t="s">
        <v>1028</v>
      </c>
      <c r="C9" s="97" t="s">
        <v>1063</v>
      </c>
      <c r="D9" s="97" t="s">
        <v>1071</v>
      </c>
      <c r="E9" s="98"/>
      <c r="F9" s="98"/>
      <c r="G9" s="98"/>
      <c r="H9" s="307"/>
      <c r="I9" s="57" t="s">
        <v>29</v>
      </c>
      <c r="J9" s="57" t="s">
        <v>111</v>
      </c>
      <c r="K9" s="307"/>
    </row>
    <row r="10" spans="1:11" ht="50.1" customHeight="1" x14ac:dyDescent="0.3">
      <c r="A10" s="310" t="s">
        <v>1029</v>
      </c>
      <c r="B10" s="87" t="s">
        <v>1030</v>
      </c>
      <c r="C10" s="87" t="s">
        <v>1075</v>
      </c>
      <c r="D10" s="87" t="s">
        <v>1081</v>
      </c>
      <c r="E10" s="88" t="s">
        <v>1087</v>
      </c>
      <c r="F10" s="89" t="s">
        <v>1088</v>
      </c>
      <c r="G10" s="90" t="s">
        <v>1089</v>
      </c>
      <c r="H10" s="306" t="s">
        <v>1523</v>
      </c>
      <c r="I10" s="65" t="s">
        <v>29</v>
      </c>
      <c r="J10" s="65" t="s">
        <v>111</v>
      </c>
      <c r="K10" s="306" t="s">
        <v>1273</v>
      </c>
    </row>
    <row r="11" spans="1:11" ht="50.1" customHeight="1" x14ac:dyDescent="0.3">
      <c r="A11" s="310"/>
      <c r="B11" s="81" t="s">
        <v>1030</v>
      </c>
      <c r="C11" s="81" t="s">
        <v>1076</v>
      </c>
      <c r="D11" s="81" t="s">
        <v>1082</v>
      </c>
      <c r="E11" s="83"/>
      <c r="F11" s="83"/>
      <c r="G11" s="83"/>
      <c r="H11" s="308"/>
      <c r="I11" s="48" t="s">
        <v>29</v>
      </c>
      <c r="J11" s="48" t="s">
        <v>111</v>
      </c>
      <c r="K11" s="308"/>
    </row>
    <row r="12" spans="1:11" ht="50.1" customHeight="1" x14ac:dyDescent="0.3">
      <c r="A12" s="310"/>
      <c r="B12" s="81" t="s">
        <v>1030</v>
      </c>
      <c r="C12" s="82" t="s">
        <v>1077</v>
      </c>
      <c r="D12" s="81" t="s">
        <v>1083</v>
      </c>
      <c r="E12" s="83"/>
      <c r="F12" s="83"/>
      <c r="G12" s="83"/>
      <c r="H12" s="320"/>
      <c r="I12" s="48" t="s">
        <v>29</v>
      </c>
      <c r="J12" s="48" t="s">
        <v>111</v>
      </c>
      <c r="K12" s="320"/>
    </row>
    <row r="13" spans="1:11" ht="50.1" customHeight="1" x14ac:dyDescent="0.3">
      <c r="A13" s="310"/>
      <c r="B13" s="81" t="s">
        <v>1030</v>
      </c>
      <c r="C13" s="81" t="s">
        <v>1078</v>
      </c>
      <c r="D13" s="81" t="s">
        <v>1084</v>
      </c>
      <c r="E13" s="83"/>
      <c r="F13" s="83"/>
      <c r="G13" s="83"/>
      <c r="H13" s="319" t="s">
        <v>1524</v>
      </c>
      <c r="I13" s="48" t="s">
        <v>29</v>
      </c>
      <c r="J13" s="48" t="s">
        <v>111</v>
      </c>
      <c r="K13" s="319" t="s">
        <v>1273</v>
      </c>
    </row>
    <row r="14" spans="1:11" ht="50.1" customHeight="1" x14ac:dyDescent="0.3">
      <c r="A14" s="310"/>
      <c r="B14" s="81" t="s">
        <v>1030</v>
      </c>
      <c r="C14" s="81" t="s">
        <v>1079</v>
      </c>
      <c r="D14" s="81" t="s">
        <v>1085</v>
      </c>
      <c r="E14" s="83"/>
      <c r="F14" s="83"/>
      <c r="G14" s="83"/>
      <c r="H14" s="308"/>
      <c r="I14" s="48" t="s">
        <v>29</v>
      </c>
      <c r="J14" s="48" t="s">
        <v>111</v>
      </c>
      <c r="K14" s="308"/>
    </row>
    <row r="15" spans="1:11" ht="50.1" customHeight="1" thickBot="1" x14ac:dyDescent="0.35">
      <c r="A15" s="310"/>
      <c r="B15" s="91" t="s">
        <v>1030</v>
      </c>
      <c r="C15" s="91" t="s">
        <v>1080</v>
      </c>
      <c r="D15" s="92" t="s">
        <v>1086</v>
      </c>
      <c r="E15" s="93"/>
      <c r="F15" s="93"/>
      <c r="G15" s="93"/>
      <c r="H15" s="307"/>
      <c r="I15" s="69" t="s">
        <v>29</v>
      </c>
      <c r="J15" s="69" t="s">
        <v>111</v>
      </c>
      <c r="K15" s="307"/>
    </row>
    <row r="16" spans="1:11" ht="50.1" customHeight="1" x14ac:dyDescent="0.3">
      <c r="A16" s="316" t="s">
        <v>1031</v>
      </c>
      <c r="B16" s="78" t="s">
        <v>1090</v>
      </c>
      <c r="C16" s="78" t="s">
        <v>1091</v>
      </c>
      <c r="D16" s="94" t="s">
        <v>1094</v>
      </c>
      <c r="E16" s="95" t="s">
        <v>1097</v>
      </c>
      <c r="F16" s="96" t="s">
        <v>1098</v>
      </c>
      <c r="G16" s="105" t="s">
        <v>1099</v>
      </c>
      <c r="H16" s="306" t="s">
        <v>1525</v>
      </c>
      <c r="I16" s="52" t="s">
        <v>29</v>
      </c>
      <c r="J16" s="52" t="s">
        <v>111</v>
      </c>
      <c r="K16" s="306" t="s">
        <v>1526</v>
      </c>
    </row>
    <row r="17" spans="1:11" ht="50.1" customHeight="1" x14ac:dyDescent="0.3">
      <c r="A17" s="315"/>
      <c r="B17" s="81" t="s">
        <v>1090</v>
      </c>
      <c r="C17" s="81" t="s">
        <v>1092</v>
      </c>
      <c r="D17" s="81" t="s">
        <v>1095</v>
      </c>
      <c r="E17" s="84"/>
      <c r="F17" s="84"/>
      <c r="G17" s="84"/>
      <c r="H17" s="308"/>
      <c r="I17" s="48" t="s">
        <v>29</v>
      </c>
      <c r="J17" s="48" t="s">
        <v>111</v>
      </c>
      <c r="K17" s="308"/>
    </row>
    <row r="18" spans="1:11" ht="50.1" customHeight="1" thickBot="1" x14ac:dyDescent="0.35">
      <c r="A18" s="317"/>
      <c r="B18" s="85" t="s">
        <v>1090</v>
      </c>
      <c r="C18" s="97" t="s">
        <v>1093</v>
      </c>
      <c r="D18" s="97" t="s">
        <v>1096</v>
      </c>
      <c r="E18" s="98"/>
      <c r="F18" s="98"/>
      <c r="G18" s="98"/>
      <c r="H18" s="307"/>
      <c r="I18" s="57" t="s">
        <v>29</v>
      </c>
      <c r="J18" s="57" t="s">
        <v>111</v>
      </c>
      <c r="K18" s="307"/>
    </row>
    <row r="19" spans="1:11" ht="50.1" customHeight="1" thickBot="1" x14ac:dyDescent="0.35">
      <c r="A19" s="232" t="s">
        <v>1032</v>
      </c>
      <c r="B19" s="108" t="s">
        <v>1108</v>
      </c>
      <c r="C19" s="108" t="s">
        <v>1100</v>
      </c>
      <c r="D19" s="108" t="s">
        <v>1101</v>
      </c>
      <c r="E19" s="109" t="s">
        <v>1102</v>
      </c>
      <c r="F19" s="110" t="s">
        <v>1098</v>
      </c>
      <c r="G19" s="111" t="s">
        <v>1099</v>
      </c>
      <c r="H19" s="203" t="s">
        <v>1527</v>
      </c>
      <c r="I19" s="74" t="s">
        <v>29</v>
      </c>
      <c r="J19" s="74" t="s">
        <v>111</v>
      </c>
      <c r="K19" s="203" t="s">
        <v>1273</v>
      </c>
    </row>
    <row r="20" spans="1:11" ht="50.1" customHeight="1" x14ac:dyDescent="0.3">
      <c r="A20" s="309" t="s">
        <v>1033</v>
      </c>
      <c r="B20" s="78" t="s">
        <v>1034</v>
      </c>
      <c r="C20" s="78" t="s">
        <v>1103</v>
      </c>
      <c r="D20" s="78" t="s">
        <v>1105</v>
      </c>
      <c r="E20" s="79" t="s">
        <v>1107</v>
      </c>
      <c r="F20" s="80" t="s">
        <v>1073</v>
      </c>
      <c r="G20" s="103" t="s">
        <v>1074</v>
      </c>
      <c r="H20" s="306" t="s">
        <v>1528</v>
      </c>
      <c r="I20" s="52" t="s">
        <v>29</v>
      </c>
      <c r="J20" s="52" t="s">
        <v>111</v>
      </c>
      <c r="K20" s="306" t="s">
        <v>1273</v>
      </c>
    </row>
    <row r="21" spans="1:11" ht="50.1" customHeight="1" thickBot="1" x14ac:dyDescent="0.35">
      <c r="A21" s="311"/>
      <c r="B21" s="85" t="s">
        <v>1034</v>
      </c>
      <c r="C21" s="85" t="s">
        <v>1104</v>
      </c>
      <c r="D21" s="85" t="s">
        <v>1106</v>
      </c>
      <c r="E21" s="98"/>
      <c r="F21" s="98"/>
      <c r="G21" s="98"/>
      <c r="H21" s="307"/>
      <c r="I21" s="57" t="s">
        <v>29</v>
      </c>
      <c r="J21" s="57" t="s">
        <v>111</v>
      </c>
      <c r="K21" s="307"/>
    </row>
    <row r="22" spans="1:11" ht="50.1" customHeight="1" x14ac:dyDescent="0.3">
      <c r="A22" s="310" t="s">
        <v>1035</v>
      </c>
      <c r="B22" s="87" t="s">
        <v>1109</v>
      </c>
      <c r="C22" s="87" t="s">
        <v>1110</v>
      </c>
      <c r="D22" s="87" t="s">
        <v>1112</v>
      </c>
      <c r="E22" s="88" t="s">
        <v>1114</v>
      </c>
      <c r="F22" s="89" t="s">
        <v>1073</v>
      </c>
      <c r="G22" s="90" t="s">
        <v>1115</v>
      </c>
      <c r="H22" s="306" t="s">
        <v>1529</v>
      </c>
      <c r="I22" s="65" t="s">
        <v>29</v>
      </c>
      <c r="J22" s="65" t="s">
        <v>111</v>
      </c>
      <c r="K22" s="306" t="s">
        <v>1530</v>
      </c>
    </row>
    <row r="23" spans="1:11" ht="50.1" customHeight="1" thickBot="1" x14ac:dyDescent="0.35">
      <c r="A23" s="310"/>
      <c r="B23" s="91" t="s">
        <v>1109</v>
      </c>
      <c r="C23" s="91" t="s">
        <v>1111</v>
      </c>
      <c r="D23" s="92" t="s">
        <v>1113</v>
      </c>
      <c r="E23" s="93"/>
      <c r="F23" s="93"/>
      <c r="G23" s="93"/>
      <c r="H23" s="307"/>
      <c r="I23" s="69" t="s">
        <v>29</v>
      </c>
      <c r="J23" s="69" t="s">
        <v>111</v>
      </c>
      <c r="K23" s="307"/>
    </row>
    <row r="24" spans="1:11" ht="50.1" customHeight="1" thickBot="1" x14ac:dyDescent="0.35">
      <c r="A24" s="235" t="s">
        <v>1037</v>
      </c>
      <c r="B24" s="116" t="s">
        <v>1038</v>
      </c>
      <c r="C24" s="116" t="s">
        <v>1116</v>
      </c>
      <c r="D24" s="116" t="s">
        <v>1117</v>
      </c>
      <c r="E24" s="117" t="s">
        <v>1118</v>
      </c>
      <c r="F24" s="118" t="s">
        <v>1073</v>
      </c>
      <c r="G24" s="119" t="s">
        <v>1119</v>
      </c>
      <c r="H24" s="231" t="s">
        <v>1531</v>
      </c>
      <c r="I24" s="75" t="s">
        <v>35</v>
      </c>
      <c r="J24" s="75" t="s">
        <v>111</v>
      </c>
      <c r="K24" s="231" t="s">
        <v>1262</v>
      </c>
    </row>
    <row r="25" spans="1:11" ht="50.1" customHeight="1" x14ac:dyDescent="0.3">
      <c r="A25" s="310" t="s">
        <v>1039</v>
      </c>
      <c r="B25" s="87" t="s">
        <v>1040</v>
      </c>
      <c r="C25" s="87" t="s">
        <v>1120</v>
      </c>
      <c r="D25" s="87" t="s">
        <v>1123</v>
      </c>
      <c r="E25" s="88" t="s">
        <v>1126</v>
      </c>
      <c r="F25" s="89" t="s">
        <v>1098</v>
      </c>
      <c r="G25" s="90" t="s">
        <v>1127</v>
      </c>
      <c r="H25" s="306" t="s">
        <v>1532</v>
      </c>
      <c r="I25" s="65" t="s">
        <v>29</v>
      </c>
      <c r="J25" s="65" t="s">
        <v>111</v>
      </c>
      <c r="K25" s="306" t="s">
        <v>1533</v>
      </c>
    </row>
    <row r="26" spans="1:11" ht="50.1" customHeight="1" x14ac:dyDescent="0.3">
      <c r="A26" s="310"/>
      <c r="B26" s="81" t="s">
        <v>1040</v>
      </c>
      <c r="C26" s="81" t="s">
        <v>1121</v>
      </c>
      <c r="D26" s="108" t="s">
        <v>1124</v>
      </c>
      <c r="E26" s="230"/>
      <c r="F26" s="230"/>
      <c r="G26" s="230"/>
      <c r="H26" s="308"/>
      <c r="I26" s="48" t="s">
        <v>29</v>
      </c>
      <c r="J26" s="48" t="s">
        <v>111</v>
      </c>
      <c r="K26" s="308"/>
    </row>
    <row r="27" spans="1:11" ht="50.1" customHeight="1" thickBot="1" x14ac:dyDescent="0.35">
      <c r="A27" s="310"/>
      <c r="B27" s="91" t="s">
        <v>1040</v>
      </c>
      <c r="C27" s="92" t="s">
        <v>1122</v>
      </c>
      <c r="D27" s="92" t="s">
        <v>1125</v>
      </c>
      <c r="E27" s="93"/>
      <c r="F27" s="93"/>
      <c r="G27" s="93"/>
      <c r="H27" s="307"/>
      <c r="I27" s="69" t="s">
        <v>29</v>
      </c>
      <c r="J27" s="69" t="s">
        <v>111</v>
      </c>
      <c r="K27" s="307"/>
    </row>
    <row r="28" spans="1:11" ht="50.1" customHeight="1" x14ac:dyDescent="0.3">
      <c r="A28" s="316" t="s">
        <v>1041</v>
      </c>
      <c r="B28" s="78" t="s">
        <v>1042</v>
      </c>
      <c r="C28" s="78" t="s">
        <v>1128</v>
      </c>
      <c r="D28" s="94" t="s">
        <v>1131</v>
      </c>
      <c r="E28" s="95" t="s">
        <v>1134</v>
      </c>
      <c r="F28" s="96" t="s">
        <v>1098</v>
      </c>
      <c r="G28" s="105" t="s">
        <v>1135</v>
      </c>
      <c r="H28" s="306" t="s">
        <v>1545</v>
      </c>
      <c r="I28" s="52" t="s">
        <v>29</v>
      </c>
      <c r="J28" s="52" t="s">
        <v>111</v>
      </c>
      <c r="K28" s="306" t="s">
        <v>1546</v>
      </c>
    </row>
    <row r="29" spans="1:11" ht="50.1" customHeight="1" x14ac:dyDescent="0.3">
      <c r="A29" s="315"/>
      <c r="B29" s="81" t="s">
        <v>1042</v>
      </c>
      <c r="C29" s="81" t="s">
        <v>1129</v>
      </c>
      <c r="D29" s="81" t="s">
        <v>1132</v>
      </c>
      <c r="E29" s="84"/>
      <c r="F29" s="84"/>
      <c r="G29" s="84"/>
      <c r="H29" s="308"/>
      <c r="I29" s="48" t="s">
        <v>29</v>
      </c>
      <c r="J29" s="48" t="s">
        <v>111</v>
      </c>
      <c r="K29" s="308"/>
    </row>
    <row r="30" spans="1:11" ht="50.1" customHeight="1" thickBot="1" x14ac:dyDescent="0.35">
      <c r="A30" s="317"/>
      <c r="B30" s="85" t="s">
        <v>1042</v>
      </c>
      <c r="C30" s="97" t="s">
        <v>1130</v>
      </c>
      <c r="D30" s="97" t="s">
        <v>1133</v>
      </c>
      <c r="E30" s="98"/>
      <c r="F30" s="98"/>
      <c r="G30" s="98"/>
      <c r="H30" s="307"/>
      <c r="I30" s="57" t="s">
        <v>29</v>
      </c>
      <c r="J30" s="57" t="s">
        <v>111</v>
      </c>
      <c r="K30" s="307"/>
    </row>
    <row r="31" spans="1:11" ht="50.1" customHeight="1" x14ac:dyDescent="0.3">
      <c r="A31" s="315" t="s">
        <v>1043</v>
      </c>
      <c r="B31" s="87" t="s">
        <v>1044</v>
      </c>
      <c r="C31" s="87" t="s">
        <v>1136</v>
      </c>
      <c r="D31" s="99" t="s">
        <v>1139</v>
      </c>
      <c r="E31" s="100" t="s">
        <v>1142</v>
      </c>
      <c r="F31" s="101" t="s">
        <v>1143</v>
      </c>
      <c r="G31" s="102" t="s">
        <v>1144</v>
      </c>
      <c r="H31" s="306" t="s">
        <v>1537</v>
      </c>
      <c r="I31" s="65" t="s">
        <v>29</v>
      </c>
      <c r="J31" s="65" t="s">
        <v>111</v>
      </c>
      <c r="K31" s="306" t="s">
        <v>1538</v>
      </c>
    </row>
    <row r="32" spans="1:11" ht="50.1" customHeight="1" thickBot="1" x14ac:dyDescent="0.35">
      <c r="A32" s="317"/>
      <c r="B32" s="91" t="s">
        <v>1044</v>
      </c>
      <c r="C32" s="91" t="s">
        <v>1137</v>
      </c>
      <c r="D32" s="91" t="s">
        <v>1138</v>
      </c>
      <c r="E32" s="104"/>
      <c r="F32" s="104"/>
      <c r="G32" s="104"/>
      <c r="H32" s="307"/>
      <c r="I32" s="69" t="s">
        <v>29</v>
      </c>
      <c r="J32" s="69" t="s">
        <v>111</v>
      </c>
      <c r="K32" s="307"/>
    </row>
    <row r="33" spans="1:11" ht="50.1" customHeight="1" thickBot="1" x14ac:dyDescent="0.35">
      <c r="A33" s="232" t="s">
        <v>1045</v>
      </c>
      <c r="B33" s="116" t="s">
        <v>1046</v>
      </c>
      <c r="C33" s="116" t="s">
        <v>1141</v>
      </c>
      <c r="D33" s="116" t="s">
        <v>1140</v>
      </c>
      <c r="E33" s="117" t="s">
        <v>1145</v>
      </c>
      <c r="F33" s="118" t="s">
        <v>1146</v>
      </c>
      <c r="G33" s="119" t="s">
        <v>1147</v>
      </c>
      <c r="H33" s="231" t="s">
        <v>1541</v>
      </c>
      <c r="I33" s="75" t="s">
        <v>29</v>
      </c>
      <c r="J33" s="75" t="s">
        <v>111</v>
      </c>
      <c r="K33" s="231" t="s">
        <v>1542</v>
      </c>
    </row>
    <row r="34" spans="1:11" ht="50.1" customHeight="1" x14ac:dyDescent="0.3">
      <c r="A34" s="309" t="s">
        <v>1047</v>
      </c>
      <c r="B34" s="87" t="s">
        <v>1048</v>
      </c>
      <c r="C34" s="87" t="s">
        <v>1148</v>
      </c>
      <c r="D34" s="87" t="s">
        <v>1151</v>
      </c>
      <c r="E34" s="88" t="s">
        <v>1154</v>
      </c>
      <c r="F34" s="89" t="s">
        <v>1155</v>
      </c>
      <c r="G34" s="90" t="s">
        <v>1156</v>
      </c>
      <c r="H34" s="306" t="s">
        <v>1517</v>
      </c>
      <c r="I34" s="65" t="s">
        <v>29</v>
      </c>
      <c r="J34" s="65" t="s">
        <v>111</v>
      </c>
      <c r="K34" s="306" t="s">
        <v>1518</v>
      </c>
    </row>
    <row r="35" spans="1:11" ht="50.1" customHeight="1" x14ac:dyDescent="0.3">
      <c r="A35" s="310"/>
      <c r="B35" s="81" t="s">
        <v>1048</v>
      </c>
      <c r="C35" s="81" t="s">
        <v>1149</v>
      </c>
      <c r="D35" s="108" t="s">
        <v>1152</v>
      </c>
      <c r="E35" s="230"/>
      <c r="F35" s="230"/>
      <c r="G35" s="230"/>
      <c r="H35" s="308"/>
      <c r="I35" s="48" t="s">
        <v>29</v>
      </c>
      <c r="J35" s="48" t="s">
        <v>111</v>
      </c>
      <c r="K35" s="308"/>
    </row>
    <row r="36" spans="1:11" ht="50.1" customHeight="1" thickBot="1" x14ac:dyDescent="0.35">
      <c r="A36" s="310"/>
      <c r="B36" s="91" t="s">
        <v>1048</v>
      </c>
      <c r="C36" s="92" t="s">
        <v>1150</v>
      </c>
      <c r="D36" s="92" t="s">
        <v>1153</v>
      </c>
      <c r="E36" s="93"/>
      <c r="F36" s="93"/>
      <c r="G36" s="93"/>
      <c r="H36" s="307"/>
      <c r="I36" s="69" t="s">
        <v>29</v>
      </c>
      <c r="J36" s="69" t="s">
        <v>111</v>
      </c>
      <c r="K36" s="307"/>
    </row>
    <row r="37" spans="1:11" ht="50.1" customHeight="1" x14ac:dyDescent="0.3">
      <c r="A37" s="309" t="s">
        <v>86</v>
      </c>
      <c r="B37" s="78" t="s">
        <v>1049</v>
      </c>
      <c r="C37" s="78" t="s">
        <v>1157</v>
      </c>
      <c r="D37" s="78" t="s">
        <v>1159</v>
      </c>
      <c r="E37" s="79" t="s">
        <v>1161</v>
      </c>
      <c r="F37" s="80" t="s">
        <v>1162</v>
      </c>
      <c r="G37" s="103" t="s">
        <v>1163</v>
      </c>
      <c r="H37" s="306" t="s">
        <v>1543</v>
      </c>
      <c r="I37" s="52" t="s">
        <v>29</v>
      </c>
      <c r="J37" s="52" t="s">
        <v>111</v>
      </c>
      <c r="K37" s="306" t="s">
        <v>1544</v>
      </c>
    </row>
    <row r="38" spans="1:11" ht="50.1" customHeight="1" thickBot="1" x14ac:dyDescent="0.35">
      <c r="A38" s="311"/>
      <c r="B38" s="85" t="s">
        <v>1049</v>
      </c>
      <c r="C38" s="85" t="s">
        <v>1158</v>
      </c>
      <c r="D38" s="97" t="s">
        <v>1160</v>
      </c>
      <c r="E38" s="98"/>
      <c r="F38" s="98"/>
      <c r="G38" s="98"/>
      <c r="H38" s="307"/>
      <c r="I38" s="57" t="s">
        <v>29</v>
      </c>
      <c r="J38" s="57" t="s">
        <v>111</v>
      </c>
      <c r="K38" s="307"/>
    </row>
    <row r="39" spans="1:11" ht="50.1" customHeight="1" x14ac:dyDescent="0.3">
      <c r="A39" s="310" t="s">
        <v>1050</v>
      </c>
      <c r="B39" s="87" t="s">
        <v>1051</v>
      </c>
      <c r="C39" s="87" t="s">
        <v>1164</v>
      </c>
      <c r="D39" s="87" t="s">
        <v>1166</v>
      </c>
      <c r="E39" s="88" t="s">
        <v>1168</v>
      </c>
      <c r="F39" s="89" t="s">
        <v>1169</v>
      </c>
      <c r="G39" s="90" t="s">
        <v>1170</v>
      </c>
      <c r="H39" s="306" t="s">
        <v>1540</v>
      </c>
      <c r="I39" s="65" t="s">
        <v>29</v>
      </c>
      <c r="J39" s="65" t="s">
        <v>111</v>
      </c>
      <c r="K39" s="306" t="s">
        <v>1539</v>
      </c>
    </row>
    <row r="40" spans="1:11" ht="50.1" customHeight="1" thickBot="1" x14ac:dyDescent="0.35">
      <c r="A40" s="310"/>
      <c r="B40" s="91" t="s">
        <v>1051</v>
      </c>
      <c r="C40" s="91" t="s">
        <v>1165</v>
      </c>
      <c r="D40" s="92" t="s">
        <v>1167</v>
      </c>
      <c r="E40" s="93"/>
      <c r="F40" s="93"/>
      <c r="G40" s="93"/>
      <c r="H40" s="307"/>
      <c r="I40" s="69" t="s">
        <v>29</v>
      </c>
      <c r="J40" s="69" t="s">
        <v>111</v>
      </c>
      <c r="K40" s="307"/>
    </row>
    <row r="41" spans="1:11" ht="50.1" customHeight="1" thickBot="1" x14ac:dyDescent="0.35">
      <c r="A41" s="235" t="s">
        <v>1052</v>
      </c>
      <c r="B41" s="116" t="s">
        <v>1053</v>
      </c>
      <c r="C41" s="116" t="s">
        <v>1171</v>
      </c>
      <c r="D41" s="116" t="s">
        <v>1172</v>
      </c>
      <c r="E41" s="117" t="s">
        <v>1173</v>
      </c>
      <c r="F41" s="118" t="s">
        <v>273</v>
      </c>
      <c r="G41" s="119" t="s">
        <v>1174</v>
      </c>
      <c r="H41" s="231" t="s">
        <v>1534</v>
      </c>
      <c r="I41" s="75" t="s">
        <v>29</v>
      </c>
      <c r="J41" s="75" t="s">
        <v>111</v>
      </c>
      <c r="K41" s="231" t="s">
        <v>1533</v>
      </c>
    </row>
    <row r="42" spans="1:11" ht="50.1" customHeight="1" thickBot="1" x14ac:dyDescent="0.35">
      <c r="A42" s="235" t="s">
        <v>1054</v>
      </c>
      <c r="B42" s="116" t="s">
        <v>1055</v>
      </c>
      <c r="C42" s="116" t="s">
        <v>1176</v>
      </c>
      <c r="D42" s="116" t="s">
        <v>1175</v>
      </c>
      <c r="E42" s="117" t="s">
        <v>1177</v>
      </c>
      <c r="F42" s="118" t="s">
        <v>1098</v>
      </c>
      <c r="G42" s="119" t="s">
        <v>1178</v>
      </c>
      <c r="H42" s="231" t="s">
        <v>1535</v>
      </c>
      <c r="I42" s="75" t="s">
        <v>29</v>
      </c>
      <c r="J42" s="75" t="s">
        <v>111</v>
      </c>
      <c r="K42" s="231" t="s">
        <v>1536</v>
      </c>
    </row>
    <row r="43" spans="1:11" ht="50.1" customHeight="1" x14ac:dyDescent="0.3">
      <c r="A43" s="13"/>
      <c r="B43" s="106"/>
      <c r="C43" s="106"/>
      <c r="D43" s="106"/>
      <c r="E43" s="106"/>
      <c r="F43" s="106"/>
      <c r="G43" s="106"/>
    </row>
    <row r="44" spans="1:11" ht="50.1" customHeight="1" x14ac:dyDescent="0.3">
      <c r="A44" s="12"/>
      <c r="B44" s="106"/>
      <c r="C44" s="106"/>
      <c r="D44" s="106"/>
      <c r="E44" s="106"/>
      <c r="F44" s="106"/>
      <c r="G44" s="106"/>
    </row>
    <row r="45" spans="1:11" ht="50.1" customHeight="1" x14ac:dyDescent="0.3">
      <c r="A45" s="12"/>
      <c r="B45" s="106"/>
      <c r="C45" s="106"/>
      <c r="D45" s="106"/>
      <c r="E45" s="106"/>
      <c r="F45" s="107"/>
      <c r="G45" s="107"/>
    </row>
    <row r="46" spans="1:11" ht="50.1" customHeight="1" x14ac:dyDescent="0.3">
      <c r="A46" s="12"/>
      <c r="B46" s="106"/>
      <c r="C46" s="106"/>
      <c r="D46" s="106"/>
      <c r="E46" s="106"/>
      <c r="F46" s="107"/>
      <c r="G46" s="107"/>
    </row>
    <row r="47" spans="1:11" ht="50.1" customHeight="1" x14ac:dyDescent="0.3">
      <c r="A47" s="12"/>
      <c r="B47" s="106"/>
      <c r="C47" s="106"/>
      <c r="D47" s="106"/>
      <c r="E47" s="106"/>
      <c r="F47" s="107"/>
      <c r="G47" s="107"/>
    </row>
    <row r="48" spans="1:11" ht="50.1" customHeight="1" x14ac:dyDescent="0.3">
      <c r="A48" s="12"/>
      <c r="B48" s="106"/>
      <c r="C48" s="106"/>
      <c r="D48" s="106"/>
      <c r="E48" s="106"/>
      <c r="F48" s="107"/>
      <c r="G48" s="107"/>
    </row>
    <row r="49" spans="1:7" ht="50.1" customHeight="1" x14ac:dyDescent="0.3">
      <c r="A49" s="12"/>
      <c r="B49" s="106"/>
      <c r="C49" s="106"/>
      <c r="D49" s="106"/>
      <c r="E49" s="106"/>
      <c r="F49" s="107"/>
      <c r="G49" s="107"/>
    </row>
    <row r="50" spans="1:7" ht="50.1" customHeight="1" x14ac:dyDescent="0.3">
      <c r="A50" s="12"/>
      <c r="B50" s="106"/>
      <c r="C50" s="106"/>
      <c r="D50" s="106"/>
      <c r="E50" s="106"/>
      <c r="F50" s="107"/>
      <c r="G50" s="107"/>
    </row>
    <row r="51" spans="1:7" ht="50.1" customHeight="1" x14ac:dyDescent="0.3">
      <c r="A51" s="12"/>
      <c r="B51" s="106"/>
      <c r="C51" s="106"/>
      <c r="D51" s="106"/>
      <c r="E51" s="106"/>
      <c r="F51" s="107"/>
      <c r="G51" s="107"/>
    </row>
    <row r="52" spans="1:7" ht="50.1" customHeight="1" x14ac:dyDescent="0.3">
      <c r="A52" s="12"/>
      <c r="B52" s="106"/>
      <c r="C52" s="106"/>
      <c r="D52" s="106"/>
      <c r="E52" s="106"/>
      <c r="F52" s="106"/>
      <c r="G52" s="106"/>
    </row>
    <row r="53" spans="1:7" ht="50.1" customHeight="1" x14ac:dyDescent="0.3">
      <c r="A53" s="12"/>
      <c r="B53" s="106"/>
      <c r="C53" s="106"/>
      <c r="D53" s="106"/>
      <c r="E53" s="106"/>
      <c r="F53" s="107"/>
      <c r="G53" s="107"/>
    </row>
    <row r="54" spans="1:7" ht="50.1" customHeight="1" x14ac:dyDescent="0.3">
      <c r="A54" s="12"/>
      <c r="B54" s="106"/>
      <c r="C54" s="106"/>
      <c r="D54" s="106"/>
      <c r="E54" s="106"/>
      <c r="F54" s="107"/>
      <c r="G54" s="107"/>
    </row>
    <row r="55" spans="1:7" ht="50.1" customHeight="1" x14ac:dyDescent="0.3">
      <c r="A55" s="12"/>
      <c r="B55" s="106"/>
      <c r="C55" s="106"/>
      <c r="D55" s="106"/>
      <c r="E55" s="106"/>
      <c r="F55" s="107"/>
      <c r="G55" s="107"/>
    </row>
    <row r="56" spans="1:7" ht="50.1" customHeight="1" x14ac:dyDescent="0.3">
      <c r="A56" s="12"/>
      <c r="B56" s="106"/>
      <c r="C56" s="106"/>
      <c r="D56" s="106"/>
      <c r="E56" s="106"/>
      <c r="F56" s="107"/>
      <c r="G56" s="107"/>
    </row>
    <row r="57" spans="1:7" ht="50.1" customHeight="1" x14ac:dyDescent="0.3">
      <c r="A57" s="12"/>
      <c r="B57" s="106"/>
      <c r="C57" s="106"/>
      <c r="D57" s="106"/>
      <c r="E57" s="106"/>
      <c r="F57" s="107"/>
      <c r="G57" s="107"/>
    </row>
    <row r="58" spans="1:7" ht="50.1" customHeight="1" x14ac:dyDescent="0.3">
      <c r="A58" s="12"/>
      <c r="B58" s="106"/>
      <c r="C58" s="106"/>
      <c r="D58" s="106"/>
      <c r="E58" s="106"/>
      <c r="F58" s="107"/>
      <c r="G58" s="107"/>
    </row>
    <row r="59" spans="1:7" ht="50.1" customHeight="1" x14ac:dyDescent="0.3">
      <c r="A59" s="12"/>
      <c r="B59" s="106"/>
      <c r="C59" s="106"/>
      <c r="D59" s="106"/>
      <c r="E59" s="106"/>
      <c r="F59" s="107"/>
      <c r="G59" s="107"/>
    </row>
    <row r="60" spans="1:7" ht="50.1" customHeight="1" x14ac:dyDescent="0.3">
      <c r="A60" s="12"/>
      <c r="B60" s="106"/>
      <c r="C60" s="106"/>
      <c r="D60" s="106"/>
      <c r="E60" s="106"/>
      <c r="F60" s="107"/>
      <c r="G60" s="107"/>
    </row>
    <row r="61" spans="1:7" ht="50.1" customHeight="1" x14ac:dyDescent="0.3">
      <c r="A61" s="12"/>
      <c r="B61" s="106"/>
      <c r="C61" s="106"/>
      <c r="D61" s="106"/>
      <c r="E61" s="106"/>
      <c r="F61" s="107"/>
      <c r="G61" s="107"/>
    </row>
    <row r="62" spans="1:7" ht="50.1" customHeight="1" x14ac:dyDescent="0.3">
      <c r="A62" s="12"/>
      <c r="B62" s="106"/>
      <c r="C62" s="106"/>
      <c r="D62" s="106"/>
      <c r="E62" s="106"/>
      <c r="F62" s="107"/>
      <c r="G62" s="107"/>
    </row>
    <row r="63" spans="1:7" ht="50.1" customHeight="1" x14ac:dyDescent="0.3">
      <c r="A63" s="12"/>
      <c r="B63" s="106"/>
      <c r="C63" s="106"/>
      <c r="D63" s="106"/>
      <c r="E63" s="106"/>
      <c r="F63" s="106"/>
      <c r="G63" s="106"/>
    </row>
    <row r="64" spans="1:7" ht="50.1" customHeight="1" x14ac:dyDescent="0.3">
      <c r="A64" s="12"/>
      <c r="B64" s="106"/>
      <c r="C64" s="106"/>
      <c r="D64" s="106"/>
      <c r="E64" s="106"/>
      <c r="F64" s="107"/>
      <c r="G64" s="107"/>
    </row>
    <row r="65" spans="1:7" ht="50.1" customHeight="1" x14ac:dyDescent="0.3">
      <c r="A65" s="12"/>
      <c r="B65" s="106"/>
      <c r="C65" s="106"/>
      <c r="D65" s="106"/>
      <c r="E65" s="106"/>
      <c r="F65" s="107"/>
      <c r="G65" s="107"/>
    </row>
    <row r="66" spans="1:7" ht="50.1" customHeight="1" x14ac:dyDescent="0.3">
      <c r="A66" s="12"/>
      <c r="B66" s="106"/>
      <c r="C66" s="106"/>
      <c r="D66" s="106"/>
      <c r="E66" s="106"/>
      <c r="F66" s="107"/>
      <c r="G66" s="107"/>
    </row>
    <row r="67" spans="1:7" ht="50.1" customHeight="1" x14ac:dyDescent="0.3">
      <c r="A67" s="13"/>
      <c r="B67" s="106"/>
      <c r="C67" s="106"/>
      <c r="D67" s="106"/>
      <c r="E67" s="106"/>
      <c r="F67" s="106"/>
      <c r="G67" s="106"/>
    </row>
    <row r="68" spans="1:7" ht="50.1" customHeight="1" x14ac:dyDescent="0.3">
      <c r="A68" s="12"/>
      <c r="B68" s="106"/>
      <c r="C68" s="106"/>
      <c r="D68" s="106"/>
      <c r="E68" s="106"/>
      <c r="F68" s="106"/>
      <c r="G68" s="106"/>
    </row>
    <row r="69" spans="1:7" ht="50.1" customHeight="1" x14ac:dyDescent="0.3">
      <c r="A69" s="12"/>
      <c r="B69" s="106"/>
      <c r="C69" s="106"/>
      <c r="D69" s="106"/>
      <c r="E69" s="106"/>
      <c r="F69" s="107"/>
      <c r="G69" s="107"/>
    </row>
    <row r="70" spans="1:7" ht="50.1" customHeight="1" x14ac:dyDescent="0.3">
      <c r="A70" s="12"/>
      <c r="B70" s="106"/>
      <c r="C70" s="106"/>
      <c r="D70" s="106"/>
      <c r="E70" s="106"/>
      <c r="F70" s="106"/>
      <c r="G70" s="107"/>
    </row>
    <row r="71" spans="1:7" ht="50.1" customHeight="1" x14ac:dyDescent="0.3">
      <c r="A71" s="12"/>
      <c r="B71" s="106"/>
      <c r="C71" s="106"/>
      <c r="D71" s="106"/>
      <c r="E71" s="106"/>
      <c r="F71" s="107"/>
      <c r="G71" s="107"/>
    </row>
    <row r="72" spans="1:7" ht="50.1" customHeight="1" x14ac:dyDescent="0.3">
      <c r="A72" s="12"/>
      <c r="B72" s="106"/>
      <c r="C72" s="106"/>
      <c r="D72" s="106"/>
      <c r="E72" s="106"/>
      <c r="F72" s="107"/>
      <c r="G72" s="107"/>
    </row>
    <row r="73" spans="1:7" ht="50.1" customHeight="1" x14ac:dyDescent="0.3">
      <c r="A73" s="12"/>
      <c r="B73" s="106"/>
      <c r="C73" s="106"/>
      <c r="D73" s="106"/>
      <c r="E73" s="106"/>
      <c r="F73" s="107"/>
      <c r="G73" s="107"/>
    </row>
    <row r="74" spans="1:7" ht="50.1" customHeight="1" x14ac:dyDescent="0.3">
      <c r="A74" s="12"/>
      <c r="B74" s="106"/>
      <c r="C74" s="106"/>
      <c r="D74" s="106"/>
      <c r="E74" s="106"/>
      <c r="F74" s="106"/>
      <c r="G74" s="106"/>
    </row>
    <row r="75" spans="1:7" ht="50.1" customHeight="1" x14ac:dyDescent="0.3">
      <c r="A75" s="12"/>
      <c r="B75" s="106"/>
      <c r="C75" s="106"/>
      <c r="D75" s="106"/>
      <c r="E75" s="106"/>
      <c r="F75" s="107"/>
      <c r="G75" s="107"/>
    </row>
    <row r="76" spans="1:7" ht="50.1" customHeight="1" x14ac:dyDescent="0.3">
      <c r="A76" s="12"/>
      <c r="B76" s="106"/>
      <c r="C76" s="106"/>
      <c r="D76" s="106"/>
      <c r="E76" s="106"/>
      <c r="F76" s="107"/>
      <c r="G76" s="107"/>
    </row>
    <row r="77" spans="1:7" ht="50.1" customHeight="1" x14ac:dyDescent="0.3">
      <c r="A77" s="12"/>
      <c r="B77" s="106"/>
      <c r="C77" s="106"/>
      <c r="D77" s="106"/>
      <c r="E77" s="106"/>
      <c r="F77" s="107"/>
      <c r="G77" s="107"/>
    </row>
    <row r="78" spans="1:7" ht="50.1" customHeight="1" x14ac:dyDescent="0.3">
      <c r="A78" s="12"/>
      <c r="B78" s="106"/>
      <c r="C78" s="106"/>
      <c r="D78" s="106"/>
      <c r="E78" s="106"/>
      <c r="F78" s="106"/>
      <c r="G78" s="106"/>
    </row>
    <row r="79" spans="1:7" ht="50.1" customHeight="1" x14ac:dyDescent="0.3">
      <c r="A79" s="12"/>
      <c r="B79" s="106"/>
      <c r="C79" s="106"/>
      <c r="D79" s="106"/>
      <c r="E79" s="106"/>
      <c r="F79" s="107"/>
      <c r="G79" s="107"/>
    </row>
    <row r="80" spans="1:7" ht="50.1" customHeight="1" x14ac:dyDescent="0.3">
      <c r="A80" s="12"/>
      <c r="B80" s="106"/>
      <c r="C80" s="106"/>
      <c r="D80" s="106"/>
      <c r="E80" s="106"/>
      <c r="F80" s="106"/>
      <c r="G80" s="106"/>
    </row>
    <row r="81" spans="1:7" ht="50.1" customHeight="1" x14ac:dyDescent="0.3">
      <c r="A81" s="12"/>
      <c r="B81" s="106"/>
      <c r="C81" s="106"/>
      <c r="D81" s="106"/>
      <c r="E81" s="106"/>
      <c r="F81" s="106"/>
      <c r="G81" s="106"/>
    </row>
    <row r="82" spans="1:7" ht="50.1" customHeight="1" x14ac:dyDescent="0.3">
      <c r="A82" s="12"/>
      <c r="B82" s="106"/>
      <c r="C82" s="106"/>
      <c r="D82" s="106"/>
      <c r="E82" s="106"/>
      <c r="F82" s="106"/>
      <c r="G82" s="106"/>
    </row>
    <row r="83" spans="1:7" ht="50.1" customHeight="1" x14ac:dyDescent="0.3">
      <c r="A83" s="12"/>
      <c r="B83" s="106"/>
      <c r="C83" s="106"/>
      <c r="D83" s="106"/>
      <c r="E83" s="106"/>
      <c r="F83" s="107"/>
      <c r="G83" s="107"/>
    </row>
    <row r="84" spans="1:7" ht="50.1" customHeight="1" x14ac:dyDescent="0.3">
      <c r="A84" s="12"/>
      <c r="B84" s="106"/>
      <c r="C84" s="106"/>
      <c r="D84" s="106"/>
      <c r="E84" s="106"/>
      <c r="F84" s="107"/>
      <c r="G84" s="107"/>
    </row>
    <row r="85" spans="1:7" ht="50.1" customHeight="1" x14ac:dyDescent="0.3">
      <c r="A85" s="12"/>
      <c r="B85" s="106"/>
      <c r="C85" s="106"/>
      <c r="D85" s="106"/>
      <c r="E85" s="106"/>
      <c r="F85" s="107"/>
      <c r="G85" s="107"/>
    </row>
    <row r="86" spans="1:7" ht="50.1" customHeight="1" x14ac:dyDescent="0.3">
      <c r="A86" s="12"/>
      <c r="B86" s="106"/>
      <c r="C86" s="106"/>
      <c r="D86" s="106"/>
      <c r="E86" s="106"/>
      <c r="F86" s="107"/>
      <c r="G86" s="107"/>
    </row>
    <row r="87" spans="1:7" ht="50.1" customHeight="1" x14ac:dyDescent="0.3">
      <c r="A87" s="12"/>
      <c r="B87" s="106"/>
      <c r="C87" s="106"/>
      <c r="D87" s="106"/>
      <c r="E87" s="106"/>
      <c r="F87" s="107"/>
      <c r="G87" s="107"/>
    </row>
    <row r="88" spans="1:7" ht="50.1" customHeight="1" x14ac:dyDescent="0.3">
      <c r="A88" s="12"/>
      <c r="B88" s="106"/>
      <c r="C88" s="106"/>
      <c r="D88" s="106"/>
      <c r="E88" s="106"/>
      <c r="F88" s="107"/>
      <c r="G88" s="107"/>
    </row>
    <row r="89" spans="1:7" ht="50.1" customHeight="1" x14ac:dyDescent="0.3">
      <c r="A89" s="12"/>
      <c r="B89" s="106"/>
      <c r="C89" s="106"/>
      <c r="D89" s="106"/>
      <c r="E89" s="106"/>
      <c r="F89" s="106"/>
      <c r="G89" s="106"/>
    </row>
    <row r="90" spans="1:7" ht="50.1" customHeight="1" x14ac:dyDescent="0.3">
      <c r="A90" s="12"/>
      <c r="B90" s="106"/>
      <c r="C90" s="106"/>
      <c r="D90" s="106"/>
      <c r="E90" s="106"/>
      <c r="F90" s="107"/>
      <c r="G90" s="107"/>
    </row>
    <row r="91" spans="1:7" ht="50.1" customHeight="1" x14ac:dyDescent="0.3">
      <c r="A91" s="12"/>
      <c r="B91" s="106"/>
      <c r="C91" s="106"/>
      <c r="D91" s="106"/>
      <c r="E91" s="106"/>
      <c r="F91" s="107"/>
      <c r="G91" s="107"/>
    </row>
    <row r="92" spans="1:7" ht="50.1" customHeight="1" x14ac:dyDescent="0.3">
      <c r="A92" s="12"/>
      <c r="B92" s="106"/>
      <c r="C92" s="106"/>
      <c r="D92" s="106"/>
      <c r="E92" s="106"/>
      <c r="F92" s="107"/>
      <c r="G92" s="107"/>
    </row>
    <row r="93" spans="1:7" ht="50.1" customHeight="1" x14ac:dyDescent="0.3">
      <c r="A93" s="12"/>
      <c r="B93" s="106"/>
      <c r="C93" s="106"/>
      <c r="D93" s="106"/>
      <c r="E93" s="106"/>
      <c r="F93" s="106"/>
      <c r="G93" s="106"/>
    </row>
    <row r="94" spans="1:7" ht="50.1" customHeight="1" x14ac:dyDescent="0.3">
      <c r="A94" s="12"/>
      <c r="B94" s="106"/>
      <c r="C94" s="106"/>
      <c r="D94" s="106"/>
      <c r="E94" s="106"/>
      <c r="F94" s="107"/>
      <c r="G94" s="107"/>
    </row>
    <row r="95" spans="1:7" ht="50.1" customHeight="1" x14ac:dyDescent="0.3">
      <c r="A95" s="12"/>
      <c r="B95" s="106"/>
      <c r="C95" s="106"/>
      <c r="D95" s="106"/>
      <c r="E95" s="106"/>
      <c r="F95" s="107"/>
      <c r="G95" s="107"/>
    </row>
    <row r="96" spans="1:7" ht="50.1" customHeight="1" x14ac:dyDescent="0.3">
      <c r="A96" s="12"/>
      <c r="B96" s="106"/>
      <c r="C96" s="106"/>
      <c r="D96" s="106"/>
      <c r="E96" s="106"/>
      <c r="F96" s="106"/>
      <c r="G96" s="106"/>
    </row>
    <row r="97" spans="1:7" ht="50.1" customHeight="1" x14ac:dyDescent="0.3">
      <c r="A97" s="12"/>
      <c r="B97" s="106"/>
      <c r="C97" s="106"/>
      <c r="D97" s="106"/>
      <c r="E97" s="106"/>
      <c r="F97" s="106"/>
      <c r="G97" s="106"/>
    </row>
    <row r="98" spans="1:7" ht="50.1" customHeight="1" x14ac:dyDescent="0.3">
      <c r="A98" s="12"/>
      <c r="B98" s="106"/>
      <c r="C98" s="106"/>
      <c r="D98" s="106"/>
      <c r="E98" s="106"/>
      <c r="F98" s="107"/>
      <c r="G98" s="107"/>
    </row>
    <row r="99" spans="1:7" ht="50.1" customHeight="1" x14ac:dyDescent="0.3">
      <c r="A99" s="12"/>
      <c r="B99" s="106"/>
      <c r="C99" s="106"/>
      <c r="D99" s="106"/>
      <c r="E99" s="106"/>
      <c r="F99" s="107"/>
      <c r="G99" s="107"/>
    </row>
    <row r="100" spans="1:7" ht="50.1" customHeight="1" x14ac:dyDescent="0.3">
      <c r="A100" s="12"/>
      <c r="B100" s="106"/>
      <c r="C100" s="106"/>
      <c r="D100" s="106"/>
      <c r="E100" s="106"/>
      <c r="F100" s="107"/>
      <c r="G100" s="107"/>
    </row>
    <row r="101" spans="1:7" ht="50.1" customHeight="1" x14ac:dyDescent="0.3">
      <c r="A101" s="12"/>
      <c r="B101" s="106"/>
      <c r="C101" s="106"/>
      <c r="D101" s="106"/>
      <c r="E101" s="106"/>
      <c r="F101" s="106"/>
      <c r="G101" s="106"/>
    </row>
    <row r="102" spans="1:7" ht="50.1" customHeight="1" x14ac:dyDescent="0.3">
      <c r="A102" s="12"/>
      <c r="B102" s="106"/>
      <c r="C102" s="106"/>
      <c r="D102" s="106"/>
      <c r="E102" s="106"/>
      <c r="F102" s="107"/>
      <c r="G102" s="107"/>
    </row>
    <row r="103" spans="1:7" ht="50.1" customHeight="1" x14ac:dyDescent="0.3">
      <c r="A103" s="12"/>
      <c r="B103" s="106"/>
      <c r="C103" s="106"/>
      <c r="D103" s="106"/>
      <c r="E103" s="106"/>
      <c r="F103" s="107"/>
      <c r="G103" s="107"/>
    </row>
    <row r="104" spans="1:7" ht="50.1" customHeight="1" x14ac:dyDescent="0.3">
      <c r="A104" s="12"/>
      <c r="B104" s="106"/>
      <c r="C104" s="106"/>
      <c r="D104" s="106"/>
      <c r="E104" s="106"/>
      <c r="F104" s="106"/>
      <c r="G104" s="106"/>
    </row>
    <row r="105" spans="1:7" ht="50.1" customHeight="1" x14ac:dyDescent="0.3">
      <c r="A105" s="12"/>
      <c r="B105" s="106"/>
      <c r="C105" s="106"/>
      <c r="D105" s="106"/>
      <c r="E105" s="106"/>
      <c r="F105" s="107"/>
      <c r="G105" s="107"/>
    </row>
    <row r="106" spans="1:7" ht="50.1" customHeight="1" x14ac:dyDescent="0.3">
      <c r="A106" s="12"/>
      <c r="B106" s="106"/>
      <c r="C106" s="106"/>
      <c r="D106" s="106"/>
      <c r="E106" s="106"/>
      <c r="F106" s="107"/>
      <c r="G106" s="107"/>
    </row>
    <row r="107" spans="1:7" ht="50.1" customHeight="1" x14ac:dyDescent="0.3">
      <c r="A107" s="12"/>
      <c r="B107" s="106"/>
      <c r="C107" s="106"/>
      <c r="D107" s="106"/>
      <c r="E107" s="106"/>
      <c r="F107" s="107"/>
      <c r="G107" s="107"/>
    </row>
    <row r="108" spans="1:7" ht="50.1" customHeight="1" x14ac:dyDescent="0.3">
      <c r="A108" s="12"/>
      <c r="B108" s="106"/>
      <c r="C108" s="106"/>
      <c r="D108" s="106"/>
      <c r="E108" s="106"/>
      <c r="F108" s="107"/>
      <c r="G108" s="107"/>
    </row>
    <row r="109" spans="1:7" ht="50.1" customHeight="1" x14ac:dyDescent="0.3">
      <c r="A109" s="12"/>
      <c r="B109" s="106"/>
      <c r="C109" s="106"/>
      <c r="D109" s="106"/>
      <c r="E109" s="106"/>
      <c r="F109" s="107"/>
      <c r="G109" s="107"/>
    </row>
    <row r="110" spans="1:7" ht="50.1" customHeight="1" x14ac:dyDescent="0.3">
      <c r="A110" s="12"/>
      <c r="B110" s="106"/>
      <c r="C110" s="106"/>
      <c r="D110" s="106"/>
      <c r="E110" s="106"/>
      <c r="F110" s="107"/>
      <c r="G110" s="107"/>
    </row>
    <row r="111" spans="1:7" ht="50.1" customHeight="1" x14ac:dyDescent="0.3">
      <c r="A111" s="12"/>
      <c r="B111" s="106"/>
      <c r="C111" s="106"/>
      <c r="D111" s="106"/>
      <c r="E111" s="106"/>
      <c r="F111" s="106"/>
      <c r="G111" s="106"/>
    </row>
    <row r="112" spans="1:7" ht="50.1" customHeight="1" x14ac:dyDescent="0.3">
      <c r="A112" s="12"/>
      <c r="B112" s="106"/>
      <c r="C112" s="106"/>
      <c r="D112" s="106"/>
      <c r="E112" s="106"/>
      <c r="F112" s="107"/>
      <c r="G112" s="107"/>
    </row>
    <row r="113" spans="1:7" ht="50.1" customHeight="1" x14ac:dyDescent="0.3">
      <c r="A113" s="12"/>
      <c r="B113" s="106"/>
      <c r="C113" s="106"/>
      <c r="D113" s="106"/>
      <c r="E113" s="106"/>
      <c r="F113" s="106"/>
      <c r="G113" s="106"/>
    </row>
    <row r="114" spans="1:7" ht="50.1" customHeight="1" x14ac:dyDescent="0.3">
      <c r="A114" s="12"/>
      <c r="B114" s="106"/>
      <c r="C114" s="106"/>
      <c r="D114" s="106"/>
      <c r="E114" s="106"/>
      <c r="F114" s="107"/>
      <c r="G114" s="107"/>
    </row>
    <row r="115" spans="1:7" ht="50.1" customHeight="1" x14ac:dyDescent="0.3">
      <c r="A115" s="12"/>
      <c r="B115" s="106"/>
      <c r="C115" s="106"/>
      <c r="D115" s="106"/>
      <c r="E115" s="106"/>
      <c r="F115" s="106"/>
      <c r="G115" s="106"/>
    </row>
    <row r="116" spans="1:7" ht="50.1" customHeight="1" x14ac:dyDescent="0.3">
      <c r="A116" s="12"/>
      <c r="B116" s="106"/>
      <c r="C116" s="106"/>
      <c r="D116" s="106"/>
      <c r="E116" s="106"/>
      <c r="F116" s="107"/>
      <c r="G116" s="107"/>
    </row>
    <row r="117" spans="1:7" ht="50.1" customHeight="1" x14ac:dyDescent="0.3">
      <c r="A117" s="12"/>
      <c r="B117" s="106"/>
      <c r="C117" s="106"/>
      <c r="D117" s="106"/>
      <c r="E117" s="106"/>
      <c r="F117" s="107"/>
      <c r="G117" s="107"/>
    </row>
    <row r="118" spans="1:7" ht="50.1" customHeight="1" x14ac:dyDescent="0.3">
      <c r="A118" s="12"/>
      <c r="B118" s="106"/>
      <c r="C118" s="106"/>
      <c r="D118" s="106"/>
      <c r="E118" s="106"/>
      <c r="F118" s="107"/>
      <c r="G118" s="107"/>
    </row>
    <row r="119" spans="1:7" ht="50.1" customHeight="1" x14ac:dyDescent="0.3">
      <c r="A119" s="12"/>
      <c r="B119" s="106"/>
      <c r="C119" s="106"/>
      <c r="D119" s="106"/>
      <c r="E119" s="106"/>
      <c r="F119" s="106"/>
      <c r="G119" s="106"/>
    </row>
    <row r="120" spans="1:7" ht="50.1" customHeight="1" x14ac:dyDescent="0.3">
      <c r="A120" s="12"/>
      <c r="B120" s="106"/>
      <c r="C120" s="106"/>
      <c r="D120" s="106"/>
      <c r="E120" s="106"/>
      <c r="F120" s="107"/>
      <c r="G120" s="107"/>
    </row>
    <row r="121" spans="1:7" ht="50.1" customHeight="1" x14ac:dyDescent="0.3">
      <c r="A121" s="12"/>
      <c r="B121" s="106"/>
      <c r="C121" s="106"/>
      <c r="D121" s="106"/>
      <c r="E121" s="106"/>
      <c r="F121" s="107"/>
      <c r="G121" s="107"/>
    </row>
    <row r="122" spans="1:7" ht="50.1" customHeight="1" x14ac:dyDescent="0.3">
      <c r="A122" s="12"/>
      <c r="B122" s="106"/>
      <c r="C122" s="106"/>
      <c r="D122" s="106"/>
      <c r="E122" s="106"/>
      <c r="F122" s="107"/>
      <c r="G122" s="107"/>
    </row>
    <row r="123" spans="1:7" ht="50.1" customHeight="1" x14ac:dyDescent="0.3">
      <c r="A123" s="12"/>
      <c r="B123" s="106"/>
      <c r="C123" s="106"/>
      <c r="D123" s="106"/>
      <c r="E123" s="106"/>
      <c r="F123" s="107"/>
      <c r="G123" s="107"/>
    </row>
    <row r="124" spans="1:7" ht="50.1" customHeight="1" x14ac:dyDescent="0.3">
      <c r="A124" s="12"/>
      <c r="B124" s="106"/>
      <c r="C124" s="106"/>
      <c r="D124" s="106"/>
      <c r="E124" s="106"/>
      <c r="F124" s="107"/>
      <c r="G124" s="107"/>
    </row>
  </sheetData>
  <autoFilter ref="A1:K42" xr:uid="{64E2CF9F-1E22-42A8-9C08-B4C4D82A8482}"/>
  <mergeCells count="39">
    <mergeCell ref="A2:A9"/>
    <mergeCell ref="A10:A15"/>
    <mergeCell ref="A31:A32"/>
    <mergeCell ref="A34:A36"/>
    <mergeCell ref="A37:A38"/>
    <mergeCell ref="H20:H21"/>
    <mergeCell ref="K20:K21"/>
    <mergeCell ref="A39:A40"/>
    <mergeCell ref="A16:A18"/>
    <mergeCell ref="A20:A21"/>
    <mergeCell ref="A22:A23"/>
    <mergeCell ref="A25:A27"/>
    <mergeCell ref="A28:A30"/>
    <mergeCell ref="H10:H12"/>
    <mergeCell ref="H13:H15"/>
    <mergeCell ref="K10:K12"/>
    <mergeCell ref="K13:K15"/>
    <mergeCell ref="H16:H18"/>
    <mergeCell ref="K16:K18"/>
    <mergeCell ref="H4:H5"/>
    <mergeCell ref="H6:H7"/>
    <mergeCell ref="H8:H9"/>
    <mergeCell ref="K4:K5"/>
    <mergeCell ref="K6:K7"/>
    <mergeCell ref="K8:K9"/>
    <mergeCell ref="H22:H23"/>
    <mergeCell ref="K22:K23"/>
    <mergeCell ref="H25:H27"/>
    <mergeCell ref="K25:K27"/>
    <mergeCell ref="H31:H32"/>
    <mergeCell ref="K31:K32"/>
    <mergeCell ref="H39:H40"/>
    <mergeCell ref="K39:K40"/>
    <mergeCell ref="H37:H38"/>
    <mergeCell ref="K37:K38"/>
    <mergeCell ref="H28:H30"/>
    <mergeCell ref="K28:K30"/>
    <mergeCell ref="H34:H36"/>
    <mergeCell ref="K34:K36"/>
  </mergeCells>
  <conditionalFormatting sqref="I1 I10:I1048576">
    <cfRule type="containsText" dxfId="28" priority="23" operator="containsText" text="Planned">
      <formula>NOT(ISERROR(SEARCH("Planned",I1)))</formula>
    </cfRule>
  </conditionalFormatting>
  <conditionalFormatting sqref="I1:I1048576">
    <cfRule type="cellIs" dxfId="27" priority="2" operator="equal">
      <formula>"Not Selected"</formula>
    </cfRule>
    <cfRule type="containsText" dxfId="26" priority="15" operator="containsText" text="Inherited">
      <formula>NOT(ISERROR(SEARCH("Inherited",I1)))</formula>
    </cfRule>
    <cfRule type="containsText" dxfId="25" priority="17" operator="containsText" text="Implemented">
      <formula>NOT(ISERROR(SEARCH("Implemented",I1)))</formula>
    </cfRule>
  </conditionalFormatting>
  <conditionalFormatting sqref="I2:I9">
    <cfRule type="containsText" dxfId="24" priority="14" operator="containsText" text="Not Applicable">
      <formula>NOT(ISERROR(SEARCH("Not Applicable",I2)))</formula>
    </cfRule>
    <cfRule type="containsText" dxfId="23" priority="16" operator="containsText" text="Planned">
      <formula>NOT(ISERROR(SEARCH("Planned",I2)))</formula>
    </cfRule>
  </conditionalFormatting>
  <conditionalFormatting sqref="I1:J1 I10:J1048576">
    <cfRule type="containsText" dxfId="22" priority="24" operator="containsText" text="Not Applicable">
      <formula>NOT(ISERROR(SEARCH("Not Applicable",I1)))</formula>
    </cfRule>
  </conditionalFormatting>
  <conditionalFormatting sqref="J1 J10:J1048576">
    <cfRule type="containsText" dxfId="21" priority="19" operator="containsText" text="Satisfied">
      <formula>NOT(ISERROR(SEARCH("Satisfied",J1)))</formula>
    </cfRule>
    <cfRule type="containsText" dxfId="20" priority="20" operator="containsText" text="Other Than Satisfied">
      <formula>NOT(ISERROR(SEARCH("Other Than Satisfied",J1)))</formula>
    </cfRule>
  </conditionalFormatting>
  <conditionalFormatting sqref="J1:J1048576">
    <cfRule type="cellIs" dxfId="19" priority="1" operator="equal">
      <formula>"MET"</formula>
    </cfRule>
  </conditionalFormatting>
  <conditionalFormatting sqref="J2:J9">
    <cfRule type="containsText" dxfId="18" priority="12" operator="containsText" text="Other Than Satisfied">
      <formula>NOT(ISERROR(SEARCH("Other Than Satisfied",J2)))</formula>
    </cfRule>
    <cfRule type="containsText" dxfId="17" priority="13" operator="containsText" text="Not Applicable">
      <formula>NOT(ISERROR(SEARCH("Not Applicable",J2)))</formula>
    </cfRule>
  </conditionalFormatting>
  <conditionalFormatting sqref="J10:J1048576 J1">
    <cfRule type="containsText" dxfId="16" priority="18" operator="containsText" text="Partially Satisfied">
      <formula>NOT(ISERROR(SEARCH("Partially Satisfied",J1)))</formula>
    </cfRule>
  </conditionalFormatting>
  <conditionalFormatting sqref="J41">
    <cfRule type="containsText" dxfId="15" priority="3" operator="containsText" text="Inherited">
      <formula>NOT(ISERROR(SEARCH("Inherited",J41)))</formula>
    </cfRule>
    <cfRule type="containsText" dxfId="14" priority="4" operator="containsText" text="Implemented">
      <formula>NOT(ISERROR(SEARCH("Implemented",J41)))</formula>
    </cfRule>
    <cfRule type="containsText" dxfId="13" priority="5" operator="containsText" text="Planned">
      <formula>NOT(ISERROR(SEARCH("Planned",J41)))</formula>
    </cfRule>
  </conditionalFormatting>
  <dataValidations count="2">
    <dataValidation type="list" allowBlank="1" showInputMessage="1" showErrorMessage="1" sqref="I2:I42" xr:uid="{55757657-2AF1-4FE6-96AC-88D12D2D0BFD}">
      <formula1>"Not Selected,Planned,Inherited,Partially Implemented,Implemented"</formula1>
    </dataValidation>
    <dataValidation type="list" allowBlank="1" showInputMessage="1" showErrorMessage="1" sqref="J2:J42" xr:uid="{5753C6F0-0B08-4673-BA1A-A168CD18C91E}">
      <formula1>"MET,NOT MET"</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F96D0-31C5-48EE-A9C8-B888E6FFAB54}">
  <sheetPr>
    <tabColor rgb="FF7030A0"/>
  </sheetPr>
  <dimension ref="A1:K77"/>
  <sheetViews>
    <sheetView showGridLines="0" topLeftCell="C1" zoomScale="70" zoomScaleNormal="70" workbookViewId="0">
      <pane ySplit="1" topLeftCell="A2" activePane="bottomLeft" state="frozen"/>
      <selection activeCell="D181" sqref="D181"/>
      <selection pane="bottomLeft" activeCell="H9" sqref="H9"/>
    </sheetView>
  </sheetViews>
  <sheetFormatPr defaultColWidth="8.6640625" defaultRowHeight="50.1" customHeight="1" x14ac:dyDescent="0.3"/>
  <cols>
    <col min="1" max="1" width="22.109375" style="76" customWidth="1"/>
    <col min="2" max="3" width="16.88671875" style="44" customWidth="1"/>
    <col min="4" max="4" width="56.44140625" style="44" customWidth="1"/>
    <col min="5" max="5" width="48.44140625" style="44" customWidth="1"/>
    <col min="6" max="6" width="57" style="44" customWidth="1"/>
    <col min="7" max="7" width="35" style="44" customWidth="1"/>
    <col min="8" max="8" width="74.44140625" style="44" customWidth="1"/>
    <col min="9" max="9" width="42.5546875" style="77" customWidth="1"/>
    <col min="10" max="10" width="42.109375" style="77" customWidth="1"/>
    <col min="11" max="11" width="42.88671875" style="44" customWidth="1"/>
    <col min="12" max="16384" width="8.6640625" style="44"/>
  </cols>
  <sheetData>
    <row r="1" spans="1:11" ht="50.1" customHeight="1" thickBot="1" x14ac:dyDescent="0.35">
      <c r="A1" s="20" t="s">
        <v>43</v>
      </c>
      <c r="B1" s="20" t="s">
        <v>42</v>
      </c>
      <c r="C1" s="20" t="s">
        <v>93</v>
      </c>
      <c r="D1" s="20" t="s">
        <v>94</v>
      </c>
      <c r="E1" s="20" t="s">
        <v>95</v>
      </c>
      <c r="F1" s="20" t="s">
        <v>96</v>
      </c>
      <c r="G1" s="20" t="s">
        <v>97</v>
      </c>
      <c r="H1" s="20" t="s">
        <v>98</v>
      </c>
      <c r="I1" s="20" t="s">
        <v>44</v>
      </c>
      <c r="J1" s="20" t="s">
        <v>45</v>
      </c>
      <c r="K1" s="20" t="s">
        <v>99</v>
      </c>
    </row>
    <row r="2" spans="1:11" ht="50.1" customHeight="1" x14ac:dyDescent="0.3">
      <c r="A2" s="309" t="s">
        <v>89</v>
      </c>
      <c r="B2" s="78" t="s">
        <v>1179</v>
      </c>
      <c r="C2" s="78" t="s">
        <v>1191</v>
      </c>
      <c r="D2" s="78" t="s">
        <v>1197</v>
      </c>
      <c r="E2" s="79" t="s">
        <v>1203</v>
      </c>
      <c r="F2" s="80" t="s">
        <v>1204</v>
      </c>
      <c r="G2" s="103" t="s">
        <v>1205</v>
      </c>
      <c r="H2" s="121" t="s">
        <v>1499</v>
      </c>
      <c r="I2" s="52" t="s">
        <v>29</v>
      </c>
      <c r="J2" s="52" t="s">
        <v>111</v>
      </c>
      <c r="K2" s="209" t="s">
        <v>1297</v>
      </c>
    </row>
    <row r="3" spans="1:11" ht="50.1" customHeight="1" x14ac:dyDescent="0.3">
      <c r="A3" s="310"/>
      <c r="B3" s="81" t="s">
        <v>1179</v>
      </c>
      <c r="C3" s="81" t="s">
        <v>1192</v>
      </c>
      <c r="D3" s="82" t="s">
        <v>1198</v>
      </c>
      <c r="E3" s="83"/>
      <c r="F3" s="83"/>
      <c r="G3" s="83"/>
      <c r="H3" s="122" t="s">
        <v>1500</v>
      </c>
      <c r="I3" s="48" t="s">
        <v>29</v>
      </c>
      <c r="J3" s="48" t="s">
        <v>111</v>
      </c>
      <c r="K3" s="47" t="s">
        <v>1505</v>
      </c>
    </row>
    <row r="4" spans="1:11" ht="50.1" customHeight="1" x14ac:dyDescent="0.3">
      <c r="A4" s="310"/>
      <c r="B4" s="81" t="s">
        <v>1179</v>
      </c>
      <c r="C4" s="82" t="s">
        <v>1193</v>
      </c>
      <c r="D4" s="81" t="s">
        <v>1199</v>
      </c>
      <c r="E4" s="84"/>
      <c r="F4" s="84"/>
      <c r="G4" s="84"/>
      <c r="H4" s="122" t="s">
        <v>1501</v>
      </c>
      <c r="I4" s="48" t="s">
        <v>29</v>
      </c>
      <c r="J4" s="48" t="s">
        <v>111</v>
      </c>
      <c r="K4" s="47" t="s">
        <v>1273</v>
      </c>
    </row>
    <row r="5" spans="1:11" ht="50.1" customHeight="1" x14ac:dyDescent="0.3">
      <c r="A5" s="310"/>
      <c r="B5" s="81" t="s">
        <v>1179</v>
      </c>
      <c r="C5" s="81" t="s">
        <v>1194</v>
      </c>
      <c r="D5" s="82" t="s">
        <v>1200</v>
      </c>
      <c r="E5" s="83"/>
      <c r="F5" s="83"/>
      <c r="G5" s="83"/>
      <c r="H5" s="122" t="s">
        <v>1502</v>
      </c>
      <c r="I5" s="48" t="s">
        <v>29</v>
      </c>
      <c r="J5" s="48" t="s">
        <v>111</v>
      </c>
      <c r="K5" s="47" t="s">
        <v>1262</v>
      </c>
    </row>
    <row r="6" spans="1:11" ht="50.1" customHeight="1" x14ac:dyDescent="0.3">
      <c r="A6" s="310"/>
      <c r="B6" s="81" t="s">
        <v>1179</v>
      </c>
      <c r="C6" s="81" t="s">
        <v>1195</v>
      </c>
      <c r="D6" s="81" t="s">
        <v>1201</v>
      </c>
      <c r="E6" s="84"/>
      <c r="F6" s="84"/>
      <c r="G6" s="84"/>
      <c r="H6" s="122" t="s">
        <v>1503</v>
      </c>
      <c r="I6" s="48" t="s">
        <v>29</v>
      </c>
      <c r="J6" s="48" t="s">
        <v>111</v>
      </c>
      <c r="K6" s="47" t="s">
        <v>1273</v>
      </c>
    </row>
    <row r="7" spans="1:11" ht="50.1" customHeight="1" thickBot="1" x14ac:dyDescent="0.35">
      <c r="A7" s="311"/>
      <c r="B7" s="85" t="s">
        <v>1179</v>
      </c>
      <c r="C7" s="85" t="s">
        <v>1196</v>
      </c>
      <c r="D7" s="97" t="s">
        <v>1202</v>
      </c>
      <c r="E7" s="98"/>
      <c r="F7" s="98"/>
      <c r="G7" s="98"/>
      <c r="H7" s="123" t="s">
        <v>1504</v>
      </c>
      <c r="I7" s="57" t="s">
        <v>29</v>
      </c>
      <c r="J7" s="57" t="s">
        <v>111</v>
      </c>
      <c r="K7" s="210" t="s">
        <v>1506</v>
      </c>
    </row>
    <row r="8" spans="1:11" ht="50.1" customHeight="1" x14ac:dyDescent="0.3">
      <c r="A8" s="310" t="s">
        <v>90</v>
      </c>
      <c r="B8" s="87" t="s">
        <v>1180</v>
      </c>
      <c r="C8" s="87" t="s">
        <v>1206</v>
      </c>
      <c r="D8" s="87" t="s">
        <v>1208</v>
      </c>
      <c r="E8" s="88" t="s">
        <v>1210</v>
      </c>
      <c r="F8" s="89" t="s">
        <v>1211</v>
      </c>
      <c r="G8" s="90" t="s">
        <v>1212</v>
      </c>
      <c r="H8" s="190" t="s">
        <v>1489</v>
      </c>
      <c r="I8" s="65" t="s">
        <v>29</v>
      </c>
      <c r="J8" s="65" t="s">
        <v>111</v>
      </c>
      <c r="K8" s="225" t="s">
        <v>1481</v>
      </c>
    </row>
    <row r="9" spans="1:11" ht="50.1" customHeight="1" thickBot="1" x14ac:dyDescent="0.35">
      <c r="A9" s="310"/>
      <c r="B9" s="91" t="s">
        <v>1180</v>
      </c>
      <c r="C9" s="91" t="s">
        <v>1207</v>
      </c>
      <c r="D9" s="92" t="s">
        <v>1209</v>
      </c>
      <c r="E9" s="93"/>
      <c r="F9" s="93"/>
      <c r="G9" s="93"/>
      <c r="H9" s="191" t="s">
        <v>1490</v>
      </c>
      <c r="I9" s="69" t="s">
        <v>29</v>
      </c>
      <c r="J9" s="69" t="s">
        <v>111</v>
      </c>
      <c r="K9" s="227" t="s">
        <v>1491</v>
      </c>
    </row>
    <row r="10" spans="1:11" ht="50.1" customHeight="1" x14ac:dyDescent="0.3">
      <c r="A10" s="323" t="s">
        <v>1181</v>
      </c>
      <c r="B10" s="94" t="s">
        <v>1182</v>
      </c>
      <c r="C10" s="78" t="s">
        <v>1213</v>
      </c>
      <c r="D10" s="94" t="s">
        <v>1216</v>
      </c>
      <c r="E10" s="95" t="s">
        <v>1219</v>
      </c>
      <c r="F10" s="96" t="s">
        <v>1220</v>
      </c>
      <c r="G10" s="105" t="s">
        <v>1221</v>
      </c>
      <c r="H10" s="121" t="s">
        <v>1507</v>
      </c>
      <c r="I10" s="52" t="s">
        <v>29</v>
      </c>
      <c r="J10" s="52" t="s">
        <v>111</v>
      </c>
      <c r="K10" s="209" t="s">
        <v>1273</v>
      </c>
    </row>
    <row r="11" spans="1:11" ht="50.1" customHeight="1" x14ac:dyDescent="0.3">
      <c r="A11" s="318"/>
      <c r="B11" s="82" t="s">
        <v>1182</v>
      </c>
      <c r="C11" s="81" t="s">
        <v>1214</v>
      </c>
      <c r="D11" s="81" t="s">
        <v>1217</v>
      </c>
      <c r="E11" s="84"/>
      <c r="F11" s="84"/>
      <c r="G11" s="84"/>
      <c r="H11" s="122" t="s">
        <v>1508</v>
      </c>
      <c r="I11" s="48" t="s">
        <v>29</v>
      </c>
      <c r="J11" s="48" t="s">
        <v>111</v>
      </c>
      <c r="K11" s="47" t="s">
        <v>1510</v>
      </c>
    </row>
    <row r="12" spans="1:11" ht="50.1" customHeight="1" thickBot="1" x14ac:dyDescent="0.35">
      <c r="A12" s="324"/>
      <c r="B12" s="97" t="s">
        <v>1182</v>
      </c>
      <c r="C12" s="97" t="s">
        <v>1215</v>
      </c>
      <c r="D12" s="97" t="s">
        <v>1218</v>
      </c>
      <c r="E12" s="98"/>
      <c r="F12" s="98"/>
      <c r="G12" s="98"/>
      <c r="H12" s="123" t="s">
        <v>1509</v>
      </c>
      <c r="I12" s="57" t="s">
        <v>29</v>
      </c>
      <c r="J12" s="57" t="s">
        <v>111</v>
      </c>
      <c r="K12" s="210" t="s">
        <v>1262</v>
      </c>
    </row>
    <row r="13" spans="1:11" ht="50.1" customHeight="1" thickBot="1" x14ac:dyDescent="0.35">
      <c r="A13" s="233" t="s">
        <v>1183</v>
      </c>
      <c r="B13" s="112" t="s">
        <v>1184</v>
      </c>
      <c r="C13" s="112" t="s">
        <v>1223</v>
      </c>
      <c r="D13" s="112" t="s">
        <v>1222</v>
      </c>
      <c r="E13" s="113" t="s">
        <v>1224</v>
      </c>
      <c r="F13" s="114" t="s">
        <v>1211</v>
      </c>
      <c r="G13" s="115" t="s">
        <v>1225</v>
      </c>
      <c r="H13" s="120" t="s">
        <v>1492</v>
      </c>
      <c r="I13" s="74" t="s">
        <v>29</v>
      </c>
      <c r="J13" s="74" t="s">
        <v>111</v>
      </c>
      <c r="K13" s="203" t="s">
        <v>1493</v>
      </c>
    </row>
    <row r="14" spans="1:11" ht="50.1" customHeight="1" x14ac:dyDescent="0.3">
      <c r="A14" s="309" t="s">
        <v>1185</v>
      </c>
      <c r="B14" s="78" t="s">
        <v>1186</v>
      </c>
      <c r="C14" s="78" t="s">
        <v>1226</v>
      </c>
      <c r="D14" s="78" t="s">
        <v>1229</v>
      </c>
      <c r="E14" s="79" t="s">
        <v>1224</v>
      </c>
      <c r="F14" s="80" t="s">
        <v>1211</v>
      </c>
      <c r="G14" s="103" t="s">
        <v>1225</v>
      </c>
      <c r="H14" s="121" t="s">
        <v>1494</v>
      </c>
      <c r="I14" s="52" t="s">
        <v>29</v>
      </c>
      <c r="J14" s="52" t="s">
        <v>111</v>
      </c>
      <c r="K14" s="209" t="s">
        <v>1297</v>
      </c>
    </row>
    <row r="15" spans="1:11" ht="50.1" customHeight="1" x14ac:dyDescent="0.3">
      <c r="A15" s="310"/>
      <c r="B15" s="81" t="s">
        <v>1186</v>
      </c>
      <c r="C15" s="81" t="s">
        <v>1227</v>
      </c>
      <c r="D15" s="82" t="s">
        <v>1230</v>
      </c>
      <c r="E15" s="83"/>
      <c r="F15" s="83"/>
      <c r="G15" s="83"/>
      <c r="H15" s="122" t="s">
        <v>1495</v>
      </c>
      <c r="I15" s="48" t="s">
        <v>29</v>
      </c>
      <c r="J15" s="48" t="s">
        <v>111</v>
      </c>
      <c r="K15" s="47" t="s">
        <v>1496</v>
      </c>
    </row>
    <row r="16" spans="1:11" ht="50.1" customHeight="1" thickBot="1" x14ac:dyDescent="0.35">
      <c r="A16" s="311"/>
      <c r="B16" s="85" t="s">
        <v>1186</v>
      </c>
      <c r="C16" s="97" t="s">
        <v>1228</v>
      </c>
      <c r="D16" s="85" t="s">
        <v>1231</v>
      </c>
      <c r="E16" s="86"/>
      <c r="F16" s="86"/>
      <c r="G16" s="86"/>
      <c r="H16" s="123" t="s">
        <v>1498</v>
      </c>
      <c r="I16" s="57" t="s">
        <v>29</v>
      </c>
      <c r="J16" s="57" t="s">
        <v>111</v>
      </c>
      <c r="K16" s="210" t="s">
        <v>1497</v>
      </c>
    </row>
    <row r="17" spans="1:11" ht="50.1" customHeight="1" x14ac:dyDescent="0.3">
      <c r="A17" s="309" t="s">
        <v>1187</v>
      </c>
      <c r="B17" s="78" t="s">
        <v>1188</v>
      </c>
      <c r="C17" s="78" t="s">
        <v>1232</v>
      </c>
      <c r="D17" s="78" t="s">
        <v>1235</v>
      </c>
      <c r="E17" s="79" t="s">
        <v>1238</v>
      </c>
      <c r="F17" s="80" t="s">
        <v>1239</v>
      </c>
      <c r="G17" s="103" t="s">
        <v>1240</v>
      </c>
      <c r="H17" s="121" t="s">
        <v>1511</v>
      </c>
      <c r="I17" s="52" t="s">
        <v>29</v>
      </c>
      <c r="J17" s="52" t="s">
        <v>111</v>
      </c>
      <c r="K17" s="209" t="s">
        <v>1273</v>
      </c>
    </row>
    <row r="18" spans="1:11" ht="50.1" customHeight="1" x14ac:dyDescent="0.3">
      <c r="A18" s="310"/>
      <c r="B18" s="81" t="s">
        <v>1188</v>
      </c>
      <c r="C18" s="81" t="s">
        <v>1233</v>
      </c>
      <c r="D18" s="81" t="s">
        <v>1236</v>
      </c>
      <c r="E18" s="84"/>
      <c r="F18" s="84"/>
      <c r="G18" s="84"/>
      <c r="H18" s="319" t="s">
        <v>1512</v>
      </c>
      <c r="I18" s="48" t="s">
        <v>29</v>
      </c>
      <c r="J18" s="48" t="s">
        <v>111</v>
      </c>
      <c r="K18" s="319" t="s">
        <v>1513</v>
      </c>
    </row>
    <row r="19" spans="1:11" ht="50.1" customHeight="1" thickBot="1" x14ac:dyDescent="0.35">
      <c r="A19" s="311"/>
      <c r="B19" s="85" t="s">
        <v>1188</v>
      </c>
      <c r="C19" s="97" t="s">
        <v>1234</v>
      </c>
      <c r="D19" s="85" t="s">
        <v>1237</v>
      </c>
      <c r="E19" s="98"/>
      <c r="F19" s="98"/>
      <c r="G19" s="98"/>
      <c r="H19" s="307"/>
      <c r="I19" s="57" t="s">
        <v>29</v>
      </c>
      <c r="J19" s="57" t="s">
        <v>111</v>
      </c>
      <c r="K19" s="307"/>
    </row>
    <row r="20" spans="1:11" ht="50.1" customHeight="1" x14ac:dyDescent="0.3">
      <c r="A20" s="316" t="s">
        <v>1189</v>
      </c>
      <c r="B20" s="78" t="s">
        <v>1190</v>
      </c>
      <c r="C20" s="78" t="s">
        <v>1241</v>
      </c>
      <c r="D20" s="94" t="s">
        <v>1243</v>
      </c>
      <c r="E20" s="95" t="s">
        <v>1245</v>
      </c>
      <c r="F20" s="96" t="s">
        <v>1246</v>
      </c>
      <c r="G20" s="105" t="s">
        <v>1247</v>
      </c>
      <c r="H20" s="121" t="s">
        <v>1514</v>
      </c>
      <c r="I20" s="52" t="s">
        <v>29</v>
      </c>
      <c r="J20" s="52" t="s">
        <v>111</v>
      </c>
      <c r="K20" s="209" t="s">
        <v>1262</v>
      </c>
    </row>
    <row r="21" spans="1:11" ht="50.1" customHeight="1" thickBot="1" x14ac:dyDescent="0.35">
      <c r="A21" s="317"/>
      <c r="B21" s="85" t="s">
        <v>1190</v>
      </c>
      <c r="C21" s="85" t="s">
        <v>1242</v>
      </c>
      <c r="D21" s="85" t="s">
        <v>1244</v>
      </c>
      <c r="E21" s="86"/>
      <c r="F21" s="86"/>
      <c r="G21" s="86"/>
      <c r="H21" s="123" t="s">
        <v>1515</v>
      </c>
      <c r="I21" s="57" t="s">
        <v>29</v>
      </c>
      <c r="J21" s="57" t="s">
        <v>111</v>
      </c>
      <c r="K21" s="210" t="s">
        <v>1516</v>
      </c>
    </row>
    <row r="22" spans="1:11" ht="50.1" customHeight="1" x14ac:dyDescent="0.3">
      <c r="A22" s="12"/>
      <c r="B22" s="106"/>
      <c r="C22" s="106"/>
      <c r="D22" s="106"/>
      <c r="E22" s="106"/>
      <c r="F22" s="107"/>
      <c r="G22" s="107"/>
    </row>
    <row r="23" spans="1:11" ht="50.1" customHeight="1" x14ac:dyDescent="0.3">
      <c r="A23" s="12"/>
      <c r="B23" s="106"/>
      <c r="C23" s="106"/>
      <c r="D23" s="106"/>
      <c r="E23" s="106"/>
      <c r="F23" s="106"/>
      <c r="G23" s="107"/>
    </row>
    <row r="24" spans="1:11" ht="50.1" customHeight="1" x14ac:dyDescent="0.3">
      <c r="A24" s="12"/>
      <c r="B24" s="106"/>
      <c r="C24" s="106"/>
      <c r="D24" s="106"/>
      <c r="E24" s="106"/>
      <c r="F24" s="107"/>
      <c r="G24" s="107"/>
    </row>
    <row r="25" spans="1:11" ht="50.1" customHeight="1" x14ac:dyDescent="0.3">
      <c r="A25" s="12"/>
      <c r="B25" s="106"/>
      <c r="C25" s="106"/>
      <c r="D25" s="106"/>
      <c r="E25" s="106"/>
      <c r="F25" s="107"/>
      <c r="G25" s="107"/>
    </row>
    <row r="26" spans="1:11" ht="50.1" customHeight="1" x14ac:dyDescent="0.3">
      <c r="A26" s="12"/>
      <c r="B26" s="106"/>
      <c r="C26" s="106"/>
      <c r="D26" s="106"/>
      <c r="E26" s="106"/>
      <c r="F26" s="107"/>
      <c r="G26" s="107"/>
    </row>
    <row r="27" spans="1:11" ht="50.1" customHeight="1" x14ac:dyDescent="0.3">
      <c r="A27" s="12"/>
      <c r="B27" s="106"/>
      <c r="C27" s="106"/>
      <c r="D27" s="106"/>
      <c r="E27" s="106"/>
      <c r="F27" s="106"/>
      <c r="G27" s="106"/>
    </row>
    <row r="28" spans="1:11" ht="50.1" customHeight="1" x14ac:dyDescent="0.3">
      <c r="A28" s="12"/>
      <c r="B28" s="106"/>
      <c r="C28" s="106"/>
      <c r="D28" s="106"/>
      <c r="E28" s="106"/>
      <c r="F28" s="107"/>
      <c r="G28" s="107"/>
    </row>
    <row r="29" spans="1:11" ht="50.1" customHeight="1" x14ac:dyDescent="0.3">
      <c r="A29" s="12"/>
      <c r="B29" s="106"/>
      <c r="C29" s="106"/>
      <c r="D29" s="106"/>
      <c r="E29" s="106"/>
      <c r="F29" s="107"/>
      <c r="G29" s="107"/>
    </row>
    <row r="30" spans="1:11" ht="50.1" customHeight="1" x14ac:dyDescent="0.3">
      <c r="A30" s="12"/>
      <c r="B30" s="106"/>
      <c r="C30" s="106"/>
      <c r="D30" s="106"/>
      <c r="E30" s="106"/>
      <c r="F30" s="107"/>
      <c r="G30" s="107"/>
    </row>
    <row r="31" spans="1:11" ht="50.1" customHeight="1" x14ac:dyDescent="0.3">
      <c r="A31" s="12"/>
      <c r="B31" s="106"/>
      <c r="C31" s="106"/>
      <c r="D31" s="106"/>
      <c r="E31" s="106"/>
      <c r="F31" s="106"/>
      <c r="G31" s="106"/>
    </row>
    <row r="32" spans="1:11" ht="50.1" customHeight="1" x14ac:dyDescent="0.3">
      <c r="A32" s="12"/>
      <c r="B32" s="106"/>
      <c r="C32" s="106"/>
      <c r="D32" s="106"/>
      <c r="E32" s="106"/>
      <c r="F32" s="107"/>
      <c r="G32" s="107"/>
    </row>
    <row r="33" spans="1:7" ht="50.1" customHeight="1" x14ac:dyDescent="0.3">
      <c r="A33" s="12"/>
      <c r="B33" s="106"/>
      <c r="C33" s="106"/>
      <c r="D33" s="106"/>
      <c r="E33" s="106"/>
      <c r="F33" s="106"/>
      <c r="G33" s="106"/>
    </row>
    <row r="34" spans="1:7" ht="50.1" customHeight="1" x14ac:dyDescent="0.3">
      <c r="A34" s="12"/>
      <c r="B34" s="106"/>
      <c r="C34" s="106"/>
      <c r="D34" s="106"/>
      <c r="E34" s="106"/>
      <c r="F34" s="106"/>
      <c r="G34" s="106"/>
    </row>
    <row r="35" spans="1:7" ht="50.1" customHeight="1" x14ac:dyDescent="0.3">
      <c r="A35" s="12"/>
      <c r="B35" s="106"/>
      <c r="C35" s="106"/>
      <c r="D35" s="106"/>
      <c r="E35" s="106"/>
      <c r="F35" s="106"/>
      <c r="G35" s="106"/>
    </row>
    <row r="36" spans="1:7" ht="50.1" customHeight="1" x14ac:dyDescent="0.3">
      <c r="A36" s="12"/>
      <c r="B36" s="106"/>
      <c r="C36" s="106"/>
      <c r="D36" s="106"/>
      <c r="E36" s="106"/>
      <c r="F36" s="107"/>
      <c r="G36" s="107"/>
    </row>
    <row r="37" spans="1:7" ht="50.1" customHeight="1" x14ac:dyDescent="0.3">
      <c r="A37" s="12"/>
      <c r="B37" s="106"/>
      <c r="C37" s="106"/>
      <c r="D37" s="106"/>
      <c r="E37" s="106"/>
      <c r="F37" s="107"/>
      <c r="G37" s="107"/>
    </row>
    <row r="38" spans="1:7" ht="50.1" customHeight="1" x14ac:dyDescent="0.3">
      <c r="A38" s="12"/>
      <c r="B38" s="106"/>
      <c r="C38" s="106"/>
      <c r="D38" s="106"/>
      <c r="E38" s="106"/>
      <c r="F38" s="107"/>
      <c r="G38" s="107"/>
    </row>
    <row r="39" spans="1:7" ht="50.1" customHeight="1" x14ac:dyDescent="0.3">
      <c r="A39" s="12"/>
      <c r="B39" s="106"/>
      <c r="C39" s="106"/>
      <c r="D39" s="106"/>
      <c r="E39" s="106"/>
      <c r="F39" s="107"/>
      <c r="G39" s="107"/>
    </row>
    <row r="40" spans="1:7" ht="50.1" customHeight="1" x14ac:dyDescent="0.3">
      <c r="A40" s="12"/>
      <c r="B40" s="106"/>
      <c r="C40" s="106"/>
      <c r="D40" s="106"/>
      <c r="E40" s="106"/>
      <c r="F40" s="107"/>
      <c r="G40" s="107"/>
    </row>
    <row r="41" spans="1:7" ht="50.1" customHeight="1" x14ac:dyDescent="0.3">
      <c r="A41" s="12"/>
      <c r="B41" s="106"/>
      <c r="C41" s="106"/>
      <c r="D41" s="106"/>
      <c r="E41" s="106"/>
      <c r="F41" s="107"/>
      <c r="G41" s="107"/>
    </row>
    <row r="42" spans="1:7" ht="50.1" customHeight="1" x14ac:dyDescent="0.3">
      <c r="A42" s="12"/>
      <c r="B42" s="106"/>
      <c r="C42" s="106"/>
      <c r="D42" s="106"/>
      <c r="E42" s="106"/>
      <c r="F42" s="106"/>
      <c r="G42" s="106"/>
    </row>
    <row r="43" spans="1:7" ht="50.1" customHeight="1" x14ac:dyDescent="0.3">
      <c r="A43" s="12"/>
      <c r="B43" s="106"/>
      <c r="C43" s="106"/>
      <c r="D43" s="106"/>
      <c r="E43" s="106"/>
      <c r="F43" s="107"/>
      <c r="G43" s="107"/>
    </row>
    <row r="44" spans="1:7" ht="50.1" customHeight="1" x14ac:dyDescent="0.3">
      <c r="A44" s="12"/>
      <c r="B44" s="106"/>
      <c r="C44" s="106"/>
      <c r="D44" s="106"/>
      <c r="E44" s="106"/>
      <c r="F44" s="107"/>
      <c r="G44" s="107"/>
    </row>
    <row r="45" spans="1:7" ht="50.1" customHeight="1" x14ac:dyDescent="0.3">
      <c r="A45" s="12"/>
      <c r="B45" s="106"/>
      <c r="C45" s="106"/>
      <c r="D45" s="106"/>
      <c r="E45" s="106"/>
      <c r="F45" s="107"/>
      <c r="G45" s="107"/>
    </row>
    <row r="46" spans="1:7" ht="50.1" customHeight="1" x14ac:dyDescent="0.3">
      <c r="A46" s="12"/>
      <c r="B46" s="106"/>
      <c r="C46" s="106"/>
      <c r="D46" s="106"/>
      <c r="E46" s="106"/>
      <c r="F46" s="106"/>
      <c r="G46" s="106"/>
    </row>
    <row r="47" spans="1:7" ht="50.1" customHeight="1" x14ac:dyDescent="0.3">
      <c r="A47" s="12"/>
      <c r="B47" s="106"/>
      <c r="C47" s="106"/>
      <c r="D47" s="106"/>
      <c r="E47" s="106"/>
      <c r="F47" s="107"/>
      <c r="G47" s="107"/>
    </row>
    <row r="48" spans="1:7" ht="50.1" customHeight="1" x14ac:dyDescent="0.3">
      <c r="A48" s="12"/>
      <c r="B48" s="106"/>
      <c r="C48" s="106"/>
      <c r="D48" s="106"/>
      <c r="E48" s="106"/>
      <c r="F48" s="107"/>
      <c r="G48" s="107"/>
    </row>
    <row r="49" spans="1:7" ht="50.1" customHeight="1" x14ac:dyDescent="0.3">
      <c r="A49" s="12"/>
      <c r="B49" s="106"/>
      <c r="C49" s="106"/>
      <c r="D49" s="106"/>
      <c r="E49" s="106"/>
      <c r="F49" s="106"/>
      <c r="G49" s="106"/>
    </row>
    <row r="50" spans="1:7" ht="50.1" customHeight="1" x14ac:dyDescent="0.3">
      <c r="A50" s="12"/>
      <c r="B50" s="106"/>
      <c r="C50" s="106"/>
      <c r="D50" s="106"/>
      <c r="E50" s="106"/>
      <c r="F50" s="106"/>
      <c r="G50" s="106"/>
    </row>
    <row r="51" spans="1:7" ht="50.1" customHeight="1" x14ac:dyDescent="0.3">
      <c r="A51" s="12"/>
      <c r="B51" s="106"/>
      <c r="C51" s="106"/>
      <c r="D51" s="106"/>
      <c r="E51" s="106"/>
      <c r="F51" s="107"/>
      <c r="G51" s="107"/>
    </row>
    <row r="52" spans="1:7" ht="50.1" customHeight="1" x14ac:dyDescent="0.3">
      <c r="A52" s="12"/>
      <c r="B52" s="106"/>
      <c r="C52" s="106"/>
      <c r="D52" s="106"/>
      <c r="E52" s="106"/>
      <c r="F52" s="107"/>
      <c r="G52" s="107"/>
    </row>
    <row r="53" spans="1:7" ht="50.1" customHeight="1" x14ac:dyDescent="0.3">
      <c r="A53" s="12"/>
      <c r="B53" s="106"/>
      <c r="C53" s="106"/>
      <c r="D53" s="106"/>
      <c r="E53" s="106"/>
      <c r="F53" s="107"/>
      <c r="G53" s="107"/>
    </row>
    <row r="54" spans="1:7" ht="50.1" customHeight="1" x14ac:dyDescent="0.3">
      <c r="A54" s="12"/>
      <c r="B54" s="106"/>
      <c r="C54" s="106"/>
      <c r="D54" s="106"/>
      <c r="E54" s="106"/>
      <c r="F54" s="106"/>
      <c r="G54" s="106"/>
    </row>
    <row r="55" spans="1:7" ht="50.1" customHeight="1" x14ac:dyDescent="0.3">
      <c r="A55" s="12"/>
      <c r="B55" s="106"/>
      <c r="C55" s="106"/>
      <c r="D55" s="106"/>
      <c r="E55" s="106"/>
      <c r="F55" s="107"/>
      <c r="G55" s="107"/>
    </row>
    <row r="56" spans="1:7" ht="50.1" customHeight="1" x14ac:dyDescent="0.3">
      <c r="A56" s="12"/>
      <c r="B56" s="106"/>
      <c r="C56" s="106"/>
      <c r="D56" s="106"/>
      <c r="E56" s="106"/>
      <c r="F56" s="107"/>
      <c r="G56" s="107"/>
    </row>
    <row r="57" spans="1:7" ht="50.1" customHeight="1" x14ac:dyDescent="0.3">
      <c r="A57" s="12"/>
      <c r="B57" s="106"/>
      <c r="C57" s="106"/>
      <c r="D57" s="106"/>
      <c r="E57" s="106"/>
      <c r="F57" s="106"/>
      <c r="G57" s="106"/>
    </row>
    <row r="58" spans="1:7" ht="50.1" customHeight="1" x14ac:dyDescent="0.3">
      <c r="A58" s="12"/>
      <c r="B58" s="106"/>
      <c r="C58" s="106"/>
      <c r="D58" s="106"/>
      <c r="E58" s="106"/>
      <c r="F58" s="107"/>
      <c r="G58" s="107"/>
    </row>
    <row r="59" spans="1:7" ht="50.1" customHeight="1" x14ac:dyDescent="0.3">
      <c r="A59" s="12"/>
      <c r="B59" s="106"/>
      <c r="C59" s="106"/>
      <c r="D59" s="106"/>
      <c r="E59" s="106"/>
      <c r="F59" s="107"/>
      <c r="G59" s="107"/>
    </row>
    <row r="60" spans="1:7" ht="50.1" customHeight="1" x14ac:dyDescent="0.3">
      <c r="A60" s="12"/>
      <c r="B60" s="106"/>
      <c r="C60" s="106"/>
      <c r="D60" s="106"/>
      <c r="E60" s="106"/>
      <c r="F60" s="107"/>
      <c r="G60" s="107"/>
    </row>
    <row r="61" spans="1:7" ht="50.1" customHeight="1" x14ac:dyDescent="0.3">
      <c r="A61" s="12"/>
      <c r="B61" s="106"/>
      <c r="C61" s="106"/>
      <c r="D61" s="106"/>
      <c r="E61" s="106"/>
      <c r="F61" s="107"/>
      <c r="G61" s="107"/>
    </row>
    <row r="62" spans="1:7" ht="50.1" customHeight="1" x14ac:dyDescent="0.3">
      <c r="A62" s="12"/>
      <c r="B62" s="106"/>
      <c r="C62" s="106"/>
      <c r="D62" s="106"/>
      <c r="E62" s="106"/>
      <c r="F62" s="107"/>
      <c r="G62" s="107"/>
    </row>
    <row r="63" spans="1:7" ht="50.1" customHeight="1" x14ac:dyDescent="0.3">
      <c r="A63" s="12"/>
      <c r="B63" s="106"/>
      <c r="C63" s="106"/>
      <c r="D63" s="106"/>
      <c r="E63" s="106"/>
      <c r="F63" s="107"/>
      <c r="G63" s="107"/>
    </row>
    <row r="64" spans="1:7" ht="50.1" customHeight="1" x14ac:dyDescent="0.3">
      <c r="A64" s="12"/>
      <c r="B64" s="106"/>
      <c r="C64" s="106"/>
      <c r="D64" s="106"/>
      <c r="E64" s="106"/>
      <c r="F64" s="106"/>
      <c r="G64" s="106"/>
    </row>
    <row r="65" spans="1:7" ht="50.1" customHeight="1" x14ac:dyDescent="0.3">
      <c r="A65" s="12"/>
      <c r="B65" s="106"/>
      <c r="C65" s="106"/>
      <c r="D65" s="106"/>
      <c r="E65" s="106"/>
      <c r="F65" s="107"/>
      <c r="G65" s="107"/>
    </row>
    <row r="66" spans="1:7" ht="50.1" customHeight="1" x14ac:dyDescent="0.3">
      <c r="A66" s="12"/>
      <c r="B66" s="106"/>
      <c r="C66" s="106"/>
      <c r="D66" s="106"/>
      <c r="E66" s="106"/>
      <c r="F66" s="106"/>
      <c r="G66" s="106"/>
    </row>
    <row r="67" spans="1:7" ht="50.1" customHeight="1" x14ac:dyDescent="0.3">
      <c r="A67" s="12"/>
      <c r="B67" s="106"/>
      <c r="C67" s="106"/>
      <c r="D67" s="106"/>
      <c r="E67" s="106"/>
      <c r="F67" s="107"/>
      <c r="G67" s="107"/>
    </row>
    <row r="68" spans="1:7" ht="50.1" customHeight="1" x14ac:dyDescent="0.3">
      <c r="A68" s="12"/>
      <c r="B68" s="106"/>
      <c r="C68" s="106"/>
      <c r="D68" s="106"/>
      <c r="E68" s="106"/>
      <c r="F68" s="106"/>
      <c r="G68" s="106"/>
    </row>
    <row r="69" spans="1:7" ht="50.1" customHeight="1" x14ac:dyDescent="0.3">
      <c r="A69" s="12"/>
      <c r="B69" s="106"/>
      <c r="C69" s="106"/>
      <c r="D69" s="106"/>
      <c r="E69" s="106"/>
      <c r="F69" s="107"/>
      <c r="G69" s="107"/>
    </row>
    <row r="70" spans="1:7" ht="50.1" customHeight="1" x14ac:dyDescent="0.3">
      <c r="A70" s="12"/>
      <c r="B70" s="106"/>
      <c r="C70" s="106"/>
      <c r="D70" s="106"/>
      <c r="E70" s="106"/>
      <c r="F70" s="107"/>
      <c r="G70" s="107"/>
    </row>
    <row r="71" spans="1:7" ht="50.1" customHeight="1" x14ac:dyDescent="0.3">
      <c r="A71" s="12"/>
      <c r="B71" s="106"/>
      <c r="C71" s="106"/>
      <c r="D71" s="106"/>
      <c r="E71" s="106"/>
      <c r="F71" s="107"/>
      <c r="G71" s="107"/>
    </row>
    <row r="72" spans="1:7" ht="50.1" customHeight="1" x14ac:dyDescent="0.3">
      <c r="A72" s="12"/>
      <c r="B72" s="106"/>
      <c r="C72" s="106"/>
      <c r="D72" s="106"/>
      <c r="E72" s="106"/>
      <c r="F72" s="106"/>
      <c r="G72" s="106"/>
    </row>
    <row r="73" spans="1:7" ht="50.1" customHeight="1" x14ac:dyDescent="0.3">
      <c r="A73" s="12"/>
      <c r="B73" s="106"/>
      <c r="C73" s="106"/>
      <c r="D73" s="106"/>
      <c r="E73" s="106"/>
      <c r="F73" s="107"/>
      <c r="G73" s="107"/>
    </row>
    <row r="74" spans="1:7" ht="50.1" customHeight="1" x14ac:dyDescent="0.3">
      <c r="A74" s="12"/>
      <c r="B74" s="106"/>
      <c r="C74" s="106"/>
      <c r="D74" s="106"/>
      <c r="E74" s="106"/>
      <c r="F74" s="107"/>
      <c r="G74" s="107"/>
    </row>
    <row r="75" spans="1:7" ht="50.1" customHeight="1" x14ac:dyDescent="0.3">
      <c r="A75" s="12"/>
      <c r="B75" s="106"/>
      <c r="C75" s="106"/>
      <c r="D75" s="106"/>
      <c r="E75" s="106"/>
      <c r="F75" s="107"/>
      <c r="G75" s="107"/>
    </row>
    <row r="76" spans="1:7" ht="50.1" customHeight="1" x14ac:dyDescent="0.3">
      <c r="A76" s="12"/>
      <c r="B76" s="106"/>
      <c r="C76" s="106"/>
      <c r="D76" s="106"/>
      <c r="E76" s="106"/>
      <c r="F76" s="107"/>
      <c r="G76" s="107"/>
    </row>
    <row r="77" spans="1:7" ht="50.1" customHeight="1" x14ac:dyDescent="0.3">
      <c r="A77" s="12"/>
      <c r="B77" s="106"/>
      <c r="C77" s="106"/>
      <c r="D77" s="106"/>
      <c r="E77" s="106"/>
      <c r="F77" s="107"/>
      <c r="G77" s="107"/>
    </row>
  </sheetData>
  <autoFilter ref="A1:K21" xr:uid="{793F96D0-31C5-48EE-A9C8-B888E6FFAB54}"/>
  <mergeCells count="8">
    <mergeCell ref="H18:H19"/>
    <mergeCell ref="K18:K19"/>
    <mergeCell ref="A20:A21"/>
    <mergeCell ref="A2:A7"/>
    <mergeCell ref="A8:A9"/>
    <mergeCell ref="A10:A12"/>
    <mergeCell ref="A14:A16"/>
    <mergeCell ref="A17:A19"/>
  </mergeCells>
  <conditionalFormatting sqref="I1 I8:I1048576">
    <cfRule type="containsText" dxfId="12" priority="17" operator="containsText" text="Planned">
      <formula>NOT(ISERROR(SEARCH("Planned",I1)))</formula>
    </cfRule>
  </conditionalFormatting>
  <conditionalFormatting sqref="I1:I1048576">
    <cfRule type="cellIs" dxfId="11" priority="2" operator="equal">
      <formula>"Not Selected"</formula>
    </cfRule>
    <cfRule type="containsText" dxfId="10" priority="6" operator="containsText" text="Inherited">
      <formula>NOT(ISERROR(SEARCH("Inherited",I1)))</formula>
    </cfRule>
    <cfRule type="containsText" dxfId="9" priority="8" operator="containsText" text="Implemented">
      <formula>NOT(ISERROR(SEARCH("Implemented",I1)))</formula>
    </cfRule>
  </conditionalFormatting>
  <conditionalFormatting sqref="I2:I7">
    <cfRule type="containsText" dxfId="8" priority="5" operator="containsText" text="Not Applicable">
      <formula>NOT(ISERROR(SEARCH("Not Applicable",I2)))</formula>
    </cfRule>
    <cfRule type="containsText" dxfId="7" priority="7" operator="containsText" text="Planned">
      <formula>NOT(ISERROR(SEARCH("Planned",I2)))</formula>
    </cfRule>
  </conditionalFormatting>
  <conditionalFormatting sqref="I1:J1 I8:J1048576">
    <cfRule type="containsText" dxfId="6" priority="18" operator="containsText" text="Not Applicable">
      <formula>NOT(ISERROR(SEARCH("Not Applicable",I1)))</formula>
    </cfRule>
  </conditionalFormatting>
  <conditionalFormatting sqref="J1 J8:J1048576">
    <cfRule type="containsText" dxfId="5" priority="12" operator="containsText" text="Partially Satisfied">
      <formula>NOT(ISERROR(SEARCH("Partially Satisfied",J1)))</formula>
    </cfRule>
    <cfRule type="containsText" dxfId="4" priority="13" operator="containsText" text="Satisfied">
      <formula>NOT(ISERROR(SEARCH("Satisfied",J1)))</formula>
    </cfRule>
    <cfRule type="containsText" dxfId="3" priority="14" operator="containsText" text="Other Than Satisfied">
      <formula>NOT(ISERROR(SEARCH("Other Than Satisfied",J1)))</formula>
    </cfRule>
  </conditionalFormatting>
  <conditionalFormatting sqref="J1:J1048576">
    <cfRule type="cellIs" dxfId="2" priority="1" operator="equal">
      <formula>"MET"</formula>
    </cfRule>
  </conditionalFormatting>
  <conditionalFormatting sqref="J2:J7">
    <cfRule type="containsText" dxfId="1" priority="3" operator="containsText" text="Other Than Satisfied">
      <formula>NOT(ISERROR(SEARCH("Other Than Satisfied",J2)))</formula>
    </cfRule>
    <cfRule type="containsText" dxfId="0" priority="4" operator="containsText" text="Not Applicable">
      <formula>NOT(ISERROR(SEARCH("Not Applicable",J2)))</formula>
    </cfRule>
  </conditionalFormatting>
  <dataValidations count="2">
    <dataValidation type="list" allowBlank="1" showInputMessage="1" showErrorMessage="1" sqref="I2:I21" xr:uid="{30BBECAD-580D-4924-AEA7-A4311C8D34FB}">
      <formula1>"Not Selected,Planned,Inherited,Partially Implemented,Implemented"</formula1>
    </dataValidation>
    <dataValidation type="list" allowBlank="1" showInputMessage="1" showErrorMessage="1" sqref="J2:J21" xr:uid="{D7BB71AA-FEE6-48DC-90E9-BC7478A1B8DA}">
      <formula1>"MET,NOT MET"</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8AF15-F75E-48FC-95F2-265F59B08AEF}">
  <sheetPr>
    <tabColor rgb="FF00B050"/>
  </sheetPr>
  <dimension ref="A1:D47"/>
  <sheetViews>
    <sheetView showGridLines="0" zoomScale="75" zoomScaleNormal="75" workbookViewId="0">
      <selection activeCell="C16" sqref="C16"/>
    </sheetView>
  </sheetViews>
  <sheetFormatPr defaultColWidth="8.6640625" defaultRowHeight="14.4" x14ac:dyDescent="0.3"/>
  <cols>
    <col min="1" max="1" width="4.6640625" style="44" customWidth="1"/>
    <col min="2" max="2" width="72.88671875" style="44" customWidth="1"/>
    <col min="3" max="3" width="86.33203125" style="44" customWidth="1"/>
    <col min="4" max="4" width="34.33203125" style="44" customWidth="1"/>
    <col min="5" max="16384" width="8.6640625" style="44"/>
  </cols>
  <sheetData>
    <row r="1" spans="1:4" ht="30" customHeight="1" x14ac:dyDescent="0.3">
      <c r="A1" s="325" t="s">
        <v>100</v>
      </c>
      <c r="B1" s="326"/>
      <c r="C1" s="326"/>
      <c r="D1" s="326"/>
    </row>
    <row r="3" spans="1:4" ht="21" customHeight="1" x14ac:dyDescent="0.3">
      <c r="A3" s="186" t="s">
        <v>101</v>
      </c>
      <c r="B3" s="186" t="s">
        <v>102</v>
      </c>
      <c r="C3" s="186" t="s">
        <v>103</v>
      </c>
      <c r="D3" s="186" t="s">
        <v>104</v>
      </c>
    </row>
    <row r="4" spans="1:4" s="45" customFormat="1" ht="50.1" customHeight="1" x14ac:dyDescent="0.3">
      <c r="A4" s="187">
        <v>0</v>
      </c>
      <c r="B4" s="188" t="s">
        <v>1550</v>
      </c>
      <c r="C4" s="189" t="s">
        <v>1551</v>
      </c>
      <c r="D4" s="189" t="s">
        <v>1552</v>
      </c>
    </row>
    <row r="6" spans="1:4" s="184" customFormat="1" ht="30" customHeight="1" x14ac:dyDescent="0.3">
      <c r="A6" s="327" t="s">
        <v>105</v>
      </c>
      <c r="B6" s="328"/>
      <c r="C6" s="328"/>
      <c r="D6" s="328"/>
    </row>
    <row r="7" spans="1:4" s="184" customFormat="1" ht="20.100000000000001" customHeight="1" x14ac:dyDescent="0.3">
      <c r="A7" s="185" t="s">
        <v>101</v>
      </c>
      <c r="B7" s="185" t="s">
        <v>102</v>
      </c>
      <c r="C7" s="185" t="s">
        <v>103</v>
      </c>
      <c r="D7" s="185" t="s">
        <v>104</v>
      </c>
    </row>
    <row r="8" spans="1:4" ht="50.1" customHeight="1" x14ac:dyDescent="0.3">
      <c r="A8" s="46">
        <v>1</v>
      </c>
      <c r="B8" s="47" t="s">
        <v>1553</v>
      </c>
      <c r="C8" s="47" t="s">
        <v>1554</v>
      </c>
      <c r="D8" s="47" t="s">
        <v>1632</v>
      </c>
    </row>
    <row r="9" spans="1:4" ht="50.1" customHeight="1" x14ac:dyDescent="0.3">
      <c r="A9" s="46">
        <v>2</v>
      </c>
      <c r="B9" s="47" t="s">
        <v>1555</v>
      </c>
      <c r="C9" s="47" t="s">
        <v>1556</v>
      </c>
      <c r="D9" s="198"/>
    </row>
    <row r="10" spans="1:4" ht="50.1" customHeight="1" x14ac:dyDescent="0.3">
      <c r="A10" s="46">
        <v>3</v>
      </c>
      <c r="B10" s="47" t="s">
        <v>1557</v>
      </c>
      <c r="C10" s="47" t="s">
        <v>1558</v>
      </c>
      <c r="D10" s="198"/>
    </row>
    <row r="11" spans="1:4" ht="50.1" customHeight="1" x14ac:dyDescent="0.3">
      <c r="A11" s="46">
        <v>4</v>
      </c>
      <c r="B11" s="47" t="s">
        <v>1559</v>
      </c>
      <c r="C11" s="47" t="s">
        <v>1560</v>
      </c>
      <c r="D11" s="198"/>
    </row>
    <row r="12" spans="1:4" ht="50.1" customHeight="1" x14ac:dyDescent="0.3">
      <c r="A12" s="46">
        <v>5</v>
      </c>
      <c r="B12" s="47" t="s">
        <v>1561</v>
      </c>
      <c r="C12" s="47" t="s">
        <v>1562</v>
      </c>
      <c r="D12" s="198"/>
    </row>
    <row r="13" spans="1:4" ht="50.1" customHeight="1" x14ac:dyDescent="0.3">
      <c r="A13" s="46">
        <v>6</v>
      </c>
      <c r="B13" s="47" t="s">
        <v>1563</v>
      </c>
      <c r="C13" s="47" t="s">
        <v>1564</v>
      </c>
      <c r="D13" s="198"/>
    </row>
    <row r="14" spans="1:4" ht="50.1" customHeight="1" x14ac:dyDescent="0.3">
      <c r="A14" s="46">
        <v>7</v>
      </c>
      <c r="B14" s="47" t="s">
        <v>1565</v>
      </c>
      <c r="C14" s="47" t="s">
        <v>1566</v>
      </c>
      <c r="D14" s="198"/>
    </row>
    <row r="15" spans="1:4" ht="50.1" customHeight="1" x14ac:dyDescent="0.3">
      <c r="A15" s="46">
        <v>8</v>
      </c>
      <c r="B15" s="47" t="s">
        <v>1567</v>
      </c>
      <c r="C15" s="47" t="s">
        <v>1568</v>
      </c>
      <c r="D15" s="198"/>
    </row>
    <row r="16" spans="1:4" ht="50.1" customHeight="1" x14ac:dyDescent="0.3">
      <c r="A16" s="46">
        <v>9</v>
      </c>
      <c r="B16" s="47" t="s">
        <v>1569</v>
      </c>
      <c r="C16" s="47" t="s">
        <v>1570</v>
      </c>
      <c r="D16" s="198"/>
    </row>
    <row r="17" spans="1:4" ht="50.1" customHeight="1" x14ac:dyDescent="0.3">
      <c r="A17" s="46">
        <v>10</v>
      </c>
      <c r="B17" s="47" t="s">
        <v>1571</v>
      </c>
      <c r="C17" s="47" t="s">
        <v>1572</v>
      </c>
      <c r="D17" s="198"/>
    </row>
    <row r="18" spans="1:4" ht="50.1" customHeight="1" x14ac:dyDescent="0.3">
      <c r="A18" s="46">
        <v>11</v>
      </c>
      <c r="B18" s="47" t="s">
        <v>1573</v>
      </c>
      <c r="C18" s="47" t="s">
        <v>1574</v>
      </c>
      <c r="D18" s="198"/>
    </row>
    <row r="19" spans="1:4" ht="50.1" customHeight="1" x14ac:dyDescent="0.3">
      <c r="A19" s="46">
        <v>12</v>
      </c>
      <c r="B19" s="47" t="s">
        <v>1575</v>
      </c>
      <c r="C19" s="47" t="s">
        <v>1576</v>
      </c>
      <c r="D19" s="198"/>
    </row>
    <row r="20" spans="1:4" ht="50.1" customHeight="1" x14ac:dyDescent="0.3">
      <c r="A20" s="46">
        <v>13</v>
      </c>
      <c r="B20" s="47" t="s">
        <v>1577</v>
      </c>
      <c r="C20" s="47" t="s">
        <v>1578</v>
      </c>
      <c r="D20" s="198"/>
    </row>
    <row r="21" spans="1:4" ht="50.1" customHeight="1" x14ac:dyDescent="0.3">
      <c r="A21" s="46">
        <v>14</v>
      </c>
      <c r="B21" s="47" t="s">
        <v>1579</v>
      </c>
      <c r="C21" s="47" t="s">
        <v>1580</v>
      </c>
      <c r="D21" s="198"/>
    </row>
    <row r="22" spans="1:4" ht="50.1" customHeight="1" x14ac:dyDescent="0.3">
      <c r="A22" s="48">
        <v>15</v>
      </c>
      <c r="B22" s="47" t="s">
        <v>1581</v>
      </c>
      <c r="C22" s="47" t="s">
        <v>1582</v>
      </c>
      <c r="D22" s="198"/>
    </row>
    <row r="23" spans="1:4" ht="50.1" customHeight="1" x14ac:dyDescent="0.3">
      <c r="A23" s="48">
        <v>16</v>
      </c>
      <c r="B23" s="47" t="s">
        <v>1583</v>
      </c>
      <c r="C23" s="47" t="s">
        <v>1584</v>
      </c>
      <c r="D23" s="198"/>
    </row>
    <row r="24" spans="1:4" ht="50.1" customHeight="1" x14ac:dyDescent="0.3">
      <c r="A24" s="48">
        <v>17</v>
      </c>
      <c r="B24" s="47" t="s">
        <v>1585</v>
      </c>
      <c r="C24" s="47" t="s">
        <v>1586</v>
      </c>
      <c r="D24" s="198"/>
    </row>
    <row r="25" spans="1:4" ht="50.1" customHeight="1" x14ac:dyDescent="0.3">
      <c r="A25" s="48">
        <v>18</v>
      </c>
      <c r="B25" s="47" t="s">
        <v>1587</v>
      </c>
      <c r="C25" s="47" t="s">
        <v>1588</v>
      </c>
      <c r="D25" s="198"/>
    </row>
    <row r="26" spans="1:4" ht="50.1" customHeight="1" x14ac:dyDescent="0.3">
      <c r="A26" s="48">
        <v>19</v>
      </c>
      <c r="B26" s="47" t="s">
        <v>1589</v>
      </c>
      <c r="C26" s="47" t="s">
        <v>1590</v>
      </c>
      <c r="D26" s="198"/>
    </row>
    <row r="27" spans="1:4" ht="50.1" customHeight="1" x14ac:dyDescent="0.3">
      <c r="A27" s="48">
        <v>20</v>
      </c>
      <c r="B27" s="47" t="s">
        <v>1591</v>
      </c>
      <c r="C27" s="47" t="s">
        <v>1592</v>
      </c>
      <c r="D27" s="198"/>
    </row>
    <row r="28" spans="1:4" ht="50.1" customHeight="1" x14ac:dyDescent="0.3">
      <c r="A28" s="48">
        <v>21</v>
      </c>
      <c r="B28" s="47" t="s">
        <v>1593</v>
      </c>
      <c r="C28" s="47" t="s">
        <v>1594</v>
      </c>
      <c r="D28" s="198"/>
    </row>
    <row r="29" spans="1:4" ht="50.1" customHeight="1" x14ac:dyDescent="0.3">
      <c r="A29" s="48">
        <v>22</v>
      </c>
      <c r="B29" s="47" t="s">
        <v>1595</v>
      </c>
      <c r="C29" s="47" t="s">
        <v>1596</v>
      </c>
      <c r="D29" s="199"/>
    </row>
    <row r="30" spans="1:4" ht="50.1" customHeight="1" x14ac:dyDescent="0.3">
      <c r="A30" s="48">
        <v>23</v>
      </c>
      <c r="B30" s="47" t="s">
        <v>1597</v>
      </c>
      <c r="C30" s="47" t="s">
        <v>1598</v>
      </c>
      <c r="D30" s="199"/>
    </row>
    <row r="31" spans="1:4" ht="50.1" customHeight="1" x14ac:dyDescent="0.3">
      <c r="A31" s="48">
        <v>24</v>
      </c>
      <c r="B31" s="47" t="s">
        <v>1599</v>
      </c>
      <c r="C31" s="47" t="s">
        <v>1600</v>
      </c>
      <c r="D31" s="199"/>
    </row>
    <row r="32" spans="1:4" ht="50.1" customHeight="1" x14ac:dyDescent="0.3">
      <c r="A32" s="48">
        <v>25</v>
      </c>
      <c r="B32" s="47" t="s">
        <v>1601</v>
      </c>
      <c r="C32" s="47" t="s">
        <v>1602</v>
      </c>
      <c r="D32" s="199"/>
    </row>
    <row r="33" spans="1:4" ht="50.1" customHeight="1" x14ac:dyDescent="0.3">
      <c r="A33" s="48">
        <v>26</v>
      </c>
      <c r="B33" s="47" t="s">
        <v>1603</v>
      </c>
      <c r="C33" s="47" t="s">
        <v>1604</v>
      </c>
      <c r="D33" s="199"/>
    </row>
    <row r="34" spans="1:4" ht="50.1" customHeight="1" x14ac:dyDescent="0.3">
      <c r="A34" s="48">
        <v>27</v>
      </c>
      <c r="B34" s="47" t="s">
        <v>1605</v>
      </c>
      <c r="C34" s="47" t="s">
        <v>1606</v>
      </c>
      <c r="D34" s="199"/>
    </row>
    <row r="35" spans="1:4" ht="50.1" customHeight="1" x14ac:dyDescent="0.3">
      <c r="A35" s="48">
        <v>28</v>
      </c>
      <c r="B35" s="47" t="s">
        <v>1607</v>
      </c>
      <c r="C35" s="47" t="s">
        <v>1633</v>
      </c>
      <c r="D35" s="199"/>
    </row>
    <row r="36" spans="1:4" ht="50.1" customHeight="1" x14ac:dyDescent="0.3">
      <c r="A36" s="48">
        <v>29</v>
      </c>
      <c r="B36" s="47" t="s">
        <v>1608</v>
      </c>
      <c r="C36" s="47" t="s">
        <v>1609</v>
      </c>
      <c r="D36" s="199"/>
    </row>
    <row r="37" spans="1:4" ht="50.1" customHeight="1" x14ac:dyDescent="0.3">
      <c r="A37" s="48">
        <v>30</v>
      </c>
      <c r="B37" s="47" t="s">
        <v>1610</v>
      </c>
      <c r="C37" s="47" t="s">
        <v>1611</v>
      </c>
      <c r="D37" s="199"/>
    </row>
    <row r="38" spans="1:4" ht="50.1" customHeight="1" x14ac:dyDescent="0.3">
      <c r="A38" s="48">
        <v>31</v>
      </c>
      <c r="B38" s="47" t="s">
        <v>1612</v>
      </c>
      <c r="C38" s="47" t="s">
        <v>1613</v>
      </c>
      <c r="D38" s="199"/>
    </row>
    <row r="39" spans="1:4" ht="50.1" customHeight="1" x14ac:dyDescent="0.3">
      <c r="A39" s="48">
        <v>32</v>
      </c>
      <c r="B39" s="47" t="s">
        <v>1614</v>
      </c>
      <c r="C39" s="47" t="s">
        <v>1615</v>
      </c>
      <c r="D39" s="199"/>
    </row>
    <row r="40" spans="1:4" ht="50.1" customHeight="1" x14ac:dyDescent="0.3">
      <c r="A40" s="48">
        <v>33</v>
      </c>
      <c r="B40" s="47" t="s">
        <v>1616</v>
      </c>
      <c r="C40" s="47" t="s">
        <v>1617</v>
      </c>
      <c r="D40" s="199"/>
    </row>
    <row r="41" spans="1:4" ht="50.1" customHeight="1" x14ac:dyDescent="0.3">
      <c r="A41" s="48">
        <v>34</v>
      </c>
      <c r="B41" s="329" t="s">
        <v>1618</v>
      </c>
      <c r="C41" s="330" t="s">
        <v>1619</v>
      </c>
      <c r="D41" s="199"/>
    </row>
    <row r="42" spans="1:4" ht="50.1" customHeight="1" x14ac:dyDescent="0.3">
      <c r="A42" s="48">
        <v>35</v>
      </c>
      <c r="B42" s="47" t="s">
        <v>1620</v>
      </c>
      <c r="C42" s="47" t="s">
        <v>1621</v>
      </c>
      <c r="D42" s="199"/>
    </row>
    <row r="43" spans="1:4" ht="50.1" customHeight="1" x14ac:dyDescent="0.3">
      <c r="A43" s="48">
        <v>36</v>
      </c>
      <c r="B43" s="47" t="s">
        <v>1622</v>
      </c>
      <c r="C43" s="47" t="s">
        <v>1623</v>
      </c>
      <c r="D43" s="199"/>
    </row>
    <row r="44" spans="1:4" ht="50.1" customHeight="1" x14ac:dyDescent="0.3">
      <c r="A44" s="48">
        <v>37</v>
      </c>
      <c r="B44" s="47" t="s">
        <v>1624</v>
      </c>
      <c r="C44" s="47" t="s">
        <v>1625</v>
      </c>
      <c r="D44" s="199"/>
    </row>
    <row r="45" spans="1:4" ht="50.1" customHeight="1" x14ac:dyDescent="0.3">
      <c r="A45" s="48">
        <v>38</v>
      </c>
      <c r="B45" s="47" t="s">
        <v>1626</v>
      </c>
      <c r="C45" s="47" t="s">
        <v>1627</v>
      </c>
      <c r="D45" s="199"/>
    </row>
    <row r="46" spans="1:4" ht="50.1" customHeight="1" x14ac:dyDescent="0.3">
      <c r="A46" s="48">
        <v>39</v>
      </c>
      <c r="B46" s="47" t="s">
        <v>1628</v>
      </c>
      <c r="C46" s="47" t="s">
        <v>1629</v>
      </c>
      <c r="D46" s="199"/>
    </row>
    <row r="47" spans="1:4" ht="50.1" customHeight="1" x14ac:dyDescent="0.3">
      <c r="A47" s="48">
        <v>40</v>
      </c>
      <c r="B47" s="47" t="s">
        <v>1630</v>
      </c>
      <c r="C47" s="47" t="s">
        <v>1631</v>
      </c>
      <c r="D47" s="199"/>
    </row>
  </sheetData>
  <mergeCells count="2">
    <mergeCell ref="A1:D1"/>
    <mergeCell ref="A6:D6"/>
  </mergeCells>
  <pageMargins left="0.7" right="0.7" top="0.75" bottom="0.75" header="0.3" footer="0.3"/>
  <pageSetup orientation="portrait" horizontalDpi="4294967295" verticalDpi="4294967295"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BA6AD-EC4E-4CB9-81AC-3C18DDD4004C}">
  <dimension ref="A1:E17"/>
  <sheetViews>
    <sheetView zoomScaleNormal="100" workbookViewId="0">
      <selection activeCell="A2" sqref="A2"/>
    </sheetView>
  </sheetViews>
  <sheetFormatPr defaultColWidth="8.6640625" defaultRowHeight="14.4" x14ac:dyDescent="0.3"/>
  <cols>
    <col min="1" max="1" width="14.6640625" style="44" customWidth="1"/>
    <col min="2" max="2" width="17.5546875" style="44" customWidth="1"/>
    <col min="3" max="3" width="29.6640625" style="44" customWidth="1"/>
    <col min="4" max="4" width="65.33203125" style="44" customWidth="1"/>
    <col min="5" max="5" width="43.5546875" style="44" customWidth="1"/>
    <col min="6" max="16384" width="8.6640625" style="44"/>
  </cols>
  <sheetData>
    <row r="1" spans="1:5" ht="38.25" customHeight="1" x14ac:dyDescent="0.3">
      <c r="A1" s="179" t="s">
        <v>126</v>
      </c>
      <c r="B1" s="179" t="s">
        <v>123</v>
      </c>
      <c r="C1" s="179" t="s">
        <v>124</v>
      </c>
      <c r="D1" s="180" t="s">
        <v>91</v>
      </c>
      <c r="E1" s="179" t="s">
        <v>92</v>
      </c>
    </row>
    <row r="2" spans="1:5" ht="45" customHeight="1" x14ac:dyDescent="0.3">
      <c r="A2" s="197"/>
      <c r="B2" s="48"/>
      <c r="C2" s="181"/>
      <c r="D2" s="194"/>
      <c r="E2" s="182"/>
    </row>
    <row r="3" spans="1:5" ht="45" customHeight="1" x14ac:dyDescent="0.3">
      <c r="A3" s="197"/>
      <c r="B3" s="48"/>
      <c r="C3" s="181"/>
      <c r="D3" s="194"/>
      <c r="E3" s="182"/>
    </row>
    <row r="4" spans="1:5" ht="45" customHeight="1" x14ac:dyDescent="0.3">
      <c r="A4" s="197"/>
      <c r="B4" s="48"/>
      <c r="C4" s="181"/>
      <c r="D4" s="193"/>
      <c r="E4" s="183"/>
    </row>
    <row r="5" spans="1:5" ht="45" customHeight="1" x14ac:dyDescent="0.3">
      <c r="A5" s="197"/>
      <c r="B5" s="48"/>
      <c r="C5" s="181"/>
      <c r="D5" s="193"/>
      <c r="E5" s="183"/>
    </row>
    <row r="6" spans="1:5" ht="45" customHeight="1" x14ac:dyDescent="0.3">
      <c r="A6" s="197"/>
      <c r="B6" s="48"/>
      <c r="C6" s="181"/>
      <c r="D6" s="195"/>
      <c r="E6" s="182"/>
    </row>
    <row r="7" spans="1:5" ht="45" customHeight="1" x14ac:dyDescent="0.3">
      <c r="A7" s="197"/>
      <c r="B7" s="48"/>
      <c r="C7" s="181"/>
      <c r="D7" s="195"/>
      <c r="E7" s="182"/>
    </row>
    <row r="8" spans="1:5" ht="45" customHeight="1" x14ac:dyDescent="0.3">
      <c r="A8" s="197"/>
      <c r="B8" s="48"/>
      <c r="C8" s="181"/>
      <c r="D8" s="195"/>
      <c r="E8" s="182"/>
    </row>
    <row r="9" spans="1:5" ht="45" customHeight="1" x14ac:dyDescent="0.3">
      <c r="A9" s="197"/>
      <c r="B9" s="48"/>
      <c r="C9" s="181"/>
      <c r="D9" s="195"/>
      <c r="E9" s="182"/>
    </row>
    <row r="10" spans="1:5" ht="45" customHeight="1" x14ac:dyDescent="0.3">
      <c r="A10" s="197"/>
      <c r="B10" s="48"/>
      <c r="C10" s="181"/>
      <c r="D10" s="193"/>
      <c r="E10" s="183"/>
    </row>
    <row r="11" spans="1:5" ht="45" customHeight="1" x14ac:dyDescent="0.3">
      <c r="A11" s="197"/>
      <c r="B11" s="48"/>
      <c r="C11" s="181"/>
      <c r="D11" s="195"/>
      <c r="E11" s="182"/>
    </row>
    <row r="12" spans="1:5" ht="45" customHeight="1" x14ac:dyDescent="0.3">
      <c r="A12" s="197"/>
      <c r="B12" s="48"/>
      <c r="C12" s="181"/>
      <c r="D12" s="193"/>
      <c r="E12" s="183"/>
    </row>
    <row r="13" spans="1:5" ht="45" customHeight="1" x14ac:dyDescent="0.3">
      <c r="A13" s="197"/>
      <c r="B13" s="48"/>
      <c r="C13" s="181"/>
      <c r="D13" s="193"/>
      <c r="E13" s="183"/>
    </row>
    <row r="14" spans="1:5" ht="45" customHeight="1" x14ac:dyDescent="0.3">
      <c r="A14" s="197"/>
      <c r="B14" s="48"/>
      <c r="C14" s="181"/>
      <c r="D14" s="193"/>
      <c r="E14" s="183"/>
    </row>
    <row r="15" spans="1:5" ht="45" customHeight="1" x14ac:dyDescent="0.3">
      <c r="A15" s="197"/>
      <c r="B15" s="48"/>
      <c r="C15" s="181"/>
      <c r="D15" s="195"/>
      <c r="E15" s="182"/>
    </row>
    <row r="16" spans="1:5" ht="45" customHeight="1" x14ac:dyDescent="0.3">
      <c r="A16" s="197"/>
      <c r="B16" s="48"/>
      <c r="C16" s="181"/>
      <c r="D16" s="195"/>
      <c r="E16" s="182"/>
    </row>
    <row r="17" spans="1:5" ht="45" customHeight="1" x14ac:dyDescent="0.3">
      <c r="A17" s="197"/>
      <c r="B17" s="48"/>
      <c r="C17" s="181"/>
      <c r="D17" s="195"/>
      <c r="E17" s="18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587C60D9F9D947B2CDB306ADEA3B78" ma:contentTypeVersion="3" ma:contentTypeDescription="Create a new document." ma:contentTypeScope="" ma:versionID="1c9d985c532079427e92547fcd60eef5">
  <xsd:schema xmlns:xsd="http://www.w3.org/2001/XMLSchema" xmlns:xs="http://www.w3.org/2001/XMLSchema" xmlns:p="http://schemas.microsoft.com/office/2006/metadata/properties" xmlns:ns2="8a54b3d2-5f31-4b96-b548-d52a3992fde2" targetNamespace="http://schemas.microsoft.com/office/2006/metadata/properties" ma:root="true" ma:fieldsID="61b9da801851e439789fc713680d13d6" ns2:_="">
    <xsd:import namespace="8a54b3d2-5f31-4b96-b548-d52a3992fde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54b3d2-5f31-4b96-b548-d52a3992f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CCE4D6-0F3E-4D36-A302-482A517E1133}">
  <ds:schemaRefs>
    <ds:schemaRef ds:uri="http://purl.org/dc/terms/"/>
    <ds:schemaRef ds:uri="http://purl.org/dc/elements/1.1/"/>
    <ds:schemaRef ds:uri="http://schemas.microsoft.com/office/2006/documentManagement/types"/>
    <ds:schemaRef ds:uri="http://purl.org/dc/dcmitype/"/>
    <ds:schemaRef ds:uri="http://schemas.microsoft.com/office/infopath/2007/PartnerControls"/>
    <ds:schemaRef ds:uri="http://schemas.microsoft.com/office/2006/metadata/properties"/>
    <ds:schemaRef ds:uri="http://www.w3.org/XML/1998/namespace"/>
    <ds:schemaRef ds:uri="http://schemas.openxmlformats.org/package/2006/metadata/core-properties"/>
    <ds:schemaRef ds:uri="5f83447a-0ccb-401d-b62d-5855435b0a26"/>
  </ds:schemaRefs>
</ds:datastoreItem>
</file>

<file path=customXml/itemProps2.xml><?xml version="1.0" encoding="utf-8"?>
<ds:datastoreItem xmlns:ds="http://schemas.openxmlformats.org/officeDocument/2006/customXml" ds:itemID="{09F3B6CE-F5B0-4E54-8D4C-8D5C2293CED5}">
  <ds:schemaRefs>
    <ds:schemaRef ds:uri="http://schemas.microsoft.com/sharepoint/v3/contenttype/forms"/>
  </ds:schemaRefs>
</ds:datastoreItem>
</file>

<file path=customXml/itemProps3.xml><?xml version="1.0" encoding="utf-8"?>
<ds:datastoreItem xmlns:ds="http://schemas.openxmlformats.org/officeDocument/2006/customXml" ds:itemID="{7D0DED37-E362-4B58-A39B-FD95AA28B38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Version Control</vt:lpstr>
      <vt:lpstr>System</vt:lpstr>
      <vt:lpstr>CtrlSummary</vt:lpstr>
      <vt:lpstr>AC</vt:lpstr>
      <vt:lpstr>AT</vt:lpstr>
      <vt:lpstr>AU</vt:lpstr>
      <vt:lpstr>CA</vt:lpstr>
      <vt:lpstr>CM</vt:lpstr>
      <vt:lpstr>IA</vt:lpstr>
      <vt:lpstr>IR</vt:lpstr>
      <vt:lpstr>MA</vt:lpstr>
      <vt:lpstr>MP</vt:lpstr>
      <vt:lpstr>PE</vt:lpstr>
      <vt:lpstr>PS</vt:lpstr>
      <vt:lpstr>RA</vt:lpstr>
      <vt:lpstr>SC</vt:lpstr>
      <vt:lpstr>SI</vt:lpstr>
      <vt:lpstr>Interview Questionnaire</vt:lpstr>
      <vt:lpstr>Findings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High Test Workbook</dc:title>
  <dc:subject>FedRAMP</dc:subject>
  <dc:creator>thang.pham@assurit.com</dc:creator>
  <cp:keywords/>
  <dc:description/>
  <cp:lastModifiedBy>Thang Pham (Assurit)</cp:lastModifiedBy>
  <cp:revision/>
  <dcterms:created xsi:type="dcterms:W3CDTF">2015-07-30T13:50:21Z</dcterms:created>
  <dcterms:modified xsi:type="dcterms:W3CDTF">2026-01-08T04:09:45Z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0x0101001A587C60D9F9D947B2CDB306ADEA3B78</vt:lpwstr>
  </property>
</Properties>
</file>